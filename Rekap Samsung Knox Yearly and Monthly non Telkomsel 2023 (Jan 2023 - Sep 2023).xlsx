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/>
  <mc:AlternateContent xmlns:mc="http://schemas.openxmlformats.org/markup-compatibility/2006">
    <mc:Choice Requires="x15">
      <x15ac:absPath xmlns:x15ac="http://schemas.microsoft.com/office/spreadsheetml/2010/11/ac" url="D:\Back up Laptop Lama\back up\Alteryx\Ayokk\Email reminder license expired\"/>
    </mc:Choice>
  </mc:AlternateContent>
  <xr:revisionPtr revIDLastSave="0" documentId="13_ncr:1_{E7F7D431-5777-4F27-B059-5F2E2FF210BE}" xr6:coauthVersionLast="47" xr6:coauthVersionMax="47" xr10:uidLastSave="{00000000-0000-0000-0000-000000000000}"/>
  <bookViews>
    <workbookView xWindow="-120" yWindow="-120" windowWidth="20730" windowHeight="11040" firstSheet="3" activeTab="8" xr2:uid="{00000000-000D-0000-FFFF-FFFF00000000}"/>
  </bookViews>
  <sheets>
    <sheet name="Sheet3" sheetId="52" r:id="rId1"/>
    <sheet name="Jan 23" sheetId="62" r:id="rId2"/>
    <sheet name="Feb 23" sheetId="63" r:id="rId3"/>
    <sheet name="Mar 23" sheetId="64" r:id="rId4"/>
    <sheet name="Apr 23" sheetId="65" r:id="rId5"/>
    <sheet name="May 23" sheetId="66" r:id="rId6"/>
    <sheet name="Jun 23" sheetId="67" r:id="rId7"/>
    <sheet name="Jul 23" sheetId="68" r:id="rId8"/>
    <sheet name="Aug 23" sheetId="69" r:id="rId9"/>
  </sheets>
  <definedNames>
    <definedName name="_xlnm._FilterDatabase" localSheetId="4" hidden="1">'Apr 23'!$B$2:$O$444</definedName>
    <definedName name="_xlnm._FilterDatabase" localSheetId="8" hidden="1">'Aug 23'!$A$1:$Q$338</definedName>
    <definedName name="_xlnm._FilterDatabase" localSheetId="2" hidden="1">'Feb 23'!$B$2:$O$432</definedName>
    <definedName name="_xlnm._FilterDatabase" localSheetId="1" hidden="1">'Jan 23'!$B$2:$O$427</definedName>
    <definedName name="_xlnm._FilterDatabase" localSheetId="7" hidden="1">'Jul 23'!$B$2:$Q$344</definedName>
    <definedName name="_xlnm._FilterDatabase" localSheetId="6" hidden="1">'Jun 23'!$B$2:$Q$329</definedName>
    <definedName name="_xlnm._FilterDatabase" localSheetId="3" hidden="1">'Mar 23'!$B$2:$O$439</definedName>
    <definedName name="_xlnm.Print_Area" localSheetId="4">'Apr 23'!#REF!</definedName>
    <definedName name="_xlnm.Print_Area" localSheetId="8">'Aug 23'!#REF!</definedName>
    <definedName name="_xlnm.Print_Area" localSheetId="2">'Feb 23'!#REF!</definedName>
    <definedName name="_xlnm.Print_Area" localSheetId="1">'Jan 23'!#REF!</definedName>
    <definedName name="_xlnm.Print_Area" localSheetId="7">'Jul 23'!#REF!</definedName>
    <definedName name="_xlnm.Print_Area" localSheetId="6">'Jun 23'!#REF!</definedName>
    <definedName name="_xlnm.Print_Area" localSheetId="3">'Mar 23'!#REF!</definedName>
    <definedName name="_xlnm.Print_Area" localSheetId="5">'May 23'!#REF!</definedName>
  </definedNames>
  <calcPr calcId="191029"/>
  <pivotCaches>
    <pivotCache cacheId="0" r:id="rId10"/>
  </pivotCaches>
</workbook>
</file>

<file path=xl/calcChain.xml><?xml version="1.0" encoding="utf-8"?>
<calcChain xmlns="http://schemas.openxmlformats.org/spreadsheetml/2006/main">
  <c r="Q344" i="69" l="1"/>
  <c r="Q345" i="69"/>
  <c r="Q346" i="69"/>
  <c r="Q347" i="69"/>
  <c r="Q348" i="69"/>
  <c r="Q349" i="69"/>
  <c r="Q350" i="69"/>
  <c r="Q351" i="69"/>
  <c r="Q352" i="69"/>
  <c r="Q353" i="69"/>
  <c r="S344" i="69"/>
  <c r="S345" i="69"/>
  <c r="S346" i="69"/>
  <c r="S347" i="69"/>
  <c r="S348" i="69"/>
  <c r="S349" i="69"/>
  <c r="S350" i="69"/>
  <c r="S351" i="69"/>
  <c r="S352" i="69"/>
  <c r="S353" i="69"/>
  <c r="Q339" i="69"/>
  <c r="Q340" i="69"/>
  <c r="Q341" i="69"/>
  <c r="Q342" i="69"/>
  <c r="Q343" i="69"/>
  <c r="S339" i="69"/>
  <c r="S340" i="69"/>
  <c r="S341" i="69"/>
  <c r="S342" i="69"/>
  <c r="S343" i="69"/>
  <c r="S338" i="69"/>
  <c r="Q338" i="69"/>
  <c r="S337" i="69"/>
  <c r="Q337" i="69"/>
  <c r="S336" i="69"/>
  <c r="Q336" i="69"/>
  <c r="S335" i="69"/>
  <c r="Q335" i="69"/>
  <c r="S334" i="69"/>
  <c r="Q334" i="69"/>
  <c r="S333" i="69"/>
  <c r="Q333" i="69"/>
  <c r="S332" i="69"/>
  <c r="Q332" i="69"/>
  <c r="S331" i="69"/>
  <c r="Q331" i="69"/>
  <c r="S330" i="69"/>
  <c r="Q330" i="69"/>
  <c r="S329" i="69"/>
  <c r="Q329" i="69"/>
  <c r="S328" i="69"/>
  <c r="Q328" i="69"/>
  <c r="S327" i="69"/>
  <c r="Q327" i="69"/>
  <c r="S326" i="69"/>
  <c r="Q326" i="69"/>
  <c r="S325" i="69"/>
  <c r="Q325" i="69"/>
  <c r="S324" i="69"/>
  <c r="Q324" i="69"/>
  <c r="S323" i="69"/>
  <c r="Q323" i="69"/>
  <c r="S322" i="69"/>
  <c r="Q322" i="69"/>
  <c r="S321" i="69"/>
  <c r="Q321" i="69"/>
  <c r="S320" i="69"/>
  <c r="Q320" i="69"/>
  <c r="S319" i="69"/>
  <c r="Q319" i="69"/>
  <c r="S318" i="69"/>
  <c r="Q318" i="69"/>
  <c r="S317" i="69"/>
  <c r="Q317" i="69"/>
  <c r="S316" i="69"/>
  <c r="Q316" i="69"/>
  <c r="S315" i="69"/>
  <c r="Q315" i="69"/>
  <c r="S314" i="69"/>
  <c r="Q314" i="69"/>
  <c r="S313" i="69"/>
  <c r="Q313" i="69"/>
  <c r="S312" i="69"/>
  <c r="Q312" i="69"/>
  <c r="S311" i="69"/>
  <c r="Q311" i="69"/>
  <c r="S310" i="69"/>
  <c r="Q310" i="69"/>
  <c r="S309" i="69"/>
  <c r="Q309" i="69"/>
  <c r="S308" i="69"/>
  <c r="Q308" i="69"/>
  <c r="S307" i="69"/>
  <c r="Q307" i="69"/>
  <c r="S306" i="69"/>
  <c r="Q306" i="69"/>
  <c r="S305" i="69"/>
  <c r="Q305" i="69"/>
  <c r="S304" i="69"/>
  <c r="Q304" i="69"/>
  <c r="S303" i="69"/>
  <c r="Q303" i="69"/>
  <c r="S302" i="69"/>
  <c r="Q302" i="69"/>
  <c r="S301" i="69"/>
  <c r="Q301" i="69"/>
  <c r="S300" i="69"/>
  <c r="Q300" i="69"/>
  <c r="S299" i="69"/>
  <c r="Q299" i="69"/>
  <c r="S298" i="69"/>
  <c r="Q298" i="69"/>
  <c r="S297" i="69"/>
  <c r="Q297" i="69"/>
  <c r="S296" i="69"/>
  <c r="Q296" i="69"/>
  <c r="S295" i="69"/>
  <c r="Q295" i="69"/>
  <c r="S294" i="69"/>
  <c r="Q294" i="69"/>
  <c r="S293" i="69"/>
  <c r="Q293" i="69"/>
  <c r="S292" i="69"/>
  <c r="Q292" i="69"/>
  <c r="S291" i="69"/>
  <c r="Q291" i="69"/>
  <c r="S290" i="69"/>
  <c r="Q290" i="69"/>
  <c r="S289" i="69"/>
  <c r="Q289" i="69"/>
  <c r="S288" i="69"/>
  <c r="Q288" i="69"/>
  <c r="S287" i="69"/>
  <c r="Q287" i="69"/>
  <c r="S286" i="69"/>
  <c r="Q286" i="69"/>
  <c r="S285" i="69"/>
  <c r="Q285" i="69"/>
  <c r="S284" i="69"/>
  <c r="Q284" i="69"/>
  <c r="S283" i="69"/>
  <c r="Q283" i="69"/>
  <c r="S282" i="69"/>
  <c r="Q282" i="69"/>
  <c r="S281" i="69"/>
  <c r="Q281" i="69"/>
  <c r="S280" i="69"/>
  <c r="Q280" i="69"/>
  <c r="S279" i="69"/>
  <c r="Q279" i="69"/>
  <c r="S278" i="69"/>
  <c r="Q278" i="69"/>
  <c r="S277" i="69"/>
  <c r="Q277" i="69"/>
  <c r="S276" i="69"/>
  <c r="Q276" i="69"/>
  <c r="S275" i="69"/>
  <c r="Q275" i="69"/>
  <c r="S274" i="69"/>
  <c r="Q274" i="69"/>
  <c r="S273" i="69"/>
  <c r="Q273" i="69"/>
  <c r="S272" i="69"/>
  <c r="Q272" i="69"/>
  <c r="S271" i="69"/>
  <c r="Q271" i="69"/>
  <c r="S270" i="69"/>
  <c r="Q270" i="69"/>
  <c r="S269" i="69"/>
  <c r="Q269" i="69"/>
  <c r="S268" i="69"/>
  <c r="Q268" i="69"/>
  <c r="R267" i="69"/>
  <c r="S267" i="69" s="1"/>
  <c r="Q267" i="69"/>
  <c r="R266" i="69"/>
  <c r="S266" i="69" s="1"/>
  <c r="Q266" i="69"/>
  <c r="S265" i="69"/>
  <c r="Q265" i="69"/>
  <c r="S264" i="69"/>
  <c r="Q264" i="69"/>
  <c r="S263" i="69"/>
  <c r="Q263" i="69"/>
  <c r="S262" i="69"/>
  <c r="Q262" i="69"/>
  <c r="S261" i="69"/>
  <c r="Q261" i="69"/>
  <c r="S260" i="69"/>
  <c r="Q260" i="69"/>
  <c r="S259" i="69"/>
  <c r="Q259" i="69"/>
  <c r="S258" i="69"/>
  <c r="Q258" i="69"/>
  <c r="R257" i="69"/>
  <c r="S257" i="69" s="1"/>
  <c r="Q257" i="69"/>
  <c r="R256" i="69"/>
  <c r="S256" i="69" s="1"/>
  <c r="Q256" i="69"/>
  <c r="S255" i="69"/>
  <c r="Q255" i="69"/>
  <c r="S254" i="69"/>
  <c r="Q254" i="69"/>
  <c r="S253" i="69"/>
  <c r="Q253" i="69"/>
  <c r="S252" i="69"/>
  <c r="Q252" i="69"/>
  <c r="S251" i="69"/>
  <c r="Q251" i="69"/>
  <c r="S250" i="69"/>
  <c r="Q250" i="69"/>
  <c r="R249" i="69"/>
  <c r="S249" i="69" s="1"/>
  <c r="Q249" i="69"/>
  <c r="S248" i="69"/>
  <c r="Q248" i="69"/>
  <c r="S247" i="69"/>
  <c r="Q247" i="69"/>
  <c r="S246" i="69"/>
  <c r="Q246" i="69"/>
  <c r="S245" i="69"/>
  <c r="Q245" i="69"/>
  <c r="S244" i="69"/>
  <c r="Q244" i="69"/>
  <c r="S243" i="69"/>
  <c r="Q243" i="69"/>
  <c r="S242" i="69"/>
  <c r="Q242" i="69"/>
  <c r="S241" i="69"/>
  <c r="Q241" i="69"/>
  <c r="S240" i="69"/>
  <c r="Q240" i="69"/>
  <c r="S239" i="69"/>
  <c r="Q239" i="69"/>
  <c r="S238" i="69"/>
  <c r="Q238" i="69"/>
  <c r="S237" i="69"/>
  <c r="Q237" i="69"/>
  <c r="S236" i="69"/>
  <c r="Q236" i="69"/>
  <c r="S235" i="69"/>
  <c r="Q235" i="69"/>
  <c r="S234" i="69"/>
  <c r="Q234" i="69"/>
  <c r="S233" i="69"/>
  <c r="Q233" i="69"/>
  <c r="S232" i="69"/>
  <c r="Q232" i="69"/>
  <c r="R231" i="69"/>
  <c r="S231" i="69" s="1"/>
  <c r="Q231" i="69"/>
  <c r="S230" i="69"/>
  <c r="Q230" i="69"/>
  <c r="S229" i="69"/>
  <c r="Q229" i="69"/>
  <c r="S228" i="69"/>
  <c r="Q228" i="69"/>
  <c r="R227" i="69"/>
  <c r="S227" i="69" s="1"/>
  <c r="Q227" i="69"/>
  <c r="S226" i="69"/>
  <c r="Q226" i="69"/>
  <c r="S225" i="69"/>
  <c r="Q225" i="69"/>
  <c r="S224" i="69"/>
  <c r="Q224" i="69"/>
  <c r="S223" i="69"/>
  <c r="Q223" i="69"/>
  <c r="S222" i="69"/>
  <c r="Q222" i="69"/>
  <c r="S221" i="69"/>
  <c r="Q221" i="69"/>
  <c r="S220" i="69"/>
  <c r="Q220" i="69"/>
  <c r="S219" i="69"/>
  <c r="Q219" i="69"/>
  <c r="S218" i="69"/>
  <c r="Q218" i="69"/>
  <c r="S217" i="69"/>
  <c r="Q217" i="69"/>
  <c r="S216" i="69"/>
  <c r="Q216" i="69"/>
  <c r="S215" i="69"/>
  <c r="Q215" i="69"/>
  <c r="S214" i="69"/>
  <c r="Q214" i="69"/>
  <c r="S213" i="69"/>
  <c r="Q213" i="69"/>
  <c r="S212" i="69"/>
  <c r="Q212" i="69"/>
  <c r="S211" i="69"/>
  <c r="Q211" i="69"/>
  <c r="R210" i="69"/>
  <c r="S210" i="69" s="1"/>
  <c r="Q210" i="69"/>
  <c r="R209" i="69"/>
  <c r="S209" i="69" s="1"/>
  <c r="Q209" i="69"/>
  <c r="S208" i="69"/>
  <c r="Q208" i="69"/>
  <c r="S207" i="69"/>
  <c r="Q207" i="69"/>
  <c r="S206" i="69"/>
  <c r="Q206" i="69"/>
  <c r="S205" i="69"/>
  <c r="Q205" i="69"/>
  <c r="S204" i="69"/>
  <c r="Q204" i="69"/>
  <c r="S203" i="69"/>
  <c r="Q203" i="69"/>
  <c r="S202" i="69"/>
  <c r="Q202" i="69"/>
  <c r="S201" i="69"/>
  <c r="Q201" i="69"/>
  <c r="S200" i="69"/>
  <c r="Q200" i="69"/>
  <c r="S199" i="69"/>
  <c r="Q199" i="69"/>
  <c r="S198" i="69"/>
  <c r="Q198" i="69"/>
  <c r="S197" i="69"/>
  <c r="Q197" i="69"/>
  <c r="S196" i="69"/>
  <c r="Q196" i="69"/>
  <c r="S195" i="69"/>
  <c r="Q195" i="69"/>
  <c r="S194" i="69"/>
  <c r="Q194" i="69"/>
  <c r="S193" i="69"/>
  <c r="Q193" i="69"/>
  <c r="S192" i="69"/>
  <c r="Q192" i="69"/>
  <c r="S191" i="69"/>
  <c r="Q191" i="69"/>
  <c r="S190" i="69"/>
  <c r="Q190" i="69"/>
  <c r="S189" i="69"/>
  <c r="Q189" i="69"/>
  <c r="S188" i="69"/>
  <c r="Q188" i="69"/>
  <c r="S187" i="69"/>
  <c r="Q187" i="69"/>
  <c r="S186" i="69"/>
  <c r="Q186" i="69"/>
  <c r="S185" i="69"/>
  <c r="Q185" i="69"/>
  <c r="S184" i="69"/>
  <c r="Q184" i="69"/>
  <c r="S183" i="69"/>
  <c r="Q183" i="69"/>
  <c r="S182" i="69"/>
  <c r="Q182" i="69"/>
  <c r="S181" i="69"/>
  <c r="Q181" i="69"/>
  <c r="S180" i="69"/>
  <c r="Q180" i="69"/>
  <c r="S179" i="69"/>
  <c r="Q179" i="69"/>
  <c r="S178" i="69"/>
  <c r="Q178" i="69"/>
  <c r="S177" i="69"/>
  <c r="Q177" i="69"/>
  <c r="S176" i="69"/>
  <c r="Q176" i="69"/>
  <c r="S175" i="69"/>
  <c r="Q175" i="69"/>
  <c r="S174" i="69"/>
  <c r="Q174" i="69"/>
  <c r="S173" i="69"/>
  <c r="Q173" i="69"/>
  <c r="S172" i="69"/>
  <c r="Q172" i="69"/>
  <c r="S171" i="69"/>
  <c r="Q171" i="69"/>
  <c r="S170" i="69"/>
  <c r="Q170" i="69"/>
  <c r="S169" i="69"/>
  <c r="Q169" i="69"/>
  <c r="S168" i="69"/>
  <c r="Q168" i="69"/>
  <c r="S167" i="69"/>
  <c r="Q167" i="69"/>
  <c r="S166" i="69"/>
  <c r="Q166" i="69"/>
  <c r="S165" i="69"/>
  <c r="Q165" i="69"/>
  <c r="S164" i="69"/>
  <c r="Q164" i="69"/>
  <c r="S163" i="69"/>
  <c r="Q163" i="69"/>
  <c r="S162" i="69"/>
  <c r="Q162" i="69"/>
  <c r="S161" i="69"/>
  <c r="Q161" i="69"/>
  <c r="S160" i="69"/>
  <c r="Q160" i="69"/>
  <c r="S159" i="69"/>
  <c r="Q159" i="69"/>
  <c r="S158" i="69"/>
  <c r="Q158" i="69"/>
  <c r="S157" i="69"/>
  <c r="Q157" i="69"/>
  <c r="S156" i="69"/>
  <c r="Q156" i="69"/>
  <c r="S155" i="69"/>
  <c r="Q155" i="69"/>
  <c r="S154" i="69"/>
  <c r="Q154" i="69"/>
  <c r="S153" i="69"/>
  <c r="Q153" i="69"/>
  <c r="S152" i="69"/>
  <c r="Q152" i="69"/>
  <c r="S151" i="69"/>
  <c r="Q151" i="69"/>
  <c r="S150" i="69"/>
  <c r="Q150" i="69"/>
  <c r="S149" i="69"/>
  <c r="Q149" i="69"/>
  <c r="S148" i="69"/>
  <c r="Q148" i="69"/>
  <c r="S147" i="69"/>
  <c r="Q147" i="69"/>
  <c r="S146" i="69"/>
  <c r="Q146" i="69"/>
  <c r="S145" i="69"/>
  <c r="Q145" i="69"/>
  <c r="S144" i="69"/>
  <c r="Q144" i="69"/>
  <c r="S143" i="69"/>
  <c r="Q143" i="69"/>
  <c r="S142" i="69"/>
  <c r="Q142" i="69"/>
  <c r="S141" i="69"/>
  <c r="Q141" i="69"/>
  <c r="S140" i="69"/>
  <c r="Q140" i="69"/>
  <c r="S139" i="69"/>
  <c r="Q139" i="69"/>
  <c r="S138" i="69"/>
  <c r="Q138" i="69"/>
  <c r="S137" i="69"/>
  <c r="Q137" i="69"/>
  <c r="S136" i="69"/>
  <c r="Q136" i="69"/>
  <c r="S135" i="69"/>
  <c r="Q135" i="69"/>
  <c r="S134" i="69"/>
  <c r="Q134" i="69"/>
  <c r="S133" i="69"/>
  <c r="Q133" i="69"/>
  <c r="S132" i="69"/>
  <c r="Q132" i="69"/>
  <c r="S131" i="69"/>
  <c r="Q131" i="69"/>
  <c r="S130" i="69"/>
  <c r="Q130" i="69"/>
  <c r="S129" i="69"/>
  <c r="Q129" i="69"/>
  <c r="S128" i="69"/>
  <c r="Q128" i="69"/>
  <c r="S127" i="69"/>
  <c r="Q127" i="69"/>
  <c r="S126" i="69"/>
  <c r="Q126" i="69"/>
  <c r="S125" i="69"/>
  <c r="Q125" i="69"/>
  <c r="S124" i="69"/>
  <c r="Q124" i="69"/>
  <c r="S123" i="69"/>
  <c r="Q123" i="69"/>
  <c r="S122" i="69"/>
  <c r="Q122" i="69"/>
  <c r="S121" i="69"/>
  <c r="Q121" i="69"/>
  <c r="S120" i="69"/>
  <c r="Q120" i="69"/>
  <c r="S119" i="69"/>
  <c r="Q119" i="69"/>
  <c r="S118" i="69"/>
  <c r="Q118" i="69"/>
  <c r="S117" i="69"/>
  <c r="Q117" i="69"/>
  <c r="S116" i="69"/>
  <c r="Q116" i="69"/>
  <c r="S115" i="69"/>
  <c r="Q115" i="69"/>
  <c r="S114" i="69"/>
  <c r="Q114" i="69"/>
  <c r="S113" i="69"/>
  <c r="Q113" i="69"/>
  <c r="S112" i="69"/>
  <c r="Q112" i="69"/>
  <c r="S111" i="69"/>
  <c r="Q111" i="69"/>
  <c r="S110" i="69"/>
  <c r="Q110" i="69"/>
  <c r="S109" i="69"/>
  <c r="Q109" i="69"/>
  <c r="S108" i="69"/>
  <c r="Q108" i="69"/>
  <c r="S107" i="69"/>
  <c r="Q107" i="69"/>
  <c r="S106" i="69"/>
  <c r="Q106" i="69"/>
  <c r="S105" i="69"/>
  <c r="Q105" i="69"/>
  <c r="S104" i="69"/>
  <c r="Q104" i="69"/>
  <c r="S103" i="69"/>
  <c r="Q103" i="69"/>
  <c r="S102" i="69"/>
  <c r="Q102" i="69"/>
  <c r="S101" i="69"/>
  <c r="Q101" i="69"/>
  <c r="S100" i="69"/>
  <c r="Q100" i="69"/>
  <c r="S99" i="69"/>
  <c r="Q99" i="69"/>
  <c r="S98" i="69"/>
  <c r="Q98" i="69"/>
  <c r="S97" i="69"/>
  <c r="Q97" i="69"/>
  <c r="S96" i="69"/>
  <c r="Q96" i="69"/>
  <c r="S95" i="69"/>
  <c r="Q95" i="69"/>
  <c r="S94" i="69"/>
  <c r="Q94" i="69"/>
  <c r="S93" i="69"/>
  <c r="Q93" i="69"/>
  <c r="S92" i="69"/>
  <c r="Q92" i="69"/>
  <c r="S91" i="69"/>
  <c r="Q91" i="69"/>
  <c r="S90" i="69"/>
  <c r="Q90" i="69"/>
  <c r="S89" i="69"/>
  <c r="Q89" i="69"/>
  <c r="S88" i="69"/>
  <c r="Q88" i="69"/>
  <c r="S87" i="69"/>
  <c r="Q87" i="69"/>
  <c r="S86" i="69"/>
  <c r="Q86" i="69"/>
  <c r="S85" i="69"/>
  <c r="Q85" i="69"/>
  <c r="S84" i="69"/>
  <c r="Q84" i="69"/>
  <c r="S83" i="69"/>
  <c r="Q83" i="69"/>
  <c r="S82" i="69"/>
  <c r="Q82" i="69"/>
  <c r="S81" i="69"/>
  <c r="Q81" i="69"/>
  <c r="S80" i="69"/>
  <c r="Q80" i="69"/>
  <c r="S79" i="69"/>
  <c r="Q79" i="69"/>
  <c r="S78" i="69"/>
  <c r="Q78" i="69"/>
  <c r="S77" i="69"/>
  <c r="Q77" i="69"/>
  <c r="S76" i="69"/>
  <c r="Q76" i="69"/>
  <c r="S75" i="69"/>
  <c r="Q75" i="69"/>
  <c r="S74" i="69"/>
  <c r="Q74" i="69"/>
  <c r="S73" i="69"/>
  <c r="Q73" i="69"/>
  <c r="S72" i="69"/>
  <c r="Q72" i="69"/>
  <c r="S71" i="69"/>
  <c r="Q71" i="69"/>
  <c r="S70" i="69"/>
  <c r="Q70" i="69"/>
  <c r="S69" i="69"/>
  <c r="Q69" i="69"/>
  <c r="S68" i="69"/>
  <c r="Q68" i="69"/>
  <c r="S67" i="69"/>
  <c r="Q67" i="69"/>
  <c r="S66" i="69"/>
  <c r="Q66" i="69"/>
  <c r="S65" i="69"/>
  <c r="Q65" i="69"/>
  <c r="S64" i="69"/>
  <c r="Q64" i="69"/>
  <c r="S63" i="69"/>
  <c r="Q63" i="69"/>
  <c r="S62" i="69"/>
  <c r="Q62" i="69"/>
  <c r="S61" i="69"/>
  <c r="Q61" i="69"/>
  <c r="S60" i="69"/>
  <c r="Q60" i="69"/>
  <c r="S59" i="69"/>
  <c r="Q59" i="69"/>
  <c r="S58" i="69"/>
  <c r="Q58" i="69"/>
  <c r="S57" i="69"/>
  <c r="Q57" i="69"/>
  <c r="S56" i="69"/>
  <c r="Q56" i="69"/>
  <c r="S55" i="69"/>
  <c r="Q55" i="69"/>
  <c r="S54" i="69"/>
  <c r="Q54" i="69"/>
  <c r="S53" i="69"/>
  <c r="Q53" i="69"/>
  <c r="S52" i="69"/>
  <c r="Q52" i="69"/>
  <c r="S51" i="69"/>
  <c r="Q51" i="69"/>
  <c r="S50" i="69"/>
  <c r="Q50" i="69"/>
  <c r="S49" i="69"/>
  <c r="Q49" i="69"/>
  <c r="S48" i="69"/>
  <c r="Q48" i="69"/>
  <c r="S47" i="69"/>
  <c r="Q47" i="69"/>
  <c r="S46" i="69"/>
  <c r="Q46" i="69"/>
  <c r="S45" i="69"/>
  <c r="Q45" i="69"/>
  <c r="S44" i="69"/>
  <c r="Q44" i="69"/>
  <c r="S43" i="69"/>
  <c r="Q43" i="69"/>
  <c r="S42" i="69"/>
  <c r="Q42" i="69"/>
  <c r="S41" i="69"/>
  <c r="Q41" i="69"/>
  <c r="S40" i="69"/>
  <c r="Q40" i="69"/>
  <c r="S39" i="69"/>
  <c r="Q39" i="69"/>
  <c r="S38" i="69"/>
  <c r="Q38" i="69"/>
  <c r="S37" i="69"/>
  <c r="Q37" i="69"/>
  <c r="S36" i="69"/>
  <c r="Q36" i="69"/>
  <c r="S35" i="69"/>
  <c r="Q35" i="69"/>
  <c r="S34" i="69"/>
  <c r="Q34" i="69"/>
  <c r="S33" i="69"/>
  <c r="Q33" i="69"/>
  <c r="S32" i="69"/>
  <c r="Q32" i="69"/>
  <c r="S31" i="69"/>
  <c r="Q31" i="69"/>
  <c r="S30" i="69"/>
  <c r="Q30" i="69"/>
  <c r="S29" i="69"/>
  <c r="Q29" i="69"/>
  <c r="S28" i="69"/>
  <c r="Q28" i="69"/>
  <c r="S27" i="69"/>
  <c r="Q27" i="69"/>
  <c r="S26" i="69"/>
  <c r="Q26" i="69"/>
  <c r="S25" i="69"/>
  <c r="Q25" i="69"/>
  <c r="S24" i="69"/>
  <c r="Q24" i="69"/>
  <c r="S23" i="69"/>
  <c r="Q23" i="69"/>
  <c r="S22" i="69"/>
  <c r="Q22" i="69"/>
  <c r="S21" i="69"/>
  <c r="Q21" i="69"/>
  <c r="S20" i="69"/>
  <c r="Q20" i="69"/>
  <c r="S19" i="69"/>
  <c r="Q19" i="69"/>
  <c r="S18" i="69"/>
  <c r="Q18" i="69"/>
  <c r="S17" i="69"/>
  <c r="Q17" i="69"/>
  <c r="S16" i="69"/>
  <c r="Q16" i="69"/>
  <c r="S15" i="69"/>
  <c r="Q15" i="69"/>
  <c r="S14" i="69"/>
  <c r="Q14" i="69"/>
  <c r="S13" i="69"/>
  <c r="Q13" i="69"/>
  <c r="S12" i="69"/>
  <c r="Q12" i="69"/>
  <c r="S11" i="69"/>
  <c r="Q11" i="69"/>
  <c r="S10" i="69"/>
  <c r="Q10" i="69"/>
  <c r="S9" i="69"/>
  <c r="Q9" i="69"/>
  <c r="S8" i="69"/>
  <c r="Q8" i="69"/>
  <c r="S7" i="69"/>
  <c r="Q7" i="69"/>
  <c r="S6" i="69"/>
  <c r="Q6" i="69"/>
  <c r="S5" i="69"/>
  <c r="Q5" i="69"/>
  <c r="S4" i="69"/>
  <c r="Q4" i="69"/>
  <c r="S3" i="69"/>
  <c r="Q3" i="69"/>
  <c r="S2" i="69"/>
  <c r="Q2" i="69"/>
  <c r="S344" i="68"/>
  <c r="Q344" i="68"/>
  <c r="S343" i="68"/>
  <c r="Q343" i="68"/>
  <c r="S342" i="68"/>
  <c r="Q342" i="68"/>
  <c r="S341" i="68"/>
  <c r="Q341" i="68"/>
  <c r="S340" i="68"/>
  <c r="Q340" i="68"/>
  <c r="S339" i="68"/>
  <c r="Q339" i="68"/>
  <c r="S338" i="68"/>
  <c r="Q338" i="68"/>
  <c r="S337" i="68"/>
  <c r="Q337" i="68"/>
  <c r="S336" i="68"/>
  <c r="Q336" i="68"/>
  <c r="S335" i="68"/>
  <c r="Q335" i="68"/>
  <c r="S334" i="68"/>
  <c r="Q334" i="68"/>
  <c r="S333" i="68"/>
  <c r="Q333" i="68"/>
  <c r="S332" i="68"/>
  <c r="Q332" i="68"/>
  <c r="S331" i="68"/>
  <c r="Q331" i="68"/>
  <c r="S330" i="68"/>
  <c r="Q330" i="68"/>
  <c r="S329" i="68"/>
  <c r="Q329" i="68"/>
  <c r="S328" i="68"/>
  <c r="Q328" i="68"/>
  <c r="S327" i="68"/>
  <c r="Q327" i="68"/>
  <c r="S326" i="68"/>
  <c r="Q326" i="68"/>
  <c r="S325" i="68"/>
  <c r="Q325" i="68"/>
  <c r="S324" i="68"/>
  <c r="Q324" i="68"/>
  <c r="S323" i="68"/>
  <c r="Q323" i="68"/>
  <c r="S322" i="68"/>
  <c r="Q322" i="68"/>
  <c r="S321" i="68"/>
  <c r="Q321" i="68"/>
  <c r="S320" i="68"/>
  <c r="Q320" i="68"/>
  <c r="S319" i="68"/>
  <c r="Q319" i="68"/>
  <c r="S318" i="68"/>
  <c r="Q318" i="68"/>
  <c r="S317" i="68"/>
  <c r="Q317" i="68"/>
  <c r="S316" i="68"/>
  <c r="Q316" i="68"/>
  <c r="S315" i="68"/>
  <c r="Q315" i="68"/>
  <c r="S314" i="68"/>
  <c r="Q314" i="68"/>
  <c r="S313" i="68"/>
  <c r="Q313" i="68"/>
  <c r="S312" i="68"/>
  <c r="Q312" i="68"/>
  <c r="S311" i="68"/>
  <c r="Q311" i="68"/>
  <c r="S310" i="68"/>
  <c r="Q310" i="68"/>
  <c r="S309" i="68"/>
  <c r="Q309" i="68"/>
  <c r="S308" i="68"/>
  <c r="Q308" i="68"/>
  <c r="S307" i="68"/>
  <c r="Q307" i="68"/>
  <c r="S306" i="68"/>
  <c r="Q306" i="68"/>
  <c r="S305" i="68"/>
  <c r="Q305" i="68"/>
  <c r="S304" i="68"/>
  <c r="Q304" i="68"/>
  <c r="S303" i="68"/>
  <c r="Q303" i="68"/>
  <c r="S302" i="68"/>
  <c r="Q302" i="68"/>
  <c r="S301" i="68"/>
  <c r="Q301" i="68"/>
  <c r="S300" i="68"/>
  <c r="Q300" i="68"/>
  <c r="S299" i="68"/>
  <c r="Q299" i="68"/>
  <c r="S298" i="68"/>
  <c r="Q298" i="68"/>
  <c r="S297" i="68"/>
  <c r="Q297" i="68"/>
  <c r="S296" i="68"/>
  <c r="Q296" i="68"/>
  <c r="S295" i="68"/>
  <c r="Q295" i="68"/>
  <c r="S294" i="68"/>
  <c r="Q294" i="68"/>
  <c r="S293" i="68"/>
  <c r="Q293" i="68"/>
  <c r="S292" i="68"/>
  <c r="Q292" i="68"/>
  <c r="S291" i="68"/>
  <c r="Q291" i="68"/>
  <c r="S290" i="68"/>
  <c r="Q290" i="68"/>
  <c r="S289" i="68"/>
  <c r="Q289" i="68"/>
  <c r="S288" i="68"/>
  <c r="Q288" i="68"/>
  <c r="S287" i="68"/>
  <c r="Q287" i="68"/>
  <c r="S286" i="68"/>
  <c r="Q286" i="68"/>
  <c r="S285" i="68"/>
  <c r="Q285" i="68"/>
  <c r="S284" i="68"/>
  <c r="R284" i="68"/>
  <c r="Q284" i="68"/>
  <c r="R283" i="68"/>
  <c r="S283" i="68" s="1"/>
  <c r="Q283" i="68"/>
  <c r="S282" i="68"/>
  <c r="Q282" i="68"/>
  <c r="S281" i="68"/>
  <c r="Q281" i="68"/>
  <c r="S280" i="68"/>
  <c r="Q280" i="68"/>
  <c r="S279" i="68"/>
  <c r="Q279" i="68"/>
  <c r="S278" i="68"/>
  <c r="Q278" i="68"/>
  <c r="S277" i="68"/>
  <c r="Q277" i="68"/>
  <c r="S276" i="68"/>
  <c r="Q276" i="68"/>
  <c r="S275" i="68"/>
  <c r="Q275" i="68"/>
  <c r="S274" i="68"/>
  <c r="R274" i="68"/>
  <c r="Q274" i="68"/>
  <c r="R273" i="68"/>
  <c r="S273" i="68" s="1"/>
  <c r="Q273" i="68"/>
  <c r="S272" i="68"/>
  <c r="Q272" i="68"/>
  <c r="S271" i="68"/>
  <c r="Q271" i="68"/>
  <c r="S270" i="68"/>
  <c r="Q270" i="68"/>
  <c r="S269" i="68"/>
  <c r="Q269" i="68"/>
  <c r="S268" i="68"/>
  <c r="Q268" i="68"/>
  <c r="S267" i="68"/>
  <c r="Q267" i="68"/>
  <c r="S266" i="68"/>
  <c r="R266" i="68"/>
  <c r="Q266" i="68"/>
  <c r="S265" i="68"/>
  <c r="Q265" i="68"/>
  <c r="S264" i="68"/>
  <c r="Q264" i="68"/>
  <c r="S263" i="68"/>
  <c r="Q263" i="68"/>
  <c r="S262" i="68"/>
  <c r="Q262" i="68"/>
  <c r="S261" i="68"/>
  <c r="Q261" i="68"/>
  <c r="S260" i="68"/>
  <c r="Q260" i="68"/>
  <c r="S259" i="68"/>
  <c r="Q259" i="68"/>
  <c r="S258" i="68"/>
  <c r="Q258" i="68"/>
  <c r="S257" i="68"/>
  <c r="Q257" i="68"/>
  <c r="S256" i="68"/>
  <c r="Q256" i="68"/>
  <c r="S255" i="68"/>
  <c r="Q255" i="68"/>
  <c r="S254" i="68"/>
  <c r="Q254" i="68"/>
  <c r="S253" i="68"/>
  <c r="Q253" i="68"/>
  <c r="S252" i="68"/>
  <c r="Q252" i="68"/>
  <c r="S251" i="68"/>
  <c r="Q251" i="68"/>
  <c r="S250" i="68"/>
  <c r="Q250" i="68"/>
  <c r="S249" i="68"/>
  <c r="Q249" i="68"/>
  <c r="R248" i="68"/>
  <c r="S248" i="68" s="1"/>
  <c r="Q248" i="68"/>
  <c r="S247" i="68"/>
  <c r="Q247" i="68"/>
  <c r="S246" i="68"/>
  <c r="Q246" i="68"/>
  <c r="S245" i="68"/>
  <c r="Q245" i="68"/>
  <c r="S244" i="68"/>
  <c r="R244" i="68"/>
  <c r="Q244" i="68"/>
  <c r="S243" i="68"/>
  <c r="Q243" i="68"/>
  <c r="S242" i="68"/>
  <c r="Q242" i="68"/>
  <c r="S241" i="68"/>
  <c r="Q241" i="68"/>
  <c r="S240" i="68"/>
  <c r="Q240" i="68"/>
  <c r="S239" i="68"/>
  <c r="Q239" i="68"/>
  <c r="S238" i="68"/>
  <c r="Q238" i="68"/>
  <c r="S237" i="68"/>
  <c r="Q237" i="68"/>
  <c r="S236" i="68"/>
  <c r="Q236" i="68"/>
  <c r="S235" i="68"/>
  <c r="Q235" i="68"/>
  <c r="S234" i="68"/>
  <c r="Q234" i="68"/>
  <c r="S233" i="68"/>
  <c r="Q233" i="68"/>
  <c r="S232" i="68"/>
  <c r="Q232" i="68"/>
  <c r="S231" i="68"/>
  <c r="Q231" i="68"/>
  <c r="S230" i="68"/>
  <c r="Q230" i="68"/>
  <c r="S229" i="68"/>
  <c r="Q229" i="68"/>
  <c r="S228" i="68"/>
  <c r="Q228" i="68"/>
  <c r="R227" i="68"/>
  <c r="S227" i="68" s="1"/>
  <c r="Q227" i="68"/>
  <c r="S226" i="68"/>
  <c r="R226" i="68"/>
  <c r="Q226" i="68"/>
  <c r="S225" i="68"/>
  <c r="Q225" i="68"/>
  <c r="S224" i="68"/>
  <c r="Q224" i="68"/>
  <c r="S223" i="68"/>
  <c r="Q223" i="68"/>
  <c r="S222" i="68"/>
  <c r="Q222" i="68"/>
  <c r="S221" i="68"/>
  <c r="Q221" i="68"/>
  <c r="S220" i="68"/>
  <c r="Q220" i="68"/>
  <c r="S219" i="68"/>
  <c r="Q219" i="68"/>
  <c r="S218" i="68"/>
  <c r="Q218" i="68"/>
  <c r="S217" i="68"/>
  <c r="Q217" i="68"/>
  <c r="S216" i="68"/>
  <c r="Q216" i="68"/>
  <c r="S215" i="68"/>
  <c r="Q215" i="68"/>
  <c r="S214" i="68"/>
  <c r="Q214" i="68"/>
  <c r="S213" i="68"/>
  <c r="Q213" i="68"/>
  <c r="S212" i="68"/>
  <c r="Q212" i="68"/>
  <c r="S211" i="68"/>
  <c r="Q211" i="68"/>
  <c r="S210" i="68"/>
  <c r="Q210" i="68"/>
  <c r="S209" i="68"/>
  <c r="Q209" i="68"/>
  <c r="S208" i="68"/>
  <c r="Q208" i="68"/>
  <c r="S207" i="68"/>
  <c r="Q207" i="68"/>
  <c r="S206" i="68"/>
  <c r="Q206" i="68"/>
  <c r="S205" i="68"/>
  <c r="Q205" i="68"/>
  <c r="S204" i="68"/>
  <c r="Q204" i="68"/>
  <c r="S203" i="68"/>
  <c r="Q203" i="68"/>
  <c r="S202" i="68"/>
  <c r="Q202" i="68"/>
  <c r="S201" i="68"/>
  <c r="Q201" i="68"/>
  <c r="S200" i="68"/>
  <c r="Q200" i="68"/>
  <c r="S199" i="68"/>
  <c r="Q199" i="68"/>
  <c r="S198" i="68"/>
  <c r="Q198" i="68"/>
  <c r="S197" i="68"/>
  <c r="Q197" i="68"/>
  <c r="S196" i="68"/>
  <c r="Q196" i="68"/>
  <c r="S195" i="68"/>
  <c r="Q195" i="68"/>
  <c r="S194" i="68"/>
  <c r="Q194" i="68"/>
  <c r="S193" i="68"/>
  <c r="Q193" i="68"/>
  <c r="S192" i="68"/>
  <c r="Q192" i="68"/>
  <c r="S191" i="68"/>
  <c r="Q191" i="68"/>
  <c r="S190" i="68"/>
  <c r="Q190" i="68"/>
  <c r="S189" i="68"/>
  <c r="Q189" i="68"/>
  <c r="S188" i="68"/>
  <c r="Q188" i="68"/>
  <c r="S187" i="68"/>
  <c r="Q187" i="68"/>
  <c r="S186" i="68"/>
  <c r="Q186" i="68"/>
  <c r="S185" i="68"/>
  <c r="Q185" i="68"/>
  <c r="S184" i="68"/>
  <c r="Q184" i="68"/>
  <c r="S183" i="68"/>
  <c r="Q183" i="68"/>
  <c r="S182" i="68"/>
  <c r="Q182" i="68"/>
  <c r="S181" i="68"/>
  <c r="Q181" i="68"/>
  <c r="S180" i="68"/>
  <c r="Q180" i="68"/>
  <c r="S179" i="68"/>
  <c r="Q179" i="68"/>
  <c r="S178" i="68"/>
  <c r="Q178" i="68"/>
  <c r="S177" i="68"/>
  <c r="Q177" i="68"/>
  <c r="S176" i="68"/>
  <c r="Q176" i="68"/>
  <c r="S175" i="68"/>
  <c r="Q175" i="68"/>
  <c r="S174" i="68"/>
  <c r="Q174" i="68"/>
  <c r="S173" i="68"/>
  <c r="Q173" i="68"/>
  <c r="S172" i="68"/>
  <c r="Q172" i="68"/>
  <c r="S171" i="68"/>
  <c r="Q171" i="68"/>
  <c r="S170" i="68"/>
  <c r="Q170" i="68"/>
  <c r="S169" i="68"/>
  <c r="Q169" i="68"/>
  <c r="S168" i="68"/>
  <c r="Q168" i="68"/>
  <c r="S167" i="68"/>
  <c r="Q167" i="68"/>
  <c r="S166" i="68"/>
  <c r="Q166" i="68"/>
  <c r="S165" i="68"/>
  <c r="Q165" i="68"/>
  <c r="S164" i="68"/>
  <c r="Q164" i="68"/>
  <c r="S163" i="68"/>
  <c r="Q163" i="68"/>
  <c r="S162" i="68"/>
  <c r="Q162" i="68"/>
  <c r="S161" i="68"/>
  <c r="Q161" i="68"/>
  <c r="S160" i="68"/>
  <c r="Q160" i="68"/>
  <c r="S159" i="68"/>
  <c r="Q159" i="68"/>
  <c r="S158" i="68"/>
  <c r="Q158" i="68"/>
  <c r="S157" i="68"/>
  <c r="Q157" i="68"/>
  <c r="S156" i="68"/>
  <c r="Q156" i="68"/>
  <c r="S155" i="68"/>
  <c r="Q155" i="68"/>
  <c r="S154" i="68"/>
  <c r="Q154" i="68"/>
  <c r="S153" i="68"/>
  <c r="Q153" i="68"/>
  <c r="S152" i="68"/>
  <c r="Q152" i="68"/>
  <c r="S151" i="68"/>
  <c r="Q151" i="68"/>
  <c r="S150" i="68"/>
  <c r="Q150" i="68"/>
  <c r="S149" i="68"/>
  <c r="Q149" i="68"/>
  <c r="S148" i="68"/>
  <c r="Q148" i="68"/>
  <c r="S147" i="68"/>
  <c r="Q147" i="68"/>
  <c r="S146" i="68"/>
  <c r="Q146" i="68"/>
  <c r="S145" i="68"/>
  <c r="Q145" i="68"/>
  <c r="S144" i="68"/>
  <c r="Q144" i="68"/>
  <c r="S143" i="68"/>
  <c r="Q143" i="68"/>
  <c r="S142" i="68"/>
  <c r="Q142" i="68"/>
  <c r="S141" i="68"/>
  <c r="Q141" i="68"/>
  <c r="S140" i="68"/>
  <c r="Q140" i="68"/>
  <c r="S139" i="68"/>
  <c r="Q139" i="68"/>
  <c r="S138" i="68"/>
  <c r="Q138" i="68"/>
  <c r="S137" i="68"/>
  <c r="Q137" i="68"/>
  <c r="S136" i="68"/>
  <c r="Q136" i="68"/>
  <c r="S135" i="68"/>
  <c r="Q135" i="68"/>
  <c r="S134" i="68"/>
  <c r="Q134" i="68"/>
  <c r="S133" i="68"/>
  <c r="Q133" i="68"/>
  <c r="S132" i="68"/>
  <c r="Q132" i="68"/>
  <c r="S131" i="68"/>
  <c r="Q131" i="68"/>
  <c r="S130" i="68"/>
  <c r="Q130" i="68"/>
  <c r="S129" i="68"/>
  <c r="Q129" i="68"/>
  <c r="S128" i="68"/>
  <c r="Q128" i="68"/>
  <c r="S127" i="68"/>
  <c r="Q127" i="68"/>
  <c r="S126" i="68"/>
  <c r="Q126" i="68"/>
  <c r="S125" i="68"/>
  <c r="Q125" i="68"/>
  <c r="S124" i="68"/>
  <c r="Q124" i="68"/>
  <c r="S123" i="68"/>
  <c r="Q123" i="68"/>
  <c r="S122" i="68"/>
  <c r="Q122" i="68"/>
  <c r="S121" i="68"/>
  <c r="Q121" i="68"/>
  <c r="S120" i="68"/>
  <c r="Q120" i="68"/>
  <c r="S119" i="68"/>
  <c r="Q119" i="68"/>
  <c r="S118" i="68"/>
  <c r="Q118" i="68"/>
  <c r="S117" i="68"/>
  <c r="Q117" i="68"/>
  <c r="S116" i="68"/>
  <c r="Q116" i="68"/>
  <c r="S115" i="68"/>
  <c r="Q115" i="68"/>
  <c r="S114" i="68"/>
  <c r="Q114" i="68"/>
  <c r="S113" i="68"/>
  <c r="Q113" i="68"/>
  <c r="S112" i="68"/>
  <c r="Q112" i="68"/>
  <c r="S111" i="68"/>
  <c r="Q111" i="68"/>
  <c r="S110" i="68"/>
  <c r="Q110" i="68"/>
  <c r="S109" i="68"/>
  <c r="Q109" i="68"/>
  <c r="S108" i="68"/>
  <c r="Q108" i="68"/>
  <c r="S107" i="68"/>
  <c r="Q107" i="68"/>
  <c r="S106" i="68"/>
  <c r="Q106" i="68"/>
  <c r="S105" i="68"/>
  <c r="Q105" i="68"/>
  <c r="S104" i="68"/>
  <c r="Q104" i="68"/>
  <c r="S103" i="68"/>
  <c r="Q103" i="68"/>
  <c r="S102" i="68"/>
  <c r="Q102" i="68"/>
  <c r="S101" i="68"/>
  <c r="Q101" i="68"/>
  <c r="S100" i="68"/>
  <c r="Q100" i="68"/>
  <c r="S99" i="68"/>
  <c r="Q99" i="68"/>
  <c r="S98" i="68"/>
  <c r="Q98" i="68"/>
  <c r="S97" i="68"/>
  <c r="Q97" i="68"/>
  <c r="S96" i="68"/>
  <c r="Q96" i="68"/>
  <c r="S95" i="68"/>
  <c r="Q95" i="68"/>
  <c r="S94" i="68"/>
  <c r="Q94" i="68"/>
  <c r="S93" i="68"/>
  <c r="Q93" i="68"/>
  <c r="S92" i="68"/>
  <c r="Q92" i="68"/>
  <c r="S91" i="68"/>
  <c r="Q91" i="68"/>
  <c r="S90" i="68"/>
  <c r="Q90" i="68"/>
  <c r="S89" i="68"/>
  <c r="Q89" i="68"/>
  <c r="S88" i="68"/>
  <c r="Q88" i="68"/>
  <c r="S87" i="68"/>
  <c r="Q87" i="68"/>
  <c r="S86" i="68"/>
  <c r="Q86" i="68"/>
  <c r="S85" i="68"/>
  <c r="Q85" i="68"/>
  <c r="S84" i="68"/>
  <c r="Q84" i="68"/>
  <c r="S83" i="68"/>
  <c r="Q83" i="68"/>
  <c r="S82" i="68"/>
  <c r="Q82" i="68"/>
  <c r="S81" i="68"/>
  <c r="Q81" i="68"/>
  <c r="S80" i="68"/>
  <c r="Q80" i="68"/>
  <c r="S79" i="68"/>
  <c r="Q79" i="68"/>
  <c r="S78" i="68"/>
  <c r="Q78" i="68"/>
  <c r="S77" i="68"/>
  <c r="Q77" i="68"/>
  <c r="S76" i="68"/>
  <c r="Q76" i="68"/>
  <c r="S75" i="68"/>
  <c r="Q75" i="68"/>
  <c r="S74" i="68"/>
  <c r="Q74" i="68"/>
  <c r="S73" i="68"/>
  <c r="Q73" i="68"/>
  <c r="S72" i="68"/>
  <c r="Q72" i="68"/>
  <c r="S71" i="68"/>
  <c r="Q71" i="68"/>
  <c r="S70" i="68"/>
  <c r="Q70" i="68"/>
  <c r="S69" i="68"/>
  <c r="Q69" i="68"/>
  <c r="S68" i="68"/>
  <c r="Q68" i="68"/>
  <c r="S67" i="68"/>
  <c r="Q67" i="68"/>
  <c r="S66" i="68"/>
  <c r="Q66" i="68"/>
  <c r="S65" i="68"/>
  <c r="Q65" i="68"/>
  <c r="S64" i="68"/>
  <c r="Q64" i="68"/>
  <c r="S63" i="68"/>
  <c r="Q63" i="68"/>
  <c r="S62" i="68"/>
  <c r="Q62" i="68"/>
  <c r="S61" i="68"/>
  <c r="Q61" i="68"/>
  <c r="S60" i="68"/>
  <c r="Q60" i="68"/>
  <c r="S59" i="68"/>
  <c r="Q59" i="68"/>
  <c r="S58" i="68"/>
  <c r="Q58" i="68"/>
  <c r="S57" i="68"/>
  <c r="Q57" i="68"/>
  <c r="S56" i="68"/>
  <c r="Q56" i="68"/>
  <c r="S55" i="68"/>
  <c r="Q55" i="68"/>
  <c r="S54" i="68"/>
  <c r="Q54" i="68"/>
  <c r="S53" i="68"/>
  <c r="Q53" i="68"/>
  <c r="S52" i="68"/>
  <c r="Q52" i="68"/>
  <c r="S51" i="68"/>
  <c r="Q51" i="68"/>
  <c r="S50" i="68"/>
  <c r="Q50" i="68"/>
  <c r="S49" i="68"/>
  <c r="Q49" i="68"/>
  <c r="S48" i="68"/>
  <c r="Q48" i="68"/>
  <c r="S47" i="68"/>
  <c r="Q47" i="68"/>
  <c r="S46" i="68"/>
  <c r="Q46" i="68"/>
  <c r="S45" i="68"/>
  <c r="Q45" i="68"/>
  <c r="S44" i="68"/>
  <c r="Q44" i="68"/>
  <c r="S43" i="68"/>
  <c r="Q43" i="68"/>
  <c r="S42" i="68"/>
  <c r="Q42" i="68"/>
  <c r="S41" i="68"/>
  <c r="Q41" i="68"/>
  <c r="S40" i="68"/>
  <c r="Q40" i="68"/>
  <c r="S39" i="68"/>
  <c r="Q39" i="68"/>
  <c r="S38" i="68"/>
  <c r="Q38" i="68"/>
  <c r="S37" i="68"/>
  <c r="Q37" i="68"/>
  <c r="S36" i="68"/>
  <c r="Q36" i="68"/>
  <c r="S35" i="68"/>
  <c r="Q35" i="68"/>
  <c r="S34" i="68"/>
  <c r="Q34" i="68"/>
  <c r="S33" i="68"/>
  <c r="Q33" i="68"/>
  <c r="S32" i="68"/>
  <c r="Q32" i="68"/>
  <c r="S31" i="68"/>
  <c r="Q31" i="68"/>
  <c r="S30" i="68"/>
  <c r="Q30" i="68"/>
  <c r="S29" i="68"/>
  <c r="Q29" i="68"/>
  <c r="S28" i="68"/>
  <c r="Q28" i="68"/>
  <c r="S27" i="68"/>
  <c r="Q27" i="68"/>
  <c r="S26" i="68"/>
  <c r="Q26" i="68"/>
  <c r="S25" i="68"/>
  <c r="Q25" i="68"/>
  <c r="S24" i="68"/>
  <c r="Q24" i="68"/>
  <c r="S23" i="68"/>
  <c r="Q23" i="68"/>
  <c r="S22" i="68"/>
  <c r="Q22" i="68"/>
  <c r="S21" i="68"/>
  <c r="Q21" i="68"/>
  <c r="S20" i="68"/>
  <c r="Q20" i="68"/>
  <c r="S19" i="68"/>
  <c r="Q19" i="68"/>
  <c r="S18" i="68"/>
  <c r="Q18" i="68"/>
  <c r="S17" i="68"/>
  <c r="Q17" i="68"/>
  <c r="S16" i="68"/>
  <c r="Q16" i="68"/>
  <c r="S15" i="68"/>
  <c r="Q15" i="68"/>
  <c r="S14" i="68"/>
  <c r="Q14" i="68"/>
  <c r="S13" i="68"/>
  <c r="Q13" i="68"/>
  <c r="S12" i="68"/>
  <c r="Q12" i="68"/>
  <c r="S11" i="68"/>
  <c r="Q11" i="68"/>
  <c r="S10" i="68"/>
  <c r="Q10" i="68"/>
  <c r="S9" i="68"/>
  <c r="Q9" i="68"/>
  <c r="S8" i="68"/>
  <c r="Q8" i="68"/>
  <c r="S7" i="68"/>
  <c r="Q7" i="68"/>
  <c r="S6" i="68"/>
  <c r="Q6" i="68"/>
  <c r="S5" i="68"/>
  <c r="Q5" i="68"/>
  <c r="S4" i="68"/>
  <c r="Q4" i="68"/>
  <c r="S329" i="67"/>
  <c r="Q329" i="67"/>
  <c r="S328" i="67"/>
  <c r="Q328" i="67"/>
  <c r="S327" i="67"/>
  <c r="Q327" i="67"/>
  <c r="S326" i="67"/>
  <c r="Q326" i="67"/>
  <c r="S325" i="67"/>
  <c r="Q325" i="67"/>
  <c r="S324" i="67"/>
  <c r="Q324" i="67"/>
  <c r="S323" i="67"/>
  <c r="Q323" i="67"/>
  <c r="S322" i="67"/>
  <c r="Q322" i="67"/>
  <c r="S321" i="67"/>
  <c r="Q321" i="67"/>
  <c r="S320" i="67"/>
  <c r="Q320" i="67"/>
  <c r="S319" i="67"/>
  <c r="Q319" i="67"/>
  <c r="S318" i="67"/>
  <c r="Q318" i="67"/>
  <c r="S317" i="67"/>
  <c r="Q317" i="67"/>
  <c r="S316" i="67"/>
  <c r="Q316" i="67"/>
  <c r="S315" i="67"/>
  <c r="Q315" i="67"/>
  <c r="S314" i="67"/>
  <c r="Q314" i="67"/>
  <c r="S313" i="67"/>
  <c r="Q313" i="67"/>
  <c r="S312" i="67"/>
  <c r="Q312" i="67"/>
  <c r="S311" i="67"/>
  <c r="Q311" i="67"/>
  <c r="S310" i="67"/>
  <c r="Q310" i="67"/>
  <c r="S309" i="67"/>
  <c r="Q309" i="67"/>
  <c r="S308" i="67"/>
  <c r="Q308" i="67"/>
  <c r="S307" i="67"/>
  <c r="Q307" i="67"/>
  <c r="S306" i="67"/>
  <c r="Q306" i="67"/>
  <c r="S305" i="67"/>
  <c r="Q305" i="67"/>
  <c r="S304" i="67"/>
  <c r="Q304" i="67"/>
  <c r="S303" i="67"/>
  <c r="Q303" i="67"/>
  <c r="S302" i="67"/>
  <c r="Q302" i="67"/>
  <c r="S301" i="67"/>
  <c r="Q301" i="67"/>
  <c r="S300" i="67"/>
  <c r="Q300" i="67"/>
  <c r="S299" i="67"/>
  <c r="Q299" i="67"/>
  <c r="S298" i="67"/>
  <c r="Q298" i="67"/>
  <c r="S297" i="67"/>
  <c r="Q297" i="67"/>
  <c r="S296" i="67"/>
  <c r="Q296" i="67"/>
  <c r="S295" i="67"/>
  <c r="Q295" i="67"/>
  <c r="S294" i="67"/>
  <c r="Q294" i="67"/>
  <c r="S293" i="67"/>
  <c r="Q293" i="67"/>
  <c r="S292" i="67"/>
  <c r="Q292" i="67"/>
  <c r="S291" i="67"/>
  <c r="Q291" i="67"/>
  <c r="S290" i="67"/>
  <c r="Q290" i="67"/>
  <c r="S289" i="67"/>
  <c r="Q289" i="67"/>
  <c r="S288" i="67"/>
  <c r="Q288" i="67"/>
  <c r="S287" i="67"/>
  <c r="Q287" i="67"/>
  <c r="S286" i="67"/>
  <c r="Q286" i="67"/>
  <c r="S285" i="67"/>
  <c r="Q285" i="67"/>
  <c r="R284" i="67"/>
  <c r="S284" i="67" s="1"/>
  <c r="Q284" i="67"/>
  <c r="S283" i="67"/>
  <c r="R283" i="67"/>
  <c r="Q283" i="67"/>
  <c r="S282" i="67"/>
  <c r="Q282" i="67"/>
  <c r="S281" i="67"/>
  <c r="Q281" i="67"/>
  <c r="S280" i="67"/>
  <c r="Q280" i="67"/>
  <c r="S279" i="67"/>
  <c r="Q279" i="67"/>
  <c r="S278" i="67"/>
  <c r="Q278" i="67"/>
  <c r="S277" i="67"/>
  <c r="Q277" i="67"/>
  <c r="S276" i="67"/>
  <c r="Q276" i="67"/>
  <c r="S275" i="67"/>
  <c r="Q275" i="67"/>
  <c r="R274" i="67"/>
  <c r="S274" i="67" s="1"/>
  <c r="Q274" i="67"/>
  <c r="S273" i="67"/>
  <c r="R273" i="67"/>
  <c r="Q273" i="67"/>
  <c r="S272" i="67"/>
  <c r="Q272" i="67"/>
  <c r="S271" i="67"/>
  <c r="Q271" i="67"/>
  <c r="S270" i="67"/>
  <c r="Q270" i="67"/>
  <c r="S269" i="67"/>
  <c r="Q269" i="67"/>
  <c r="S268" i="67"/>
  <c r="Q268" i="67"/>
  <c r="S267" i="67"/>
  <c r="Q267" i="67"/>
  <c r="R266" i="67"/>
  <c r="S266" i="67" s="1"/>
  <c r="Q266" i="67"/>
  <c r="S265" i="67"/>
  <c r="Q265" i="67"/>
  <c r="S264" i="67"/>
  <c r="Q264" i="67"/>
  <c r="S263" i="67"/>
  <c r="Q263" i="67"/>
  <c r="S262" i="67"/>
  <c r="Q262" i="67"/>
  <c r="S261" i="67"/>
  <c r="Q261" i="67"/>
  <c r="S260" i="67"/>
  <c r="Q260" i="67"/>
  <c r="S259" i="67"/>
  <c r="Q259" i="67"/>
  <c r="S258" i="67"/>
  <c r="Q258" i="67"/>
  <c r="S257" i="67"/>
  <c r="Q257" i="67"/>
  <c r="S256" i="67"/>
  <c r="Q256" i="67"/>
  <c r="S255" i="67"/>
  <c r="Q255" i="67"/>
  <c r="S254" i="67"/>
  <c r="Q254" i="67"/>
  <c r="S253" i="67"/>
  <c r="Q253" i="67"/>
  <c r="S252" i="67"/>
  <c r="Q252" i="67"/>
  <c r="S251" i="67"/>
  <c r="Q251" i="67"/>
  <c r="S250" i="67"/>
  <c r="Q250" i="67"/>
  <c r="S249" i="67"/>
  <c r="Q249" i="67"/>
  <c r="S248" i="67"/>
  <c r="R248" i="67"/>
  <c r="Q248" i="67"/>
  <c r="S247" i="67"/>
  <c r="Q247" i="67"/>
  <c r="S246" i="67"/>
  <c r="Q246" i="67"/>
  <c r="S245" i="67"/>
  <c r="Q245" i="67"/>
  <c r="R244" i="67"/>
  <c r="S244" i="67" s="1"/>
  <c r="Q244" i="67"/>
  <c r="S243" i="67"/>
  <c r="Q243" i="67"/>
  <c r="S242" i="67"/>
  <c r="Q242" i="67"/>
  <c r="S241" i="67"/>
  <c r="Q241" i="67"/>
  <c r="S240" i="67"/>
  <c r="Q240" i="67"/>
  <c r="S239" i="67"/>
  <c r="Q239" i="67"/>
  <c r="S238" i="67"/>
  <c r="Q238" i="67"/>
  <c r="S237" i="67"/>
  <c r="Q237" i="67"/>
  <c r="S236" i="67"/>
  <c r="Q236" i="67"/>
  <c r="S235" i="67"/>
  <c r="Q235" i="67"/>
  <c r="S234" i="67"/>
  <c r="Q234" i="67"/>
  <c r="S233" i="67"/>
  <c r="Q233" i="67"/>
  <c r="S232" i="67"/>
  <c r="Q232" i="67"/>
  <c r="S231" i="67"/>
  <c r="Q231" i="67"/>
  <c r="S230" i="67"/>
  <c r="Q230" i="67"/>
  <c r="S229" i="67"/>
  <c r="Q229" i="67"/>
  <c r="S228" i="67"/>
  <c r="Q228" i="67"/>
  <c r="S227" i="67"/>
  <c r="R227" i="67"/>
  <c r="Q227" i="67"/>
  <c r="R226" i="67"/>
  <c r="S226" i="67" s="1"/>
  <c r="Q226" i="67"/>
  <c r="S225" i="67"/>
  <c r="Q225" i="67"/>
  <c r="S224" i="67"/>
  <c r="Q224" i="67"/>
  <c r="S223" i="67"/>
  <c r="Q223" i="67"/>
  <c r="S222" i="67"/>
  <c r="Q222" i="67"/>
  <c r="S221" i="67"/>
  <c r="Q221" i="67"/>
  <c r="S220" i="67"/>
  <c r="Q220" i="67"/>
  <c r="S219" i="67"/>
  <c r="Q219" i="67"/>
  <c r="S218" i="67"/>
  <c r="Q218" i="67"/>
  <c r="S217" i="67"/>
  <c r="Q217" i="67"/>
  <c r="S216" i="67"/>
  <c r="Q216" i="67"/>
  <c r="S215" i="67"/>
  <c r="Q215" i="67"/>
  <c r="S214" i="67"/>
  <c r="Q214" i="67"/>
  <c r="S213" i="67"/>
  <c r="Q213" i="67"/>
  <c r="S212" i="67"/>
  <c r="Q212" i="67"/>
  <c r="S211" i="67"/>
  <c r="Q211" i="67"/>
  <c r="S210" i="67"/>
  <c r="Q210" i="67"/>
  <c r="S209" i="67"/>
  <c r="Q209" i="67"/>
  <c r="S208" i="67"/>
  <c r="Q208" i="67"/>
  <c r="S207" i="67"/>
  <c r="Q207" i="67"/>
  <c r="S206" i="67"/>
  <c r="Q206" i="67"/>
  <c r="S205" i="67"/>
  <c r="Q205" i="67"/>
  <c r="S204" i="67"/>
  <c r="Q204" i="67"/>
  <c r="S203" i="67"/>
  <c r="Q203" i="67"/>
  <c r="S202" i="67"/>
  <c r="Q202" i="67"/>
  <c r="S201" i="67"/>
  <c r="Q201" i="67"/>
  <c r="S200" i="67"/>
  <c r="Q200" i="67"/>
  <c r="S199" i="67"/>
  <c r="Q199" i="67"/>
  <c r="S198" i="67"/>
  <c r="Q198" i="67"/>
  <c r="S197" i="67"/>
  <c r="Q197" i="67"/>
  <c r="S196" i="67"/>
  <c r="Q196" i="67"/>
  <c r="S195" i="67"/>
  <c r="Q195" i="67"/>
  <c r="S194" i="67"/>
  <c r="Q194" i="67"/>
  <c r="S193" i="67"/>
  <c r="Q193" i="67"/>
  <c r="S192" i="67"/>
  <c r="Q192" i="67"/>
  <c r="S191" i="67"/>
  <c r="Q191" i="67"/>
  <c r="S190" i="67"/>
  <c r="Q190" i="67"/>
  <c r="S189" i="67"/>
  <c r="Q189" i="67"/>
  <c r="S188" i="67"/>
  <c r="Q188" i="67"/>
  <c r="S187" i="67"/>
  <c r="Q187" i="67"/>
  <c r="S186" i="67"/>
  <c r="Q186" i="67"/>
  <c r="S185" i="67"/>
  <c r="Q185" i="67"/>
  <c r="S184" i="67"/>
  <c r="Q184" i="67"/>
  <c r="S183" i="67"/>
  <c r="Q183" i="67"/>
  <c r="S182" i="67"/>
  <c r="Q182" i="67"/>
  <c r="S181" i="67"/>
  <c r="Q181" i="67"/>
  <c r="S180" i="67"/>
  <c r="Q180" i="67"/>
  <c r="S179" i="67"/>
  <c r="Q179" i="67"/>
  <c r="S178" i="67"/>
  <c r="Q178" i="67"/>
  <c r="S177" i="67"/>
  <c r="Q177" i="67"/>
  <c r="S176" i="67"/>
  <c r="Q176" i="67"/>
  <c r="S175" i="67"/>
  <c r="Q175" i="67"/>
  <c r="S174" i="67"/>
  <c r="Q174" i="67"/>
  <c r="S173" i="67"/>
  <c r="Q173" i="67"/>
  <c r="S172" i="67"/>
  <c r="Q172" i="67"/>
  <c r="S171" i="67"/>
  <c r="Q171" i="67"/>
  <c r="S170" i="67"/>
  <c r="Q170" i="67"/>
  <c r="S169" i="67"/>
  <c r="Q169" i="67"/>
  <c r="S168" i="67"/>
  <c r="Q168" i="67"/>
  <c r="S167" i="67"/>
  <c r="Q167" i="67"/>
  <c r="S166" i="67"/>
  <c r="Q166" i="67"/>
  <c r="S165" i="67"/>
  <c r="Q165" i="67"/>
  <c r="S164" i="67"/>
  <c r="Q164" i="67"/>
  <c r="S163" i="67"/>
  <c r="Q163" i="67"/>
  <c r="S162" i="67"/>
  <c r="Q162" i="67"/>
  <c r="S161" i="67"/>
  <c r="Q161" i="67"/>
  <c r="S160" i="67"/>
  <c r="Q160" i="67"/>
  <c r="S159" i="67"/>
  <c r="Q159" i="67"/>
  <c r="S158" i="67"/>
  <c r="Q158" i="67"/>
  <c r="S157" i="67"/>
  <c r="Q157" i="67"/>
  <c r="S156" i="67"/>
  <c r="Q156" i="67"/>
  <c r="S155" i="67"/>
  <c r="Q155" i="67"/>
  <c r="S154" i="67"/>
  <c r="Q154" i="67"/>
  <c r="S153" i="67"/>
  <c r="Q153" i="67"/>
  <c r="S152" i="67"/>
  <c r="Q152" i="67"/>
  <c r="S151" i="67"/>
  <c r="Q151" i="67"/>
  <c r="S150" i="67"/>
  <c r="Q150" i="67"/>
  <c r="S149" i="67"/>
  <c r="Q149" i="67"/>
  <c r="S148" i="67"/>
  <c r="Q148" i="67"/>
  <c r="S147" i="67"/>
  <c r="Q147" i="67"/>
  <c r="S146" i="67"/>
  <c r="Q146" i="67"/>
  <c r="S145" i="67"/>
  <c r="Q145" i="67"/>
  <c r="S144" i="67"/>
  <c r="Q144" i="67"/>
  <c r="S143" i="67"/>
  <c r="Q143" i="67"/>
  <c r="S142" i="67"/>
  <c r="Q142" i="67"/>
  <c r="S141" i="67"/>
  <c r="Q141" i="67"/>
  <c r="S140" i="67"/>
  <c r="Q140" i="67"/>
  <c r="S139" i="67"/>
  <c r="Q139" i="67"/>
  <c r="S138" i="67"/>
  <c r="Q138" i="67"/>
  <c r="S137" i="67"/>
  <c r="Q137" i="67"/>
  <c r="S136" i="67"/>
  <c r="Q136" i="67"/>
  <c r="S135" i="67"/>
  <c r="Q135" i="67"/>
  <c r="S134" i="67"/>
  <c r="Q134" i="67"/>
  <c r="S133" i="67"/>
  <c r="Q133" i="67"/>
  <c r="S132" i="67"/>
  <c r="Q132" i="67"/>
  <c r="S131" i="67"/>
  <c r="Q131" i="67"/>
  <c r="S130" i="67"/>
  <c r="Q130" i="67"/>
  <c r="S129" i="67"/>
  <c r="Q129" i="67"/>
  <c r="S128" i="67"/>
  <c r="Q128" i="67"/>
  <c r="S127" i="67"/>
  <c r="Q127" i="67"/>
  <c r="S126" i="67"/>
  <c r="Q126" i="67"/>
  <c r="S125" i="67"/>
  <c r="Q125" i="67"/>
  <c r="S124" i="67"/>
  <c r="Q124" i="67"/>
  <c r="S123" i="67"/>
  <c r="Q123" i="67"/>
  <c r="S122" i="67"/>
  <c r="Q122" i="67"/>
  <c r="S121" i="67"/>
  <c r="Q121" i="67"/>
  <c r="S120" i="67"/>
  <c r="Q120" i="67"/>
  <c r="S119" i="67"/>
  <c r="Q119" i="67"/>
  <c r="S118" i="67"/>
  <c r="Q118" i="67"/>
  <c r="S117" i="67"/>
  <c r="Q117" i="67"/>
  <c r="S116" i="67"/>
  <c r="Q116" i="67"/>
  <c r="S115" i="67"/>
  <c r="Q115" i="67"/>
  <c r="S114" i="67"/>
  <c r="Q114" i="67"/>
  <c r="S113" i="67"/>
  <c r="Q113" i="67"/>
  <c r="S112" i="67"/>
  <c r="Q112" i="67"/>
  <c r="S111" i="67"/>
  <c r="Q111" i="67"/>
  <c r="S110" i="67"/>
  <c r="Q110" i="67"/>
  <c r="S109" i="67"/>
  <c r="Q109" i="67"/>
  <c r="S108" i="67"/>
  <c r="Q108" i="67"/>
  <c r="S107" i="67"/>
  <c r="Q107" i="67"/>
  <c r="S106" i="67"/>
  <c r="Q106" i="67"/>
  <c r="S105" i="67"/>
  <c r="Q105" i="67"/>
  <c r="S104" i="67"/>
  <c r="Q104" i="67"/>
  <c r="S103" i="67"/>
  <c r="Q103" i="67"/>
  <c r="S102" i="67"/>
  <c r="Q102" i="67"/>
  <c r="S101" i="67"/>
  <c r="Q101" i="67"/>
  <c r="S100" i="67"/>
  <c r="Q100" i="67"/>
  <c r="S99" i="67"/>
  <c r="Q99" i="67"/>
  <c r="S98" i="67"/>
  <c r="Q98" i="67"/>
  <c r="S97" i="67"/>
  <c r="Q97" i="67"/>
  <c r="S96" i="67"/>
  <c r="Q96" i="67"/>
  <c r="S95" i="67"/>
  <c r="Q95" i="67"/>
  <c r="S94" i="67"/>
  <c r="Q94" i="67"/>
  <c r="S93" i="67"/>
  <c r="Q93" i="67"/>
  <c r="S92" i="67"/>
  <c r="Q92" i="67"/>
  <c r="S91" i="67"/>
  <c r="Q91" i="67"/>
  <c r="S90" i="67"/>
  <c r="Q90" i="67"/>
  <c r="S89" i="67"/>
  <c r="Q89" i="67"/>
  <c r="S88" i="67"/>
  <c r="Q88" i="67"/>
  <c r="S87" i="67"/>
  <c r="Q87" i="67"/>
  <c r="S86" i="67"/>
  <c r="Q86" i="67"/>
  <c r="S85" i="67"/>
  <c r="Q85" i="67"/>
  <c r="S84" i="67"/>
  <c r="Q84" i="67"/>
  <c r="S83" i="67"/>
  <c r="Q83" i="67"/>
  <c r="S82" i="67"/>
  <c r="Q82" i="67"/>
  <c r="S81" i="67"/>
  <c r="Q81" i="67"/>
  <c r="S80" i="67"/>
  <c r="Q80" i="67"/>
  <c r="S79" i="67"/>
  <c r="Q79" i="67"/>
  <c r="S78" i="67"/>
  <c r="Q78" i="67"/>
  <c r="S77" i="67"/>
  <c r="Q77" i="67"/>
  <c r="S76" i="67"/>
  <c r="Q76" i="67"/>
  <c r="S75" i="67"/>
  <c r="Q75" i="67"/>
  <c r="S74" i="67"/>
  <c r="Q74" i="67"/>
  <c r="S73" i="67"/>
  <c r="Q73" i="67"/>
  <c r="S72" i="67"/>
  <c r="Q72" i="67"/>
  <c r="S71" i="67"/>
  <c r="Q71" i="67"/>
  <c r="S70" i="67"/>
  <c r="Q70" i="67"/>
  <c r="S69" i="67"/>
  <c r="Q69" i="67"/>
  <c r="S68" i="67"/>
  <c r="Q68" i="67"/>
  <c r="S67" i="67"/>
  <c r="Q67" i="67"/>
  <c r="S66" i="67"/>
  <c r="Q66" i="67"/>
  <c r="S65" i="67"/>
  <c r="Q65" i="67"/>
  <c r="S64" i="67"/>
  <c r="Q64" i="67"/>
  <c r="S63" i="67"/>
  <c r="Q63" i="67"/>
  <c r="S62" i="67"/>
  <c r="Q62" i="67"/>
  <c r="S61" i="67"/>
  <c r="Q61" i="67"/>
  <c r="S60" i="67"/>
  <c r="Q60" i="67"/>
  <c r="S59" i="67"/>
  <c r="Q59" i="67"/>
  <c r="S58" i="67"/>
  <c r="Q58" i="67"/>
  <c r="S57" i="67"/>
  <c r="Q57" i="67"/>
  <c r="S56" i="67"/>
  <c r="Q56" i="67"/>
  <c r="S55" i="67"/>
  <c r="Q55" i="67"/>
  <c r="S54" i="67"/>
  <c r="Q54" i="67"/>
  <c r="S53" i="67"/>
  <c r="Q53" i="67"/>
  <c r="S52" i="67"/>
  <c r="Q52" i="67"/>
  <c r="S51" i="67"/>
  <c r="Q51" i="67"/>
  <c r="S50" i="67"/>
  <c r="Q50" i="67"/>
  <c r="S49" i="67"/>
  <c r="Q49" i="67"/>
  <c r="S48" i="67"/>
  <c r="Q48" i="67"/>
  <c r="S47" i="67"/>
  <c r="Q47" i="67"/>
  <c r="S46" i="67"/>
  <c r="Q46" i="67"/>
  <c r="S45" i="67"/>
  <c r="Q45" i="67"/>
  <c r="S44" i="67"/>
  <c r="Q44" i="67"/>
  <c r="S43" i="67"/>
  <c r="Q43" i="67"/>
  <c r="S42" i="67"/>
  <c r="Q42" i="67"/>
  <c r="S41" i="67"/>
  <c r="Q41" i="67"/>
  <c r="S40" i="67"/>
  <c r="Q40" i="67"/>
  <c r="S39" i="67"/>
  <c r="Q39" i="67"/>
  <c r="S38" i="67"/>
  <c r="Q38" i="67"/>
  <c r="S37" i="67"/>
  <c r="Q37" i="67"/>
  <c r="S36" i="67"/>
  <c r="Q36" i="67"/>
  <c r="S35" i="67"/>
  <c r="Q35" i="67"/>
  <c r="S34" i="67"/>
  <c r="Q34" i="67"/>
  <c r="S33" i="67"/>
  <c r="Q33" i="67"/>
  <c r="S32" i="67"/>
  <c r="Q32" i="67"/>
  <c r="S31" i="67"/>
  <c r="Q31" i="67"/>
  <c r="S30" i="67"/>
  <c r="Q30" i="67"/>
  <c r="S29" i="67"/>
  <c r="Q29" i="67"/>
  <c r="S28" i="67"/>
  <c r="Q28" i="67"/>
  <c r="S27" i="67"/>
  <c r="Q27" i="67"/>
  <c r="S26" i="67"/>
  <c r="Q26" i="67"/>
  <c r="S25" i="67"/>
  <c r="Q25" i="67"/>
  <c r="S24" i="67"/>
  <c r="Q24" i="67"/>
  <c r="S23" i="67"/>
  <c r="Q23" i="67"/>
  <c r="S22" i="67"/>
  <c r="Q22" i="67"/>
  <c r="S21" i="67"/>
  <c r="Q21" i="67"/>
  <c r="S20" i="67"/>
  <c r="Q20" i="67"/>
  <c r="S19" i="67"/>
  <c r="Q19" i="67"/>
  <c r="S18" i="67"/>
  <c r="Q18" i="67"/>
  <c r="S17" i="67"/>
  <c r="Q17" i="67"/>
  <c r="S16" i="67"/>
  <c r="Q16" i="67"/>
  <c r="S15" i="67"/>
  <c r="Q15" i="67"/>
  <c r="S14" i="67"/>
  <c r="Q14" i="67"/>
  <c r="S13" i="67"/>
  <c r="Q13" i="67"/>
  <c r="S12" i="67"/>
  <c r="Q12" i="67"/>
  <c r="S11" i="67"/>
  <c r="Q11" i="67"/>
  <c r="S10" i="67"/>
  <c r="Q10" i="67"/>
  <c r="S9" i="67"/>
  <c r="Q9" i="67"/>
  <c r="S8" i="67"/>
  <c r="Q8" i="67"/>
  <c r="S7" i="67"/>
  <c r="Q7" i="67"/>
  <c r="S6" i="67"/>
  <c r="Q6" i="67"/>
  <c r="S5" i="67"/>
  <c r="Q5" i="67"/>
  <c r="S4" i="67"/>
  <c r="Q4" i="67"/>
  <c r="S320" i="66"/>
  <c r="Q320" i="66"/>
  <c r="S319" i="66"/>
  <c r="Q319" i="66"/>
  <c r="S318" i="66"/>
  <c r="Q318" i="66"/>
  <c r="S317" i="66"/>
  <c r="Q317" i="66"/>
  <c r="S316" i="66"/>
  <c r="Q316" i="66"/>
  <c r="S315" i="66"/>
  <c r="Q315" i="66"/>
  <c r="S314" i="66"/>
  <c r="Q314" i="66"/>
  <c r="S313" i="66"/>
  <c r="Q313" i="66"/>
  <c r="S312" i="66"/>
  <c r="Q312" i="66"/>
  <c r="S311" i="66"/>
  <c r="Q311" i="66"/>
  <c r="S310" i="66"/>
  <c r="Q310" i="66"/>
  <c r="S309" i="66"/>
  <c r="Q309" i="66"/>
  <c r="S308" i="66"/>
  <c r="Q308" i="66"/>
  <c r="S307" i="66"/>
  <c r="Q307" i="66"/>
  <c r="S306" i="66"/>
  <c r="Q306" i="66"/>
  <c r="S305" i="66"/>
  <c r="Q305" i="66"/>
  <c r="S304" i="66"/>
  <c r="Q304" i="66"/>
  <c r="S303" i="66"/>
  <c r="Q303" i="66"/>
  <c r="S302" i="66"/>
  <c r="Q302" i="66"/>
  <c r="S301" i="66"/>
  <c r="Q301" i="66"/>
  <c r="S300" i="66"/>
  <c r="Q300" i="66"/>
  <c r="S299" i="66"/>
  <c r="Q299" i="66"/>
  <c r="S298" i="66"/>
  <c r="Q298" i="66"/>
  <c r="S297" i="66"/>
  <c r="Q297" i="66"/>
  <c r="S296" i="66"/>
  <c r="Q296" i="66"/>
  <c r="S295" i="66"/>
  <c r="Q295" i="66"/>
  <c r="S294" i="66"/>
  <c r="Q294" i="66"/>
  <c r="S293" i="66"/>
  <c r="Q293" i="66"/>
  <c r="S292" i="66"/>
  <c r="Q292" i="66"/>
  <c r="S291" i="66"/>
  <c r="Q291" i="66"/>
  <c r="S290" i="66"/>
  <c r="Q290" i="66"/>
  <c r="S289" i="66"/>
  <c r="Q289" i="66"/>
  <c r="S288" i="66"/>
  <c r="Q288" i="66"/>
  <c r="S287" i="66"/>
  <c r="Q287" i="66"/>
  <c r="S286" i="66"/>
  <c r="Q286" i="66"/>
  <c r="S285" i="66"/>
  <c r="Q285" i="66"/>
  <c r="S284" i="66"/>
  <c r="Q284" i="66"/>
  <c r="S283" i="66"/>
  <c r="Q283" i="66"/>
  <c r="S282" i="66"/>
  <c r="Q282" i="66"/>
  <c r="S281" i="66"/>
  <c r="R281" i="66"/>
  <c r="Q281" i="66"/>
  <c r="R280" i="66"/>
  <c r="S280" i="66" s="1"/>
  <c r="Q280" i="66"/>
  <c r="S279" i="66"/>
  <c r="Q279" i="66"/>
  <c r="S278" i="66"/>
  <c r="Q278" i="66"/>
  <c r="S277" i="66"/>
  <c r="Q277" i="66"/>
  <c r="S276" i="66"/>
  <c r="Q276" i="66"/>
  <c r="S275" i="66"/>
  <c r="Q275" i="66"/>
  <c r="S274" i="66"/>
  <c r="Q274" i="66"/>
  <c r="S273" i="66"/>
  <c r="Q273" i="66"/>
  <c r="S272" i="66"/>
  <c r="Q272" i="66"/>
  <c r="S271" i="66"/>
  <c r="R271" i="66"/>
  <c r="Q271" i="66"/>
  <c r="R270" i="66"/>
  <c r="S270" i="66" s="1"/>
  <c r="Q270" i="66"/>
  <c r="S269" i="66"/>
  <c r="Q269" i="66"/>
  <c r="S268" i="66"/>
  <c r="Q268" i="66"/>
  <c r="S267" i="66"/>
  <c r="Q267" i="66"/>
  <c r="S266" i="66"/>
  <c r="Q266" i="66"/>
  <c r="S265" i="66"/>
  <c r="Q265" i="66"/>
  <c r="S264" i="66"/>
  <c r="Q264" i="66"/>
  <c r="S263" i="66"/>
  <c r="R263" i="66"/>
  <c r="Q263" i="66"/>
  <c r="S262" i="66"/>
  <c r="Q262" i="66"/>
  <c r="S261" i="66"/>
  <c r="Q261" i="66"/>
  <c r="S260" i="66"/>
  <c r="Q260" i="66"/>
  <c r="S259" i="66"/>
  <c r="Q259" i="66"/>
  <c r="S258" i="66"/>
  <c r="Q258" i="66"/>
  <c r="S257" i="66"/>
  <c r="Q257" i="66"/>
  <c r="S256" i="66"/>
  <c r="Q256" i="66"/>
  <c r="S255" i="66"/>
  <c r="Q255" i="66"/>
  <c r="S254" i="66"/>
  <c r="Q254" i="66"/>
  <c r="S253" i="66"/>
  <c r="Q253" i="66"/>
  <c r="S252" i="66"/>
  <c r="Q252" i="66"/>
  <c r="S251" i="66"/>
  <c r="Q251" i="66"/>
  <c r="S250" i="66"/>
  <c r="Q250" i="66"/>
  <c r="S249" i="66"/>
  <c r="Q249" i="66"/>
  <c r="S248" i="66"/>
  <c r="Q248" i="66"/>
  <c r="S247" i="66"/>
  <c r="Q247" i="66"/>
  <c r="S246" i="66"/>
  <c r="Q246" i="66"/>
  <c r="R245" i="66"/>
  <c r="S245" i="66" s="1"/>
  <c r="Q245" i="66"/>
  <c r="S244" i="66"/>
  <c r="Q244" i="66"/>
  <c r="S243" i="66"/>
  <c r="Q243" i="66"/>
  <c r="S242" i="66"/>
  <c r="Q242" i="66"/>
  <c r="S241" i="66"/>
  <c r="R241" i="66"/>
  <c r="Q241" i="66"/>
  <c r="S240" i="66"/>
  <c r="Q240" i="66"/>
  <c r="S239" i="66"/>
  <c r="Q239" i="66"/>
  <c r="S238" i="66"/>
  <c r="Q238" i="66"/>
  <c r="S237" i="66"/>
  <c r="Q237" i="66"/>
  <c r="S236" i="66"/>
  <c r="Q236" i="66"/>
  <c r="S235" i="66"/>
  <c r="Q235" i="66"/>
  <c r="S234" i="66"/>
  <c r="Q234" i="66"/>
  <c r="S233" i="66"/>
  <c r="Q233" i="66"/>
  <c r="S232" i="66"/>
  <c r="Q232" i="66"/>
  <c r="S231" i="66"/>
  <c r="Q231" i="66"/>
  <c r="S230" i="66"/>
  <c r="Q230" i="66"/>
  <c r="S229" i="66"/>
  <c r="Q229" i="66"/>
  <c r="S228" i="66"/>
  <c r="Q228" i="66"/>
  <c r="S227" i="66"/>
  <c r="Q227" i="66"/>
  <c r="S226" i="66"/>
  <c r="Q226" i="66"/>
  <c r="S225" i="66"/>
  <c r="Q225" i="66"/>
  <c r="R224" i="66"/>
  <c r="S224" i="66" s="1"/>
  <c r="Q224" i="66"/>
  <c r="S223" i="66"/>
  <c r="R223" i="66"/>
  <c r="Q223" i="66"/>
  <c r="S222" i="66"/>
  <c r="Q222" i="66"/>
  <c r="S221" i="66"/>
  <c r="Q221" i="66"/>
  <c r="S220" i="66"/>
  <c r="Q220" i="66"/>
  <c r="S219" i="66"/>
  <c r="Q219" i="66"/>
  <c r="S218" i="66"/>
  <c r="Q218" i="66"/>
  <c r="S217" i="66"/>
  <c r="Q217" i="66"/>
  <c r="S216" i="66"/>
  <c r="Q216" i="66"/>
  <c r="S215" i="66"/>
  <c r="Q215" i="66"/>
  <c r="S214" i="66"/>
  <c r="Q214" i="66"/>
  <c r="S213" i="66"/>
  <c r="Q213" i="66"/>
  <c r="S212" i="66"/>
  <c r="Q212" i="66"/>
  <c r="S211" i="66"/>
  <c r="Q211" i="66"/>
  <c r="S210" i="66"/>
  <c r="Q210" i="66"/>
  <c r="S209" i="66"/>
  <c r="Q209" i="66"/>
  <c r="S208" i="66"/>
  <c r="Q208" i="66"/>
  <c r="S207" i="66"/>
  <c r="Q207" i="66"/>
  <c r="S206" i="66"/>
  <c r="Q206" i="66"/>
  <c r="S205" i="66"/>
  <c r="Q205" i="66"/>
  <c r="S204" i="66"/>
  <c r="Q204" i="66"/>
  <c r="S203" i="66"/>
  <c r="Q203" i="66"/>
  <c r="S202" i="66"/>
  <c r="Q202" i="66"/>
  <c r="S201" i="66"/>
  <c r="Q201" i="66"/>
  <c r="S200" i="66"/>
  <c r="Q200" i="66"/>
  <c r="S199" i="66"/>
  <c r="Q199" i="66"/>
  <c r="S198" i="66"/>
  <c r="Q198" i="66"/>
  <c r="S197" i="66"/>
  <c r="Q197" i="66"/>
  <c r="S196" i="66"/>
  <c r="Q196" i="66"/>
  <c r="S195" i="66"/>
  <c r="Q195" i="66"/>
  <c r="S194" i="66"/>
  <c r="Q194" i="66"/>
  <c r="S193" i="66"/>
  <c r="Q193" i="66"/>
  <c r="S192" i="66"/>
  <c r="Q192" i="66"/>
  <c r="S191" i="66"/>
  <c r="Q191" i="66"/>
  <c r="S190" i="66"/>
  <c r="Q190" i="66"/>
  <c r="S189" i="66"/>
  <c r="Q189" i="66"/>
  <c r="S188" i="66"/>
  <c r="Q188" i="66"/>
  <c r="S187" i="66"/>
  <c r="Q187" i="66"/>
  <c r="S186" i="66"/>
  <c r="Q186" i="66"/>
  <c r="S185" i="66"/>
  <c r="Q185" i="66"/>
  <c r="S184" i="66"/>
  <c r="Q184" i="66"/>
  <c r="S183" i="66"/>
  <c r="Q183" i="66"/>
  <c r="S182" i="66"/>
  <c r="Q182" i="66"/>
  <c r="S181" i="66"/>
  <c r="Q181" i="66"/>
  <c r="S180" i="66"/>
  <c r="Q180" i="66"/>
  <c r="S179" i="66"/>
  <c r="Q179" i="66"/>
  <c r="S178" i="66"/>
  <c r="Q178" i="66"/>
  <c r="S177" i="66"/>
  <c r="Q177" i="66"/>
  <c r="S176" i="66"/>
  <c r="Q176" i="66"/>
  <c r="S175" i="66"/>
  <c r="Q175" i="66"/>
  <c r="S174" i="66"/>
  <c r="Q174" i="66"/>
  <c r="S173" i="66"/>
  <c r="Q173" i="66"/>
  <c r="S172" i="66"/>
  <c r="Q172" i="66"/>
  <c r="S171" i="66"/>
  <c r="Q171" i="66"/>
  <c r="S170" i="66"/>
  <c r="Q170" i="66"/>
  <c r="S169" i="66"/>
  <c r="Q169" i="66"/>
  <c r="S168" i="66"/>
  <c r="Q168" i="66"/>
  <c r="S167" i="66"/>
  <c r="Q167" i="66"/>
  <c r="S166" i="66"/>
  <c r="Q166" i="66"/>
  <c r="S165" i="66"/>
  <c r="Q165" i="66"/>
  <c r="S164" i="66"/>
  <c r="Q164" i="66"/>
  <c r="S163" i="66"/>
  <c r="Q163" i="66"/>
  <c r="S162" i="66"/>
  <c r="Q162" i="66"/>
  <c r="S161" i="66"/>
  <c r="Q161" i="66"/>
  <c r="S160" i="66"/>
  <c r="Q160" i="66"/>
  <c r="S159" i="66"/>
  <c r="Q159" i="66"/>
  <c r="S158" i="66"/>
  <c r="Q158" i="66"/>
  <c r="S157" i="66"/>
  <c r="Q157" i="66"/>
  <c r="S156" i="66"/>
  <c r="Q156" i="66"/>
  <c r="S155" i="66"/>
  <c r="Q155" i="66"/>
  <c r="S154" i="66"/>
  <c r="Q154" i="66"/>
  <c r="S153" i="66"/>
  <c r="Q153" i="66"/>
  <c r="S152" i="66"/>
  <c r="Q152" i="66"/>
  <c r="S151" i="66"/>
  <c r="Q151" i="66"/>
  <c r="S150" i="66"/>
  <c r="Q150" i="66"/>
  <c r="S149" i="66"/>
  <c r="Q149" i="66"/>
  <c r="S148" i="66"/>
  <c r="Q148" i="66"/>
  <c r="S147" i="66"/>
  <c r="Q147" i="66"/>
  <c r="S146" i="66"/>
  <c r="Q146" i="66"/>
  <c r="S145" i="66"/>
  <c r="Q145" i="66"/>
  <c r="S144" i="66"/>
  <c r="Q144" i="66"/>
  <c r="S143" i="66"/>
  <c r="Q143" i="66"/>
  <c r="S142" i="66"/>
  <c r="Q142" i="66"/>
  <c r="S141" i="66"/>
  <c r="Q141" i="66"/>
  <c r="S140" i="66"/>
  <c r="Q140" i="66"/>
  <c r="S139" i="66"/>
  <c r="Q139" i="66"/>
  <c r="S138" i="66"/>
  <c r="Q138" i="66"/>
  <c r="S137" i="66"/>
  <c r="Q137" i="66"/>
  <c r="S136" i="66"/>
  <c r="Q136" i="66"/>
  <c r="S135" i="66"/>
  <c r="Q135" i="66"/>
  <c r="S134" i="66"/>
  <c r="Q134" i="66"/>
  <c r="S133" i="66"/>
  <c r="Q133" i="66"/>
  <c r="S132" i="66"/>
  <c r="Q132" i="66"/>
  <c r="S131" i="66"/>
  <c r="Q131" i="66"/>
  <c r="S130" i="66"/>
  <c r="Q130" i="66"/>
  <c r="S129" i="66"/>
  <c r="Q129" i="66"/>
  <c r="S128" i="66"/>
  <c r="Q128" i="66"/>
  <c r="S127" i="66"/>
  <c r="Q127" i="66"/>
  <c r="S126" i="66"/>
  <c r="Q126" i="66"/>
  <c r="S125" i="66"/>
  <c r="Q125" i="66"/>
  <c r="S124" i="66"/>
  <c r="Q124" i="66"/>
  <c r="S123" i="66"/>
  <c r="Q123" i="66"/>
  <c r="S122" i="66"/>
  <c r="Q122" i="66"/>
  <c r="S121" i="66"/>
  <c r="Q121" i="66"/>
  <c r="S120" i="66"/>
  <c r="Q120" i="66"/>
  <c r="S119" i="66"/>
  <c r="Q119" i="66"/>
  <c r="S118" i="66"/>
  <c r="Q118" i="66"/>
  <c r="S117" i="66"/>
  <c r="Q117" i="66"/>
  <c r="S116" i="66"/>
  <c r="Q116" i="66"/>
  <c r="S115" i="66"/>
  <c r="Q115" i="66"/>
  <c r="S114" i="66"/>
  <c r="Q114" i="66"/>
  <c r="S113" i="66"/>
  <c r="Q113" i="66"/>
  <c r="S112" i="66"/>
  <c r="Q112" i="66"/>
  <c r="S111" i="66"/>
  <c r="Q111" i="66"/>
  <c r="S110" i="66"/>
  <c r="Q110" i="66"/>
  <c r="S109" i="66"/>
  <c r="Q109" i="66"/>
  <c r="S108" i="66"/>
  <c r="Q108" i="66"/>
  <c r="S107" i="66"/>
  <c r="Q107" i="66"/>
  <c r="S106" i="66"/>
  <c r="Q106" i="66"/>
  <c r="S105" i="66"/>
  <c r="Q105" i="66"/>
  <c r="S104" i="66"/>
  <c r="Q104" i="66"/>
  <c r="S103" i="66"/>
  <c r="Q103" i="66"/>
  <c r="S102" i="66"/>
  <c r="Q102" i="66"/>
  <c r="S101" i="66"/>
  <c r="Q101" i="66"/>
  <c r="S100" i="66"/>
  <c r="Q100" i="66"/>
  <c r="S99" i="66"/>
  <c r="Q99" i="66"/>
  <c r="S98" i="66"/>
  <c r="Q98" i="66"/>
  <c r="S97" i="66"/>
  <c r="Q97" i="66"/>
  <c r="S96" i="66"/>
  <c r="Q96" i="66"/>
  <c r="S95" i="66"/>
  <c r="Q95" i="66"/>
  <c r="S94" i="66"/>
  <c r="Q94" i="66"/>
  <c r="S93" i="66"/>
  <c r="Q93" i="66"/>
  <c r="S92" i="66"/>
  <c r="Q92" i="66"/>
  <c r="S91" i="66"/>
  <c r="Q91" i="66"/>
  <c r="S90" i="66"/>
  <c r="Q90" i="66"/>
  <c r="S89" i="66"/>
  <c r="Q89" i="66"/>
  <c r="S88" i="66"/>
  <c r="Q88" i="66"/>
  <c r="S87" i="66"/>
  <c r="Q87" i="66"/>
  <c r="S86" i="66"/>
  <c r="Q86" i="66"/>
  <c r="S85" i="66"/>
  <c r="Q85" i="66"/>
  <c r="S84" i="66"/>
  <c r="Q84" i="66"/>
  <c r="S83" i="66"/>
  <c r="Q83" i="66"/>
  <c r="S82" i="66"/>
  <c r="Q82" i="66"/>
  <c r="S81" i="66"/>
  <c r="Q81" i="66"/>
  <c r="S80" i="66"/>
  <c r="Q80" i="66"/>
  <c r="S79" i="66"/>
  <c r="Q79" i="66"/>
  <c r="S78" i="66"/>
  <c r="Q78" i="66"/>
  <c r="S77" i="66"/>
  <c r="Q77" i="66"/>
  <c r="S76" i="66"/>
  <c r="Q76" i="66"/>
  <c r="S75" i="66"/>
  <c r="Q75" i="66"/>
  <c r="S74" i="66"/>
  <c r="Q74" i="66"/>
  <c r="S73" i="66"/>
  <c r="Q73" i="66"/>
  <c r="S72" i="66"/>
  <c r="Q72" i="66"/>
  <c r="S71" i="66"/>
  <c r="Q71" i="66"/>
  <c r="S70" i="66"/>
  <c r="Q70" i="66"/>
  <c r="S69" i="66"/>
  <c r="Q69" i="66"/>
  <c r="S68" i="66"/>
  <c r="Q68" i="66"/>
  <c r="S67" i="66"/>
  <c r="Q67" i="66"/>
  <c r="S66" i="66"/>
  <c r="Q66" i="66"/>
  <c r="S65" i="66"/>
  <c r="Q65" i="66"/>
  <c r="S64" i="66"/>
  <c r="Q64" i="66"/>
  <c r="S63" i="66"/>
  <c r="Q63" i="66"/>
  <c r="S62" i="66"/>
  <c r="Q62" i="66"/>
  <c r="S61" i="66"/>
  <c r="Q61" i="66"/>
  <c r="S60" i="66"/>
  <c r="Q60" i="66"/>
  <c r="S59" i="66"/>
  <c r="Q59" i="66"/>
  <c r="S58" i="66"/>
  <c r="Q58" i="66"/>
  <c r="S57" i="66"/>
  <c r="Q57" i="66"/>
  <c r="S56" i="66"/>
  <c r="Q56" i="66"/>
  <c r="S55" i="66"/>
  <c r="Q55" i="66"/>
  <c r="S54" i="66"/>
  <c r="Q54" i="66"/>
  <c r="S53" i="66"/>
  <c r="Q53" i="66"/>
  <c r="S52" i="66"/>
  <c r="Q52" i="66"/>
  <c r="S51" i="66"/>
  <c r="Q51" i="66"/>
  <c r="S50" i="66"/>
  <c r="Q50" i="66"/>
  <c r="S49" i="66"/>
  <c r="Q49" i="66"/>
  <c r="S48" i="66"/>
  <c r="Q48" i="66"/>
  <c r="S47" i="66"/>
  <c r="Q47" i="66"/>
  <c r="S46" i="66"/>
  <c r="Q46" i="66"/>
  <c r="S45" i="66"/>
  <c r="Q45" i="66"/>
  <c r="S44" i="66"/>
  <c r="Q44" i="66"/>
  <c r="S43" i="66"/>
  <c r="Q43" i="66"/>
  <c r="S42" i="66"/>
  <c r="Q42" i="66"/>
  <c r="S41" i="66"/>
  <c r="Q41" i="66"/>
  <c r="S40" i="66"/>
  <c r="Q40" i="66"/>
  <c r="S39" i="66"/>
  <c r="Q39" i="66"/>
  <c r="S38" i="66"/>
  <c r="Q38" i="66"/>
  <c r="S37" i="66"/>
  <c r="Q37" i="66"/>
  <c r="S36" i="66"/>
  <c r="Q36" i="66"/>
  <c r="S35" i="66"/>
  <c r="Q35" i="66"/>
  <c r="S34" i="66"/>
  <c r="Q34" i="66"/>
  <c r="S33" i="66"/>
  <c r="Q33" i="66"/>
  <c r="S32" i="66"/>
  <c r="Q32" i="66"/>
  <c r="S31" i="66"/>
  <c r="Q31" i="66"/>
  <c r="S30" i="66"/>
  <c r="Q30" i="66"/>
  <c r="S29" i="66"/>
  <c r="Q29" i="66"/>
  <c r="S28" i="66"/>
  <c r="Q28" i="66"/>
  <c r="S27" i="66"/>
  <c r="Q27" i="66"/>
  <c r="S26" i="66"/>
  <c r="Q26" i="66"/>
  <c r="S25" i="66"/>
  <c r="Q25" i="66"/>
  <c r="S24" i="66"/>
  <c r="Q24" i="66"/>
  <c r="S23" i="66"/>
  <c r="Q23" i="66"/>
  <c r="S22" i="66"/>
  <c r="Q22" i="66"/>
  <c r="S21" i="66"/>
  <c r="Q21" i="66"/>
  <c r="S20" i="66"/>
  <c r="Q20" i="66"/>
  <c r="S19" i="66"/>
  <c r="Q19" i="66"/>
  <c r="S18" i="66"/>
  <c r="Q18" i="66"/>
  <c r="S17" i="66"/>
  <c r="Q17" i="66"/>
  <c r="S16" i="66"/>
  <c r="Q16" i="66"/>
  <c r="S15" i="66"/>
  <c r="Q15" i="66"/>
  <c r="S14" i="66"/>
  <c r="Q14" i="66"/>
  <c r="S13" i="66"/>
  <c r="Q13" i="66"/>
  <c r="S12" i="66"/>
  <c r="Q12" i="66"/>
  <c r="S11" i="66"/>
  <c r="Q11" i="66"/>
  <c r="S10" i="66"/>
  <c r="Q10" i="66"/>
  <c r="S9" i="66"/>
  <c r="Q9" i="66"/>
  <c r="S8" i="66"/>
  <c r="Q8" i="66"/>
  <c r="S7" i="66"/>
  <c r="Q7" i="66"/>
  <c r="S6" i="66"/>
  <c r="Q6" i="66"/>
  <c r="S5" i="66"/>
  <c r="Q5" i="66"/>
  <c r="S4" i="66"/>
  <c r="Q4" i="66"/>
  <c r="S3" i="66"/>
  <c r="Q3" i="66"/>
  <c r="S2" i="66"/>
  <c r="Q2" i="66"/>
  <c r="Q444" i="65"/>
  <c r="O444" i="65"/>
  <c r="Q443" i="65"/>
  <c r="O443" i="65"/>
  <c r="Q442" i="65"/>
  <c r="O442" i="65"/>
  <c r="Q441" i="65"/>
  <c r="O441" i="65"/>
  <c r="Q440" i="65"/>
  <c r="O440" i="65"/>
  <c r="Q439" i="65"/>
  <c r="O439" i="65"/>
  <c r="Q438" i="65"/>
  <c r="O438" i="65"/>
  <c r="Q437" i="65"/>
  <c r="O437" i="65"/>
  <c r="Q436" i="65"/>
  <c r="O436" i="65"/>
  <c r="Q435" i="65"/>
  <c r="O435" i="65"/>
  <c r="Q434" i="65"/>
  <c r="O434" i="65"/>
  <c r="Q433" i="65"/>
  <c r="O433" i="65"/>
  <c r="Q432" i="65"/>
  <c r="O432" i="65"/>
  <c r="Q431" i="65"/>
  <c r="O431" i="65"/>
  <c r="Q430" i="65"/>
  <c r="O430" i="65"/>
  <c r="Q429" i="65"/>
  <c r="O429" i="65"/>
  <c r="Q428" i="65"/>
  <c r="O428" i="65"/>
  <c r="Q427" i="65"/>
  <c r="O427" i="65"/>
  <c r="Q426" i="65"/>
  <c r="O426" i="65"/>
  <c r="Q425" i="65"/>
  <c r="O425" i="65"/>
  <c r="Q424" i="65"/>
  <c r="O424" i="65"/>
  <c r="Q423" i="65"/>
  <c r="O423" i="65"/>
  <c r="Q422" i="65"/>
  <c r="O422" i="65"/>
  <c r="Q421" i="65"/>
  <c r="O421" i="65"/>
  <c r="Q420" i="65"/>
  <c r="O420" i="65"/>
  <c r="Q419" i="65"/>
  <c r="O419" i="65"/>
  <c r="Q418" i="65"/>
  <c r="O418" i="65"/>
  <c r="Q417" i="65"/>
  <c r="O417" i="65"/>
  <c r="Q416" i="65"/>
  <c r="O416" i="65"/>
  <c r="Q415" i="65"/>
  <c r="O415" i="65"/>
  <c r="P414" i="65"/>
  <c r="Q414" i="65" s="1"/>
  <c r="O414" i="65"/>
  <c r="Q413" i="65"/>
  <c r="P413" i="65"/>
  <c r="O413" i="65"/>
  <c r="Q412" i="65"/>
  <c r="O412" i="65"/>
  <c r="Q411" i="65"/>
  <c r="O411" i="65"/>
  <c r="Q410" i="65"/>
  <c r="O410" i="65"/>
  <c r="Q409" i="65"/>
  <c r="O409" i="65"/>
  <c r="Q408" i="65"/>
  <c r="O408" i="65"/>
  <c r="Q407" i="65"/>
  <c r="O407" i="65"/>
  <c r="Q406" i="65"/>
  <c r="O406" i="65"/>
  <c r="Q405" i="65"/>
  <c r="O405" i="65"/>
  <c r="P404" i="65"/>
  <c r="Q404" i="65" s="1"/>
  <c r="O404" i="65"/>
  <c r="Q403" i="65"/>
  <c r="P403" i="65"/>
  <c r="O403" i="65"/>
  <c r="Q402" i="65"/>
  <c r="O402" i="65"/>
  <c r="Q401" i="65"/>
  <c r="O401" i="65"/>
  <c r="Q400" i="65"/>
  <c r="O400" i="65"/>
  <c r="Q399" i="65"/>
  <c r="O399" i="65"/>
  <c r="Q398" i="65"/>
  <c r="O398" i="65"/>
  <c r="Q397" i="65"/>
  <c r="O397" i="65"/>
  <c r="P396" i="65"/>
  <c r="Q396" i="65" s="1"/>
  <c r="O396" i="65"/>
  <c r="Q395" i="65"/>
  <c r="O395" i="65"/>
  <c r="Q394" i="65"/>
  <c r="O394" i="65"/>
  <c r="Q393" i="65"/>
  <c r="O393" i="65"/>
  <c r="Q392" i="65"/>
  <c r="O392" i="65"/>
  <c r="Q391" i="65"/>
  <c r="O391" i="65"/>
  <c r="Q390" i="65"/>
  <c r="O390" i="65"/>
  <c r="Q389" i="65"/>
  <c r="O389" i="65"/>
  <c r="Q388" i="65"/>
  <c r="O388" i="65"/>
  <c r="Q387" i="65"/>
  <c r="O387" i="65"/>
  <c r="Q386" i="65"/>
  <c r="O386" i="65"/>
  <c r="Q385" i="65"/>
  <c r="O385" i="65"/>
  <c r="Q384" i="65"/>
  <c r="O384" i="65"/>
  <c r="Q383" i="65"/>
  <c r="O383" i="65"/>
  <c r="Q382" i="65"/>
  <c r="O382" i="65"/>
  <c r="Q381" i="65"/>
  <c r="O381" i="65"/>
  <c r="Q380" i="65"/>
  <c r="O380" i="65"/>
  <c r="Q379" i="65"/>
  <c r="O379" i="65"/>
  <c r="Q378" i="65"/>
  <c r="P378" i="65"/>
  <c r="O378" i="65"/>
  <c r="Q377" i="65"/>
  <c r="O377" i="65"/>
  <c r="Q376" i="65"/>
  <c r="O376" i="65"/>
  <c r="Q375" i="65"/>
  <c r="O375" i="65"/>
  <c r="P374" i="65"/>
  <c r="Q374" i="65" s="1"/>
  <c r="O374" i="65"/>
  <c r="Q373" i="65"/>
  <c r="O373" i="65"/>
  <c r="Q372" i="65"/>
  <c r="O372" i="65"/>
  <c r="Q371" i="65"/>
  <c r="O371" i="65"/>
  <c r="Q370" i="65"/>
  <c r="O370" i="65"/>
  <c r="Q369" i="65"/>
  <c r="O369" i="65"/>
  <c r="Q368" i="65"/>
  <c r="O368" i="65"/>
  <c r="Q367" i="65"/>
  <c r="O367" i="65"/>
  <c r="Q366" i="65"/>
  <c r="O366" i="65"/>
  <c r="Q365" i="65"/>
  <c r="O365" i="65"/>
  <c r="Q364" i="65"/>
  <c r="O364" i="65"/>
  <c r="Q363" i="65"/>
  <c r="O363" i="65"/>
  <c r="Q362" i="65"/>
  <c r="O362" i="65"/>
  <c r="Q361" i="65"/>
  <c r="O361" i="65"/>
  <c r="Q360" i="65"/>
  <c r="O360" i="65"/>
  <c r="Q359" i="65"/>
  <c r="O359" i="65"/>
  <c r="Q358" i="65"/>
  <c r="O358" i="65"/>
  <c r="Q357" i="65"/>
  <c r="P357" i="65"/>
  <c r="O357" i="65"/>
  <c r="P356" i="65"/>
  <c r="Q356" i="65" s="1"/>
  <c r="O356" i="65"/>
  <c r="Q355" i="65"/>
  <c r="O355" i="65"/>
  <c r="Q354" i="65"/>
  <c r="O354" i="65"/>
  <c r="Q353" i="65"/>
  <c r="O353" i="65"/>
  <c r="Q352" i="65"/>
  <c r="O352" i="65"/>
  <c r="Q351" i="65"/>
  <c r="O351" i="65"/>
  <c r="Q350" i="65"/>
  <c r="O350" i="65"/>
  <c r="Q349" i="65"/>
  <c r="O349" i="65"/>
  <c r="Q348" i="65"/>
  <c r="O348" i="65"/>
  <c r="Q347" i="65"/>
  <c r="O347" i="65"/>
  <c r="Q346" i="65"/>
  <c r="O346" i="65"/>
  <c r="Q345" i="65"/>
  <c r="O345" i="65"/>
  <c r="Q344" i="65"/>
  <c r="O344" i="65"/>
  <c r="Q343" i="65"/>
  <c r="O343" i="65"/>
  <c r="Q342" i="65"/>
  <c r="O342" i="65"/>
  <c r="Q341" i="65"/>
  <c r="O341" i="65"/>
  <c r="Q340" i="65"/>
  <c r="O340" i="65"/>
  <c r="Q339" i="65"/>
  <c r="O339" i="65"/>
  <c r="Q338" i="65"/>
  <c r="O338" i="65"/>
  <c r="Q337" i="65"/>
  <c r="O337" i="65"/>
  <c r="Q336" i="65"/>
  <c r="O336" i="65"/>
  <c r="Q335" i="65"/>
  <c r="O335" i="65"/>
  <c r="Q334" i="65"/>
  <c r="O334" i="65"/>
  <c r="Q333" i="65"/>
  <c r="O333" i="65"/>
  <c r="Q332" i="65"/>
  <c r="O332" i="65"/>
  <c r="Q331" i="65"/>
  <c r="O331" i="65"/>
  <c r="Q330" i="65"/>
  <c r="O330" i="65"/>
  <c r="Q329" i="65"/>
  <c r="O329" i="65"/>
  <c r="Q328" i="65"/>
  <c r="O328" i="65"/>
  <c r="Q327" i="65"/>
  <c r="O327" i="65"/>
  <c r="Q326" i="65"/>
  <c r="O326" i="65"/>
  <c r="Q325" i="65"/>
  <c r="O325" i="65"/>
  <c r="Q324" i="65"/>
  <c r="O324" i="65"/>
  <c r="Q323" i="65"/>
  <c r="O323" i="65"/>
  <c r="Q322" i="65"/>
  <c r="O322" i="65"/>
  <c r="Q321" i="65"/>
  <c r="O321" i="65"/>
  <c r="Q320" i="65"/>
  <c r="O320" i="65"/>
  <c r="Q319" i="65"/>
  <c r="O319" i="65"/>
  <c r="Q318" i="65"/>
  <c r="O318" i="65"/>
  <c r="Q317" i="65"/>
  <c r="O317" i="65"/>
  <c r="Q316" i="65"/>
  <c r="O316" i="65"/>
  <c r="Q315" i="65"/>
  <c r="O315" i="65"/>
  <c r="Q314" i="65"/>
  <c r="O314" i="65"/>
  <c r="Q313" i="65"/>
  <c r="O313" i="65"/>
  <c r="Q312" i="65"/>
  <c r="O312" i="65"/>
  <c r="Q311" i="65"/>
  <c r="O311" i="65"/>
  <c r="Q310" i="65"/>
  <c r="O310" i="65"/>
  <c r="Q309" i="65"/>
  <c r="O309" i="65"/>
  <c r="Q308" i="65"/>
  <c r="O308" i="65"/>
  <c r="Q307" i="65"/>
  <c r="O307" i="65"/>
  <c r="Q306" i="65"/>
  <c r="O306" i="65"/>
  <c r="Q305" i="65"/>
  <c r="O305" i="65"/>
  <c r="Q304" i="65"/>
  <c r="O304" i="65"/>
  <c r="Q303" i="65"/>
  <c r="O303" i="65"/>
  <c r="Q302" i="65"/>
  <c r="O302" i="65"/>
  <c r="Q301" i="65"/>
  <c r="O301" i="65"/>
  <c r="Q300" i="65"/>
  <c r="O300" i="65"/>
  <c r="Q299" i="65"/>
  <c r="O299" i="65"/>
  <c r="Q298" i="65"/>
  <c r="O298" i="65"/>
  <c r="Q297" i="65"/>
  <c r="O297" i="65"/>
  <c r="Q296" i="65"/>
  <c r="O296" i="65"/>
  <c r="Q295" i="65"/>
  <c r="O295" i="65"/>
  <c r="Q294" i="65"/>
  <c r="O294" i="65"/>
  <c r="Q293" i="65"/>
  <c r="O293" i="65"/>
  <c r="Q292" i="65"/>
  <c r="O292" i="65"/>
  <c r="Q291" i="65"/>
  <c r="O291" i="65"/>
  <c r="Q290" i="65"/>
  <c r="O290" i="65"/>
  <c r="Q289" i="65"/>
  <c r="O289" i="65"/>
  <c r="Q288" i="65"/>
  <c r="O288" i="65"/>
  <c r="Q287" i="65"/>
  <c r="O287" i="65"/>
  <c r="Q286" i="65"/>
  <c r="O286" i="65"/>
  <c r="Q285" i="65"/>
  <c r="O285" i="65"/>
  <c r="Q284" i="65"/>
  <c r="O284" i="65"/>
  <c r="Q283" i="65"/>
  <c r="O283" i="65"/>
  <c r="Q282" i="65"/>
  <c r="O282" i="65"/>
  <c r="Q281" i="65"/>
  <c r="O281" i="65"/>
  <c r="Q280" i="65"/>
  <c r="O280" i="65"/>
  <c r="Q279" i="65"/>
  <c r="O279" i="65"/>
  <c r="Q278" i="65"/>
  <c r="O278" i="65"/>
  <c r="Q277" i="65"/>
  <c r="O277" i="65"/>
  <c r="Q276" i="65"/>
  <c r="O276" i="65"/>
  <c r="Q275" i="65"/>
  <c r="O275" i="65"/>
  <c r="Q274" i="65"/>
  <c r="O274" i="65"/>
  <c r="Q273" i="65"/>
  <c r="O273" i="65"/>
  <c r="Q272" i="65"/>
  <c r="O272" i="65"/>
  <c r="Q271" i="65"/>
  <c r="O271" i="65"/>
  <c r="Q270" i="65"/>
  <c r="O270" i="65"/>
  <c r="Q269" i="65"/>
  <c r="O269" i="65"/>
  <c r="Q268" i="65"/>
  <c r="O268" i="65"/>
  <c r="Q267" i="65"/>
  <c r="O267" i="65"/>
  <c r="Q266" i="65"/>
  <c r="O266" i="65"/>
  <c r="Q265" i="65"/>
  <c r="O265" i="65"/>
  <c r="Q264" i="65"/>
  <c r="O264" i="65"/>
  <c r="Q263" i="65"/>
  <c r="O263" i="65"/>
  <c r="Q262" i="65"/>
  <c r="O262" i="65"/>
  <c r="Q261" i="65"/>
  <c r="O261" i="65"/>
  <c r="Q260" i="65"/>
  <c r="O260" i="65"/>
  <c r="Q259" i="65"/>
  <c r="O259" i="65"/>
  <c r="Q258" i="65"/>
  <c r="O258" i="65"/>
  <c r="Q257" i="65"/>
  <c r="O257" i="65"/>
  <c r="Q256" i="65"/>
  <c r="O256" i="65"/>
  <c r="Q255" i="65"/>
  <c r="O255" i="65"/>
  <c r="Q254" i="65"/>
  <c r="O254" i="65"/>
  <c r="Q253" i="65"/>
  <c r="O253" i="65"/>
  <c r="Q252" i="65"/>
  <c r="O252" i="65"/>
  <c r="Q251" i="65"/>
  <c r="O251" i="65"/>
  <c r="Q250" i="65"/>
  <c r="O250" i="65"/>
  <c r="Q249" i="65"/>
  <c r="O249" i="65"/>
  <c r="Q248" i="65"/>
  <c r="O248" i="65"/>
  <c r="Q247" i="65"/>
  <c r="O247" i="65"/>
  <c r="Q246" i="65"/>
  <c r="O246" i="65"/>
  <c r="Q245" i="65"/>
  <c r="O245" i="65"/>
  <c r="Q244" i="65"/>
  <c r="O244" i="65"/>
  <c r="Q243" i="65"/>
  <c r="O243" i="65"/>
  <c r="Q242" i="65"/>
  <c r="O242" i="65"/>
  <c r="Q241" i="65"/>
  <c r="O241" i="65"/>
  <c r="Q240" i="65"/>
  <c r="O240" i="65"/>
  <c r="Q239" i="65"/>
  <c r="O239" i="65"/>
  <c r="Q238" i="65"/>
  <c r="O238" i="65"/>
  <c r="Q237" i="65"/>
  <c r="O237" i="65"/>
  <c r="Q236" i="65"/>
  <c r="O236" i="65"/>
  <c r="Q235" i="65"/>
  <c r="O235" i="65"/>
  <c r="Q234" i="65"/>
  <c r="O234" i="65"/>
  <c r="Q233" i="65"/>
  <c r="O233" i="65"/>
  <c r="Q232" i="65"/>
  <c r="O232" i="65"/>
  <c r="Q231" i="65"/>
  <c r="O231" i="65"/>
  <c r="Q230" i="65"/>
  <c r="O230" i="65"/>
  <c r="Q229" i="65"/>
  <c r="O229" i="65"/>
  <c r="Q228" i="65"/>
  <c r="O228" i="65"/>
  <c r="Q227" i="65"/>
  <c r="O227" i="65"/>
  <c r="Q226" i="65"/>
  <c r="O226" i="65"/>
  <c r="Q225" i="65"/>
  <c r="O225" i="65"/>
  <c r="Q224" i="65"/>
  <c r="O224" i="65"/>
  <c r="Q223" i="65"/>
  <c r="O223" i="65"/>
  <c r="Q222" i="65"/>
  <c r="O222" i="65"/>
  <c r="Q221" i="65"/>
  <c r="O221" i="65"/>
  <c r="Q220" i="65"/>
  <c r="O220" i="65"/>
  <c r="Q219" i="65"/>
  <c r="O219" i="65"/>
  <c r="Q218" i="65"/>
  <c r="O218" i="65"/>
  <c r="Q217" i="65"/>
  <c r="O217" i="65"/>
  <c r="Q216" i="65"/>
  <c r="O216" i="65"/>
  <c r="Q215" i="65"/>
  <c r="O215" i="65"/>
  <c r="Q214" i="65"/>
  <c r="O214" i="65"/>
  <c r="Q213" i="65"/>
  <c r="O213" i="65"/>
  <c r="Q212" i="65"/>
  <c r="O212" i="65"/>
  <c r="Q211" i="65"/>
  <c r="O211" i="65"/>
  <c r="Q210" i="65"/>
  <c r="O210" i="65"/>
  <c r="Q209" i="65"/>
  <c r="O209" i="65"/>
  <c r="Q208" i="65"/>
  <c r="O208" i="65"/>
  <c r="Q207" i="65"/>
  <c r="O207" i="65"/>
  <c r="Q206" i="65"/>
  <c r="O206" i="65"/>
  <c r="Q205" i="65"/>
  <c r="O205" i="65"/>
  <c r="Q204" i="65"/>
  <c r="O204" i="65"/>
  <c r="Q203" i="65"/>
  <c r="O203" i="65"/>
  <c r="Q202" i="65"/>
  <c r="O202" i="65"/>
  <c r="Q201" i="65"/>
  <c r="O201" i="65"/>
  <c r="Q200" i="65"/>
  <c r="O200" i="65"/>
  <c r="Q199" i="65"/>
  <c r="O199" i="65"/>
  <c r="Q198" i="65"/>
  <c r="O198" i="65"/>
  <c r="Q197" i="65"/>
  <c r="O197" i="65"/>
  <c r="Q196" i="65"/>
  <c r="O196" i="65"/>
  <c r="Q195" i="65"/>
  <c r="O195" i="65"/>
  <c r="Q194" i="65"/>
  <c r="O194" i="65"/>
  <c r="Q193" i="65"/>
  <c r="O193" i="65"/>
  <c r="Q192" i="65"/>
  <c r="O192" i="65"/>
  <c r="Q191" i="65"/>
  <c r="O191" i="65"/>
  <c r="Q190" i="65"/>
  <c r="O190" i="65"/>
  <c r="Q189" i="65"/>
  <c r="O189" i="65"/>
  <c r="Q188" i="65"/>
  <c r="O188" i="65"/>
  <c r="Q187" i="65"/>
  <c r="O187" i="65"/>
  <c r="Q186" i="65"/>
  <c r="O186" i="65"/>
  <c r="Q185" i="65"/>
  <c r="O185" i="65"/>
  <c r="Q184" i="65"/>
  <c r="O184" i="65"/>
  <c r="Q183" i="65"/>
  <c r="O183" i="65"/>
  <c r="Q182" i="65"/>
  <c r="O182" i="65"/>
  <c r="Q181" i="65"/>
  <c r="O181" i="65"/>
  <c r="Q180" i="65"/>
  <c r="O180" i="65"/>
  <c r="Q179" i="65"/>
  <c r="O179" i="65"/>
  <c r="Q178" i="65"/>
  <c r="O178" i="65"/>
  <c r="Q177" i="65"/>
  <c r="O177" i="65"/>
  <c r="Q176" i="65"/>
  <c r="O176" i="65"/>
  <c r="Q175" i="65"/>
  <c r="O175" i="65"/>
  <c r="Q174" i="65"/>
  <c r="O174" i="65"/>
  <c r="Q173" i="65"/>
  <c r="O173" i="65"/>
  <c r="Q172" i="65"/>
  <c r="O172" i="65"/>
  <c r="Q171" i="65"/>
  <c r="O171" i="65"/>
  <c r="Q170" i="65"/>
  <c r="O170" i="65"/>
  <c r="Q169" i="65"/>
  <c r="O169" i="65"/>
  <c r="Q168" i="65"/>
  <c r="O168" i="65"/>
  <c r="Q167" i="65"/>
  <c r="O167" i="65"/>
  <c r="Q166" i="65"/>
  <c r="O166" i="65"/>
  <c r="Q165" i="65"/>
  <c r="O165" i="65"/>
  <c r="Q164" i="65"/>
  <c r="O164" i="65"/>
  <c r="Q163" i="65"/>
  <c r="O163" i="65"/>
  <c r="Q162" i="65"/>
  <c r="O162" i="65"/>
  <c r="Q161" i="65"/>
  <c r="O161" i="65"/>
  <c r="Q160" i="65"/>
  <c r="O160" i="65"/>
  <c r="Q159" i="65"/>
  <c r="O159" i="65"/>
  <c r="Q158" i="65"/>
  <c r="O158" i="65"/>
  <c r="Q157" i="65"/>
  <c r="O157" i="65"/>
  <c r="Q156" i="65"/>
  <c r="O156" i="65"/>
  <c r="Q155" i="65"/>
  <c r="O155" i="65"/>
  <c r="Q154" i="65"/>
  <c r="O154" i="65"/>
  <c r="Q153" i="65"/>
  <c r="O153" i="65"/>
  <c r="Q152" i="65"/>
  <c r="O152" i="65"/>
  <c r="Q151" i="65"/>
  <c r="O151" i="65"/>
  <c r="Q150" i="65"/>
  <c r="O150" i="65"/>
  <c r="Q149" i="65"/>
  <c r="O149" i="65"/>
  <c r="Q148" i="65"/>
  <c r="O148" i="65"/>
  <c r="Q147" i="65"/>
  <c r="O147" i="65"/>
  <c r="Q146" i="65"/>
  <c r="O146" i="65"/>
  <c r="Q145" i="65"/>
  <c r="O145" i="65"/>
  <c r="Q144" i="65"/>
  <c r="O144" i="65"/>
  <c r="Q143" i="65"/>
  <c r="O143" i="65"/>
  <c r="Q142" i="65"/>
  <c r="O142" i="65"/>
  <c r="Q141" i="65"/>
  <c r="O141" i="65"/>
  <c r="Q140" i="65"/>
  <c r="O140" i="65"/>
  <c r="Q139" i="65"/>
  <c r="O139" i="65"/>
  <c r="Q138" i="65"/>
  <c r="O138" i="65"/>
  <c r="Q137" i="65"/>
  <c r="O137" i="65"/>
  <c r="Q136" i="65"/>
  <c r="O136" i="65"/>
  <c r="Q135" i="65"/>
  <c r="O135" i="65"/>
  <c r="Q134" i="65"/>
  <c r="O134" i="65"/>
  <c r="Q133" i="65"/>
  <c r="O133" i="65"/>
  <c r="Q132" i="65"/>
  <c r="O132" i="65"/>
  <c r="Q131" i="65"/>
  <c r="O131" i="65"/>
  <c r="Q130" i="65"/>
  <c r="O130" i="65"/>
  <c r="Q129" i="65"/>
  <c r="O129" i="65"/>
  <c r="Q128" i="65"/>
  <c r="O128" i="65"/>
  <c r="Q127" i="65"/>
  <c r="O127" i="65"/>
  <c r="Q126" i="65"/>
  <c r="O126" i="65"/>
  <c r="Q125" i="65"/>
  <c r="O125" i="65"/>
  <c r="Q124" i="65"/>
  <c r="O124" i="65"/>
  <c r="Q123" i="65"/>
  <c r="O123" i="65"/>
  <c r="Q122" i="65"/>
  <c r="O122" i="65"/>
  <c r="Q121" i="65"/>
  <c r="O121" i="65"/>
  <c r="Q120" i="65"/>
  <c r="O120" i="65"/>
  <c r="Q119" i="65"/>
  <c r="O119" i="65"/>
  <c r="Q118" i="65"/>
  <c r="O118" i="65"/>
  <c r="Q117" i="65"/>
  <c r="O117" i="65"/>
  <c r="Q116" i="65"/>
  <c r="O116" i="65"/>
  <c r="Q115" i="65"/>
  <c r="P115" i="65"/>
  <c r="O115" i="65"/>
  <c r="Q114" i="65"/>
  <c r="O114" i="65"/>
  <c r="Q113" i="65"/>
  <c r="O113" i="65"/>
  <c r="Q112" i="65"/>
  <c r="O112" i="65"/>
  <c r="Q111" i="65"/>
  <c r="O111" i="65"/>
  <c r="Q110" i="65"/>
  <c r="O110" i="65"/>
  <c r="Q109" i="65"/>
  <c r="O109" i="65"/>
  <c r="Q108" i="65"/>
  <c r="O108" i="65"/>
  <c r="Q107" i="65"/>
  <c r="O107" i="65"/>
  <c r="Q106" i="65"/>
  <c r="O106" i="65"/>
  <c r="Q105" i="65"/>
  <c r="O105" i="65"/>
  <c r="Q104" i="65"/>
  <c r="O104" i="65"/>
  <c r="Q103" i="65"/>
  <c r="O103" i="65"/>
  <c r="Q102" i="65"/>
  <c r="O102" i="65"/>
  <c r="Q101" i="65"/>
  <c r="O101" i="65"/>
  <c r="Q100" i="65"/>
  <c r="O100" i="65"/>
  <c r="Q99" i="65"/>
  <c r="O99" i="65"/>
  <c r="Q98" i="65"/>
  <c r="O98" i="65"/>
  <c r="Q97" i="65"/>
  <c r="O97" i="65"/>
  <c r="Q96" i="65"/>
  <c r="O96" i="65"/>
  <c r="Q95" i="65"/>
  <c r="O95" i="65"/>
  <c r="Q94" i="65"/>
  <c r="O94" i="65"/>
  <c r="Q93" i="65"/>
  <c r="O93" i="65"/>
  <c r="Q92" i="65"/>
  <c r="O92" i="65"/>
  <c r="Q91" i="65"/>
  <c r="O91" i="65"/>
  <c r="Q90" i="65"/>
  <c r="O90" i="65"/>
  <c r="Q89" i="65"/>
  <c r="O89" i="65"/>
  <c r="Q88" i="65"/>
  <c r="O88" i="65"/>
  <c r="Q87" i="65"/>
  <c r="O87" i="65"/>
  <c r="Q86" i="65"/>
  <c r="O86" i="65"/>
  <c r="Q85" i="65"/>
  <c r="O85" i="65"/>
  <c r="Q84" i="65"/>
  <c r="O84" i="65"/>
  <c r="Q83" i="65"/>
  <c r="O83" i="65"/>
  <c r="Q82" i="65"/>
  <c r="O82" i="65"/>
  <c r="Q81" i="65"/>
  <c r="O81" i="65"/>
  <c r="Q80" i="65"/>
  <c r="O80" i="65"/>
  <c r="Q79" i="65"/>
  <c r="O79" i="65"/>
  <c r="Q78" i="65"/>
  <c r="O78" i="65"/>
  <c r="Q77" i="65"/>
  <c r="O77" i="65"/>
  <c r="Q76" i="65"/>
  <c r="O76" i="65"/>
  <c r="Q75" i="65"/>
  <c r="O75" i="65"/>
  <c r="Q74" i="65"/>
  <c r="O74" i="65"/>
  <c r="Q73" i="65"/>
  <c r="O73" i="65"/>
  <c r="Q72" i="65"/>
  <c r="O72" i="65"/>
  <c r="Q71" i="65"/>
  <c r="O71" i="65"/>
  <c r="Q70" i="65"/>
  <c r="O70" i="65"/>
  <c r="Q69" i="65"/>
  <c r="O69" i="65"/>
  <c r="Q68" i="65"/>
  <c r="O68" i="65"/>
  <c r="Q67" i="65"/>
  <c r="O67" i="65"/>
  <c r="Q66" i="65"/>
  <c r="O66" i="65"/>
  <c r="Q65" i="65"/>
  <c r="O65" i="65"/>
  <c r="Q64" i="65"/>
  <c r="O64" i="65"/>
  <c r="Q63" i="65"/>
  <c r="O63" i="65"/>
  <c r="Q62" i="65"/>
  <c r="O62" i="65"/>
  <c r="Q61" i="65"/>
  <c r="O61" i="65"/>
  <c r="Q60" i="65"/>
  <c r="O60" i="65"/>
  <c r="Q59" i="65"/>
  <c r="O59" i="65"/>
  <c r="Q58" i="65"/>
  <c r="O58" i="65"/>
  <c r="Q57" i="65"/>
  <c r="O57" i="65"/>
  <c r="Q56" i="65"/>
  <c r="O56" i="65"/>
  <c r="Q55" i="65"/>
  <c r="O55" i="65"/>
  <c r="Q54" i="65"/>
  <c r="O54" i="65"/>
  <c r="Q53" i="65"/>
  <c r="O53" i="65"/>
  <c r="Q52" i="65"/>
  <c r="O52" i="65"/>
  <c r="Q51" i="65"/>
  <c r="O51" i="65"/>
  <c r="Q50" i="65"/>
  <c r="O50" i="65"/>
  <c r="Q49" i="65"/>
  <c r="O49" i="65"/>
  <c r="Q48" i="65"/>
  <c r="O48" i="65"/>
  <c r="Q47" i="65"/>
  <c r="O47" i="65"/>
  <c r="Q46" i="65"/>
  <c r="O46" i="65"/>
  <c r="Q45" i="65"/>
  <c r="O45" i="65"/>
  <c r="Q44" i="65"/>
  <c r="O44" i="65"/>
  <c r="Q43" i="65"/>
  <c r="O43" i="65"/>
  <c r="Q42" i="65"/>
  <c r="O42" i="65"/>
  <c r="Q41" i="65"/>
  <c r="O41" i="65"/>
  <c r="Q40" i="65"/>
  <c r="O40" i="65"/>
  <c r="Q39" i="65"/>
  <c r="O39" i="65"/>
  <c r="Q38" i="65"/>
  <c r="O38" i="65"/>
  <c r="Q37" i="65"/>
  <c r="O37" i="65"/>
  <c r="Q36" i="65"/>
  <c r="O36" i="65"/>
  <c r="Q35" i="65"/>
  <c r="O35" i="65"/>
  <c r="Q34" i="65"/>
  <c r="O34" i="65"/>
  <c r="Q33" i="65"/>
  <c r="O33" i="65"/>
  <c r="Q32" i="65"/>
  <c r="O32" i="65"/>
  <c r="Q31" i="65"/>
  <c r="O31" i="65"/>
  <c r="Q30" i="65"/>
  <c r="O30" i="65"/>
  <c r="Q29" i="65"/>
  <c r="O29" i="65"/>
  <c r="Q28" i="65"/>
  <c r="O28" i="65"/>
  <c r="Q27" i="65"/>
  <c r="O27" i="65"/>
  <c r="Q26" i="65"/>
  <c r="O26" i="65"/>
  <c r="Q25" i="65"/>
  <c r="O25" i="65"/>
  <c r="Q24" i="65"/>
  <c r="O24" i="65"/>
  <c r="Q23" i="65"/>
  <c r="O23" i="65"/>
  <c r="Q22" i="65"/>
  <c r="O22" i="65"/>
  <c r="Q21" i="65"/>
  <c r="O21" i="65"/>
  <c r="Q20" i="65"/>
  <c r="O20" i="65"/>
  <c r="Q19" i="65"/>
  <c r="O19" i="65"/>
  <c r="Q18" i="65"/>
  <c r="O18" i="65"/>
  <c r="Q17" i="65"/>
  <c r="O17" i="65"/>
  <c r="Q16" i="65"/>
  <c r="O16" i="65"/>
  <c r="Q15" i="65"/>
  <c r="O15" i="65"/>
  <c r="Q14" i="65"/>
  <c r="O14" i="65"/>
  <c r="Q13" i="65"/>
  <c r="O13" i="65"/>
  <c r="Q12" i="65"/>
  <c r="O12" i="65"/>
  <c r="Q11" i="65"/>
  <c r="O11" i="65"/>
  <c r="Q10" i="65"/>
  <c r="O10" i="65"/>
  <c r="Q9" i="65"/>
  <c r="O9" i="65"/>
  <c r="Q8" i="65"/>
  <c r="O8" i="65"/>
  <c r="Q7" i="65"/>
  <c r="O7" i="65"/>
  <c r="Q6" i="65"/>
  <c r="O6" i="65"/>
  <c r="Q5" i="65"/>
  <c r="O5" i="65"/>
  <c r="Q4" i="65"/>
  <c r="O4" i="65"/>
  <c r="Q439" i="64"/>
  <c r="O439" i="64"/>
  <c r="Q438" i="64"/>
  <c r="O438" i="64"/>
  <c r="Q437" i="64"/>
  <c r="O437" i="64"/>
  <c r="Q436" i="64"/>
  <c r="O436" i="64"/>
  <c r="Q435" i="64"/>
  <c r="O435" i="64"/>
  <c r="Q434" i="64"/>
  <c r="O434" i="64"/>
  <c r="Q433" i="64"/>
  <c r="O433" i="64"/>
  <c r="Q432" i="64"/>
  <c r="O432" i="64"/>
  <c r="Q431" i="64"/>
  <c r="O431" i="64"/>
  <c r="Q430" i="64"/>
  <c r="O430" i="64"/>
  <c r="Q429" i="64"/>
  <c r="O429" i="64"/>
  <c r="Q428" i="64"/>
  <c r="O428" i="64"/>
  <c r="Q427" i="64"/>
  <c r="O427" i="64"/>
  <c r="Q426" i="64"/>
  <c r="O426" i="64"/>
  <c r="Q425" i="64"/>
  <c r="O425" i="64"/>
  <c r="Q424" i="64"/>
  <c r="O424" i="64"/>
  <c r="Q423" i="64"/>
  <c r="O423" i="64"/>
  <c r="Q422" i="64"/>
  <c r="O422" i="64"/>
  <c r="Q421" i="64"/>
  <c r="O421" i="64"/>
  <c r="Q420" i="64"/>
  <c r="O420" i="64"/>
  <c r="Q419" i="64"/>
  <c r="O419" i="64"/>
  <c r="Q418" i="64"/>
  <c r="O418" i="64"/>
  <c r="Q417" i="64"/>
  <c r="O417" i="64"/>
  <c r="Q416" i="64"/>
  <c r="O416" i="64"/>
  <c r="Q415" i="64"/>
  <c r="O415" i="64"/>
  <c r="P414" i="64"/>
  <c r="Q414" i="64" s="1"/>
  <c r="O414" i="64"/>
  <c r="Q413" i="64"/>
  <c r="P413" i="64"/>
  <c r="O413" i="64"/>
  <c r="Q412" i="64"/>
  <c r="O412" i="64"/>
  <c r="Q411" i="64"/>
  <c r="O411" i="64"/>
  <c r="Q410" i="64"/>
  <c r="O410" i="64"/>
  <c r="Q409" i="64"/>
  <c r="O409" i="64"/>
  <c r="Q408" i="64"/>
  <c r="O408" i="64"/>
  <c r="Q407" i="64"/>
  <c r="O407" i="64"/>
  <c r="Q406" i="64"/>
  <c r="O406" i="64"/>
  <c r="Q405" i="64"/>
  <c r="O405" i="64"/>
  <c r="P404" i="64"/>
  <c r="Q404" i="64" s="1"/>
  <c r="O404" i="64"/>
  <c r="Q403" i="64"/>
  <c r="P403" i="64"/>
  <c r="O403" i="64"/>
  <c r="Q402" i="64"/>
  <c r="O402" i="64"/>
  <c r="Q401" i="64"/>
  <c r="O401" i="64"/>
  <c r="Q400" i="64"/>
  <c r="O400" i="64"/>
  <c r="Q399" i="64"/>
  <c r="O399" i="64"/>
  <c r="Q398" i="64"/>
  <c r="O398" i="64"/>
  <c r="Q397" i="64"/>
  <c r="O397" i="64"/>
  <c r="P396" i="64"/>
  <c r="Q396" i="64" s="1"/>
  <c r="O396" i="64"/>
  <c r="Q395" i="64"/>
  <c r="O395" i="64"/>
  <c r="Q394" i="64"/>
  <c r="O394" i="64"/>
  <c r="Q393" i="64"/>
  <c r="O393" i="64"/>
  <c r="Q392" i="64"/>
  <c r="O392" i="64"/>
  <c r="Q391" i="64"/>
  <c r="O391" i="64"/>
  <c r="Q390" i="64"/>
  <c r="O390" i="64"/>
  <c r="Q389" i="64"/>
  <c r="O389" i="64"/>
  <c r="Q388" i="64"/>
  <c r="O388" i="64"/>
  <c r="Q387" i="64"/>
  <c r="O387" i="64"/>
  <c r="Q386" i="64"/>
  <c r="O386" i="64"/>
  <c r="Q385" i="64"/>
  <c r="O385" i="64"/>
  <c r="Q384" i="64"/>
  <c r="O384" i="64"/>
  <c r="Q383" i="64"/>
  <c r="O383" i="64"/>
  <c r="Q382" i="64"/>
  <c r="O382" i="64"/>
  <c r="Q381" i="64"/>
  <c r="O381" i="64"/>
  <c r="Q380" i="64"/>
  <c r="O380" i="64"/>
  <c r="Q379" i="64"/>
  <c r="O379" i="64"/>
  <c r="Q378" i="64"/>
  <c r="P378" i="64"/>
  <c r="O378" i="64"/>
  <c r="Q377" i="64"/>
  <c r="O377" i="64"/>
  <c r="Q376" i="64"/>
  <c r="O376" i="64"/>
  <c r="Q375" i="64"/>
  <c r="O375" i="64"/>
  <c r="P374" i="64"/>
  <c r="Q374" i="64" s="1"/>
  <c r="O374" i="64"/>
  <c r="Q373" i="64"/>
  <c r="O373" i="64"/>
  <c r="Q372" i="64"/>
  <c r="O372" i="64"/>
  <c r="Q371" i="64"/>
  <c r="O371" i="64"/>
  <c r="Q370" i="64"/>
  <c r="O370" i="64"/>
  <c r="Q369" i="64"/>
  <c r="O369" i="64"/>
  <c r="Q368" i="64"/>
  <c r="O368" i="64"/>
  <c r="Q367" i="64"/>
  <c r="O367" i="64"/>
  <c r="Q366" i="64"/>
  <c r="O366" i="64"/>
  <c r="Q365" i="64"/>
  <c r="O365" i="64"/>
  <c r="Q364" i="64"/>
  <c r="O364" i="64"/>
  <c r="Q363" i="64"/>
  <c r="O363" i="64"/>
  <c r="Q362" i="64"/>
  <c r="O362" i="64"/>
  <c r="Q361" i="64"/>
  <c r="O361" i="64"/>
  <c r="Q360" i="64"/>
  <c r="O360" i="64"/>
  <c r="Q359" i="64"/>
  <c r="O359" i="64"/>
  <c r="Q358" i="64"/>
  <c r="O358" i="64"/>
  <c r="Q357" i="64"/>
  <c r="P357" i="64"/>
  <c r="O357" i="64"/>
  <c r="P356" i="64"/>
  <c r="Q356" i="64" s="1"/>
  <c r="O356" i="64"/>
  <c r="Q355" i="64"/>
  <c r="O355" i="64"/>
  <c r="Q354" i="64"/>
  <c r="O354" i="64"/>
  <c r="Q353" i="64"/>
  <c r="O353" i="64"/>
  <c r="Q352" i="64"/>
  <c r="O352" i="64"/>
  <c r="Q351" i="64"/>
  <c r="O351" i="64"/>
  <c r="Q350" i="64"/>
  <c r="O350" i="64"/>
  <c r="Q349" i="64"/>
  <c r="O349" i="64"/>
  <c r="Q348" i="64"/>
  <c r="O348" i="64"/>
  <c r="Q347" i="64"/>
  <c r="O347" i="64"/>
  <c r="Q346" i="64"/>
  <c r="O346" i="64"/>
  <c r="Q345" i="64"/>
  <c r="O345" i="64"/>
  <c r="Q344" i="64"/>
  <c r="O344" i="64"/>
  <c r="Q343" i="64"/>
  <c r="O343" i="64"/>
  <c r="Q342" i="64"/>
  <c r="O342" i="64"/>
  <c r="Q341" i="64"/>
  <c r="O341" i="64"/>
  <c r="Q340" i="64"/>
  <c r="O340" i="64"/>
  <c r="Q339" i="64"/>
  <c r="O339" i="64"/>
  <c r="Q338" i="64"/>
  <c r="O338" i="64"/>
  <c r="Q337" i="64"/>
  <c r="O337" i="64"/>
  <c r="Q336" i="64"/>
  <c r="O336" i="64"/>
  <c r="Q335" i="64"/>
  <c r="O335" i="64"/>
  <c r="Q334" i="64"/>
  <c r="O334" i="64"/>
  <c r="Q333" i="64"/>
  <c r="O333" i="64"/>
  <c r="Q332" i="64"/>
  <c r="O332" i="64"/>
  <c r="Q331" i="64"/>
  <c r="O331" i="64"/>
  <c r="Q330" i="64"/>
  <c r="O330" i="64"/>
  <c r="Q329" i="64"/>
  <c r="O329" i="64"/>
  <c r="Q328" i="64"/>
  <c r="O328" i="64"/>
  <c r="Q327" i="64"/>
  <c r="O327" i="64"/>
  <c r="Q326" i="64"/>
  <c r="O326" i="64"/>
  <c r="Q325" i="64"/>
  <c r="O325" i="64"/>
  <c r="Q324" i="64"/>
  <c r="O324" i="64"/>
  <c r="Q323" i="64"/>
  <c r="O323" i="64"/>
  <c r="Q322" i="64"/>
  <c r="O322" i="64"/>
  <c r="Q321" i="64"/>
  <c r="O321" i="64"/>
  <c r="Q320" i="64"/>
  <c r="O320" i="64"/>
  <c r="Q319" i="64"/>
  <c r="O319" i="64"/>
  <c r="Q318" i="64"/>
  <c r="O318" i="64"/>
  <c r="Q317" i="64"/>
  <c r="O317" i="64"/>
  <c r="Q316" i="64"/>
  <c r="O316" i="64"/>
  <c r="Q315" i="64"/>
  <c r="O315" i="64"/>
  <c r="Q314" i="64"/>
  <c r="O314" i="64"/>
  <c r="Q313" i="64"/>
  <c r="O313" i="64"/>
  <c r="Q312" i="64"/>
  <c r="O312" i="64"/>
  <c r="Q311" i="64"/>
  <c r="O311" i="64"/>
  <c r="Q310" i="64"/>
  <c r="O310" i="64"/>
  <c r="Q309" i="64"/>
  <c r="O309" i="64"/>
  <c r="Q308" i="64"/>
  <c r="O308" i="64"/>
  <c r="Q307" i="64"/>
  <c r="O307" i="64"/>
  <c r="Q306" i="64"/>
  <c r="O306" i="64"/>
  <c r="Q305" i="64"/>
  <c r="O305" i="64"/>
  <c r="Q304" i="64"/>
  <c r="O304" i="64"/>
  <c r="Q303" i="64"/>
  <c r="O303" i="64"/>
  <c r="Q302" i="64"/>
  <c r="O302" i="64"/>
  <c r="Q301" i="64"/>
  <c r="O301" i="64"/>
  <c r="Q300" i="64"/>
  <c r="O300" i="64"/>
  <c r="Q299" i="64"/>
  <c r="O299" i="64"/>
  <c r="Q298" i="64"/>
  <c r="O298" i="64"/>
  <c r="Q297" i="64"/>
  <c r="O297" i="64"/>
  <c r="Q296" i="64"/>
  <c r="O296" i="64"/>
  <c r="Q295" i="64"/>
  <c r="O295" i="64"/>
  <c r="Q294" i="64"/>
  <c r="O294" i="64"/>
  <c r="Q293" i="64"/>
  <c r="O293" i="64"/>
  <c r="Q292" i="64"/>
  <c r="O292" i="64"/>
  <c r="Q291" i="64"/>
  <c r="O291" i="64"/>
  <c r="Q290" i="64"/>
  <c r="O290" i="64"/>
  <c r="Q289" i="64"/>
  <c r="O289" i="64"/>
  <c r="Q288" i="64"/>
  <c r="O288" i="64"/>
  <c r="Q287" i="64"/>
  <c r="O287" i="64"/>
  <c r="Q286" i="64"/>
  <c r="O286" i="64"/>
  <c r="Q285" i="64"/>
  <c r="O285" i="64"/>
  <c r="Q284" i="64"/>
  <c r="O284" i="64"/>
  <c r="Q283" i="64"/>
  <c r="O283" i="64"/>
  <c r="Q282" i="64"/>
  <c r="O282" i="64"/>
  <c r="Q281" i="64"/>
  <c r="O281" i="64"/>
  <c r="Q280" i="64"/>
  <c r="O280" i="64"/>
  <c r="Q279" i="64"/>
  <c r="O279" i="64"/>
  <c r="Q278" i="64"/>
  <c r="O278" i="64"/>
  <c r="Q277" i="64"/>
  <c r="O277" i="64"/>
  <c r="Q276" i="64"/>
  <c r="O276" i="64"/>
  <c r="Q275" i="64"/>
  <c r="O275" i="64"/>
  <c r="Q274" i="64"/>
  <c r="O274" i="64"/>
  <c r="Q273" i="64"/>
  <c r="O273" i="64"/>
  <c r="Q272" i="64"/>
  <c r="O272" i="64"/>
  <c r="Q271" i="64"/>
  <c r="O271" i="64"/>
  <c r="Q270" i="64"/>
  <c r="O270" i="64"/>
  <c r="Q269" i="64"/>
  <c r="O269" i="64"/>
  <c r="Q268" i="64"/>
  <c r="O268" i="64"/>
  <c r="Q267" i="64"/>
  <c r="O267" i="64"/>
  <c r="Q266" i="64"/>
  <c r="O266" i="64"/>
  <c r="Q265" i="64"/>
  <c r="O265" i="64"/>
  <c r="Q264" i="64"/>
  <c r="O264" i="64"/>
  <c r="Q263" i="64"/>
  <c r="O263" i="64"/>
  <c r="Q262" i="64"/>
  <c r="O262" i="64"/>
  <c r="Q261" i="64"/>
  <c r="O261" i="64"/>
  <c r="Q260" i="64"/>
  <c r="O260" i="64"/>
  <c r="Q259" i="64"/>
  <c r="O259" i="64"/>
  <c r="Q258" i="64"/>
  <c r="O258" i="64"/>
  <c r="Q257" i="64"/>
  <c r="O257" i="64"/>
  <c r="Q256" i="64"/>
  <c r="O256" i="64"/>
  <c r="Q255" i="64"/>
  <c r="O255" i="64"/>
  <c r="Q254" i="64"/>
  <c r="O254" i="64"/>
  <c r="Q253" i="64"/>
  <c r="O253" i="64"/>
  <c r="Q252" i="64"/>
  <c r="O252" i="64"/>
  <c r="Q251" i="64"/>
  <c r="O251" i="64"/>
  <c r="Q250" i="64"/>
  <c r="O250" i="64"/>
  <c r="Q249" i="64"/>
  <c r="O249" i="64"/>
  <c r="Q248" i="64"/>
  <c r="O248" i="64"/>
  <c r="Q247" i="64"/>
  <c r="O247" i="64"/>
  <c r="Q246" i="64"/>
  <c r="O246" i="64"/>
  <c r="Q245" i="64"/>
  <c r="O245" i="64"/>
  <c r="Q244" i="64"/>
  <c r="O244" i="64"/>
  <c r="Q243" i="64"/>
  <c r="O243" i="64"/>
  <c r="Q242" i="64"/>
  <c r="O242" i="64"/>
  <c r="Q241" i="64"/>
  <c r="O241" i="64"/>
  <c r="Q240" i="64"/>
  <c r="O240" i="64"/>
  <c r="Q239" i="64"/>
  <c r="O239" i="64"/>
  <c r="Q238" i="64"/>
  <c r="O238" i="64"/>
  <c r="Q237" i="64"/>
  <c r="O237" i="64"/>
  <c r="Q236" i="64"/>
  <c r="O236" i="64"/>
  <c r="Q235" i="64"/>
  <c r="O235" i="64"/>
  <c r="Q234" i="64"/>
  <c r="O234" i="64"/>
  <c r="Q233" i="64"/>
  <c r="O233" i="64"/>
  <c r="Q232" i="64"/>
  <c r="O232" i="64"/>
  <c r="Q231" i="64"/>
  <c r="O231" i="64"/>
  <c r="Q230" i="64"/>
  <c r="O230" i="64"/>
  <c r="Q229" i="64"/>
  <c r="O229" i="64"/>
  <c r="Q228" i="64"/>
  <c r="O228" i="64"/>
  <c r="Q227" i="64"/>
  <c r="O227" i="64"/>
  <c r="Q226" i="64"/>
  <c r="O226" i="64"/>
  <c r="Q225" i="64"/>
  <c r="O225" i="64"/>
  <c r="Q224" i="64"/>
  <c r="O224" i="64"/>
  <c r="Q223" i="64"/>
  <c r="O223" i="64"/>
  <c r="Q222" i="64"/>
  <c r="O222" i="64"/>
  <c r="Q221" i="64"/>
  <c r="O221" i="64"/>
  <c r="Q220" i="64"/>
  <c r="O220" i="64"/>
  <c r="Q219" i="64"/>
  <c r="O219" i="64"/>
  <c r="Q218" i="64"/>
  <c r="O218" i="64"/>
  <c r="Q217" i="64"/>
  <c r="O217" i="64"/>
  <c r="Q216" i="64"/>
  <c r="O216" i="64"/>
  <c r="Q215" i="64"/>
  <c r="O215" i="64"/>
  <c r="Q214" i="64"/>
  <c r="O214" i="64"/>
  <c r="Q213" i="64"/>
  <c r="O213" i="64"/>
  <c r="Q212" i="64"/>
  <c r="O212" i="64"/>
  <c r="Q211" i="64"/>
  <c r="O211" i="64"/>
  <c r="Q210" i="64"/>
  <c r="O210" i="64"/>
  <c r="Q209" i="64"/>
  <c r="O209" i="64"/>
  <c r="Q208" i="64"/>
  <c r="O208" i="64"/>
  <c r="Q207" i="64"/>
  <c r="O207" i="64"/>
  <c r="Q206" i="64"/>
  <c r="O206" i="64"/>
  <c r="Q205" i="64"/>
  <c r="O205" i="64"/>
  <c r="Q204" i="64"/>
  <c r="O204" i="64"/>
  <c r="Q203" i="64"/>
  <c r="O203" i="64"/>
  <c r="Q202" i="64"/>
  <c r="O202" i="64"/>
  <c r="Q201" i="64"/>
  <c r="O201" i="64"/>
  <c r="Q200" i="64"/>
  <c r="O200" i="64"/>
  <c r="Q199" i="64"/>
  <c r="O199" i="64"/>
  <c r="Q198" i="64"/>
  <c r="O198" i="64"/>
  <c r="Q197" i="64"/>
  <c r="O197" i="64"/>
  <c r="Q196" i="64"/>
  <c r="O196" i="64"/>
  <c r="Q195" i="64"/>
  <c r="O195" i="64"/>
  <c r="Q194" i="64"/>
  <c r="O194" i="64"/>
  <c r="Q193" i="64"/>
  <c r="O193" i="64"/>
  <c r="Q192" i="64"/>
  <c r="O192" i="64"/>
  <c r="Q191" i="64"/>
  <c r="O191" i="64"/>
  <c r="Q190" i="64"/>
  <c r="O190" i="64"/>
  <c r="Q189" i="64"/>
  <c r="O189" i="64"/>
  <c r="Q188" i="64"/>
  <c r="O188" i="64"/>
  <c r="Q187" i="64"/>
  <c r="O187" i="64"/>
  <c r="Q186" i="64"/>
  <c r="O186" i="64"/>
  <c r="Q185" i="64"/>
  <c r="O185" i="64"/>
  <c r="Q184" i="64"/>
  <c r="O184" i="64"/>
  <c r="Q183" i="64"/>
  <c r="O183" i="64"/>
  <c r="Q182" i="64"/>
  <c r="O182" i="64"/>
  <c r="Q181" i="64"/>
  <c r="O181" i="64"/>
  <c r="Q180" i="64"/>
  <c r="O180" i="64"/>
  <c r="Q179" i="64"/>
  <c r="O179" i="64"/>
  <c r="Q178" i="64"/>
  <c r="O178" i="64"/>
  <c r="Q177" i="64"/>
  <c r="O177" i="64"/>
  <c r="Q176" i="64"/>
  <c r="O176" i="64"/>
  <c r="Q175" i="64"/>
  <c r="O175" i="64"/>
  <c r="Q174" i="64"/>
  <c r="O174" i="64"/>
  <c r="Q173" i="64"/>
  <c r="O173" i="64"/>
  <c r="Q172" i="64"/>
  <c r="O172" i="64"/>
  <c r="Q171" i="64"/>
  <c r="O171" i="64"/>
  <c r="Q170" i="64"/>
  <c r="O170" i="64"/>
  <c r="Q169" i="64"/>
  <c r="O169" i="64"/>
  <c r="Q168" i="64"/>
  <c r="O168" i="64"/>
  <c r="Q167" i="64"/>
  <c r="O167" i="64"/>
  <c r="Q166" i="64"/>
  <c r="O166" i="64"/>
  <c r="Q165" i="64"/>
  <c r="O165" i="64"/>
  <c r="Q164" i="64"/>
  <c r="O164" i="64"/>
  <c r="Q163" i="64"/>
  <c r="O163" i="64"/>
  <c r="Q162" i="64"/>
  <c r="O162" i="64"/>
  <c r="Q161" i="64"/>
  <c r="O161" i="64"/>
  <c r="Q160" i="64"/>
  <c r="O160" i="64"/>
  <c r="Q159" i="64"/>
  <c r="O159" i="64"/>
  <c r="Q158" i="64"/>
  <c r="O158" i="64"/>
  <c r="Q157" i="64"/>
  <c r="O157" i="64"/>
  <c r="Q156" i="64"/>
  <c r="O156" i="64"/>
  <c r="Q155" i="64"/>
  <c r="O155" i="64"/>
  <c r="Q154" i="64"/>
  <c r="O154" i="64"/>
  <c r="Q153" i="64"/>
  <c r="O153" i="64"/>
  <c r="Q152" i="64"/>
  <c r="O152" i="64"/>
  <c r="Q151" i="64"/>
  <c r="O151" i="64"/>
  <c r="Q150" i="64"/>
  <c r="O150" i="64"/>
  <c r="Q149" i="64"/>
  <c r="O149" i="64"/>
  <c r="Q148" i="64"/>
  <c r="O148" i="64"/>
  <c r="Q147" i="64"/>
  <c r="O147" i="64"/>
  <c r="Q146" i="64"/>
  <c r="O146" i="64"/>
  <c r="Q145" i="64"/>
  <c r="O145" i="64"/>
  <c r="Q144" i="64"/>
  <c r="O144" i="64"/>
  <c r="Q143" i="64"/>
  <c r="O143" i="64"/>
  <c r="Q142" i="64"/>
  <c r="O142" i="64"/>
  <c r="Q141" i="64"/>
  <c r="O141" i="64"/>
  <c r="Q140" i="64"/>
  <c r="O140" i="64"/>
  <c r="Q139" i="64"/>
  <c r="O139" i="64"/>
  <c r="Q138" i="64"/>
  <c r="O138" i="64"/>
  <c r="Q137" i="64"/>
  <c r="O137" i="64"/>
  <c r="Q136" i="64"/>
  <c r="O136" i="64"/>
  <c r="Q135" i="64"/>
  <c r="O135" i="64"/>
  <c r="Q134" i="64"/>
  <c r="O134" i="64"/>
  <c r="Q133" i="64"/>
  <c r="O133" i="64"/>
  <c r="Q132" i="64"/>
  <c r="O132" i="64"/>
  <c r="Q131" i="64"/>
  <c r="O131" i="64"/>
  <c r="Q130" i="64"/>
  <c r="O130" i="64"/>
  <c r="Q129" i="64"/>
  <c r="O129" i="64"/>
  <c r="Q128" i="64"/>
  <c r="O128" i="64"/>
  <c r="Q127" i="64"/>
  <c r="O127" i="64"/>
  <c r="Q126" i="64"/>
  <c r="O126" i="64"/>
  <c r="Q125" i="64"/>
  <c r="O125" i="64"/>
  <c r="Q124" i="64"/>
  <c r="O124" i="64"/>
  <c r="Q123" i="64"/>
  <c r="O123" i="64"/>
  <c r="Q122" i="64"/>
  <c r="O122" i="64"/>
  <c r="Q121" i="64"/>
  <c r="O121" i="64"/>
  <c r="Q120" i="64"/>
  <c r="O120" i="64"/>
  <c r="Q119" i="64"/>
  <c r="O119" i="64"/>
  <c r="Q118" i="64"/>
  <c r="O118" i="64"/>
  <c r="Q117" i="64"/>
  <c r="O117" i="64"/>
  <c r="Q116" i="64"/>
  <c r="O116" i="64"/>
  <c r="Q115" i="64"/>
  <c r="P115" i="64"/>
  <c r="O115" i="64"/>
  <c r="Q114" i="64"/>
  <c r="O114" i="64"/>
  <c r="Q113" i="64"/>
  <c r="O113" i="64"/>
  <c r="Q112" i="64"/>
  <c r="O112" i="64"/>
  <c r="Q111" i="64"/>
  <c r="O111" i="64"/>
  <c r="Q110" i="64"/>
  <c r="O110" i="64"/>
  <c r="Q109" i="64"/>
  <c r="O109" i="64"/>
  <c r="Q108" i="64"/>
  <c r="O108" i="64"/>
  <c r="Q107" i="64"/>
  <c r="O107" i="64"/>
  <c r="Q106" i="64"/>
  <c r="O106" i="64"/>
  <c r="Q105" i="64"/>
  <c r="O105" i="64"/>
  <c r="Q104" i="64"/>
  <c r="O104" i="64"/>
  <c r="Q103" i="64"/>
  <c r="O103" i="64"/>
  <c r="Q102" i="64"/>
  <c r="O102" i="64"/>
  <c r="Q101" i="64"/>
  <c r="O101" i="64"/>
  <c r="Q100" i="64"/>
  <c r="O100" i="64"/>
  <c r="Q99" i="64"/>
  <c r="O99" i="64"/>
  <c r="Q98" i="64"/>
  <c r="O98" i="64"/>
  <c r="Q97" i="64"/>
  <c r="O97" i="64"/>
  <c r="Q96" i="64"/>
  <c r="O96" i="64"/>
  <c r="Q95" i="64"/>
  <c r="O95" i="64"/>
  <c r="Q94" i="64"/>
  <c r="O94" i="64"/>
  <c r="Q93" i="64"/>
  <c r="O93" i="64"/>
  <c r="Q92" i="64"/>
  <c r="O92" i="64"/>
  <c r="Q91" i="64"/>
  <c r="O91" i="64"/>
  <c r="Q90" i="64"/>
  <c r="O90" i="64"/>
  <c r="Q89" i="64"/>
  <c r="O89" i="64"/>
  <c r="Q88" i="64"/>
  <c r="O88" i="64"/>
  <c r="Q87" i="64"/>
  <c r="O87" i="64"/>
  <c r="Q86" i="64"/>
  <c r="O86" i="64"/>
  <c r="Q85" i="64"/>
  <c r="O85" i="64"/>
  <c r="Q84" i="64"/>
  <c r="O84" i="64"/>
  <c r="Q83" i="64"/>
  <c r="O83" i="64"/>
  <c r="Q82" i="64"/>
  <c r="O82" i="64"/>
  <c r="Q81" i="64"/>
  <c r="O81" i="64"/>
  <c r="Q80" i="64"/>
  <c r="O80" i="64"/>
  <c r="Q79" i="64"/>
  <c r="O79" i="64"/>
  <c r="Q78" i="64"/>
  <c r="O78" i="64"/>
  <c r="Q77" i="64"/>
  <c r="O77" i="64"/>
  <c r="Q76" i="64"/>
  <c r="O76" i="64"/>
  <c r="Q75" i="64"/>
  <c r="O75" i="64"/>
  <c r="Q74" i="64"/>
  <c r="O74" i="64"/>
  <c r="Q73" i="64"/>
  <c r="O73" i="64"/>
  <c r="Q72" i="64"/>
  <c r="O72" i="64"/>
  <c r="Q71" i="64"/>
  <c r="O71" i="64"/>
  <c r="Q70" i="64"/>
  <c r="O70" i="64"/>
  <c r="Q69" i="64"/>
  <c r="O69" i="64"/>
  <c r="Q68" i="64"/>
  <c r="O68" i="64"/>
  <c r="Q67" i="64"/>
  <c r="O67" i="64"/>
  <c r="Q66" i="64"/>
  <c r="O66" i="64"/>
  <c r="Q65" i="64"/>
  <c r="O65" i="64"/>
  <c r="Q64" i="64"/>
  <c r="O64" i="64"/>
  <c r="Q63" i="64"/>
  <c r="O63" i="64"/>
  <c r="Q62" i="64"/>
  <c r="O62" i="64"/>
  <c r="Q61" i="64"/>
  <c r="O61" i="64"/>
  <c r="Q60" i="64"/>
  <c r="O60" i="64"/>
  <c r="Q59" i="64"/>
  <c r="O59" i="64"/>
  <c r="Q58" i="64"/>
  <c r="O58" i="64"/>
  <c r="Q57" i="64"/>
  <c r="O57" i="64"/>
  <c r="Q56" i="64"/>
  <c r="O56" i="64"/>
  <c r="Q55" i="64"/>
  <c r="O55" i="64"/>
  <c r="Q54" i="64"/>
  <c r="O54" i="64"/>
  <c r="Q53" i="64"/>
  <c r="O53" i="64"/>
  <c r="Q52" i="64"/>
  <c r="O52" i="64"/>
  <c r="Q51" i="64"/>
  <c r="O51" i="64"/>
  <c r="Q50" i="64"/>
  <c r="O50" i="64"/>
  <c r="Q49" i="64"/>
  <c r="O49" i="64"/>
  <c r="Q48" i="64"/>
  <c r="O48" i="64"/>
  <c r="Q47" i="64"/>
  <c r="O47" i="64"/>
  <c r="Q46" i="64"/>
  <c r="O46" i="64"/>
  <c r="Q45" i="64"/>
  <c r="O45" i="64"/>
  <c r="Q44" i="64"/>
  <c r="O44" i="64"/>
  <c r="Q43" i="64"/>
  <c r="O43" i="64"/>
  <c r="Q42" i="64"/>
  <c r="O42" i="64"/>
  <c r="Q41" i="64"/>
  <c r="O41" i="64"/>
  <c r="Q40" i="64"/>
  <c r="O40" i="64"/>
  <c r="Q39" i="64"/>
  <c r="O39" i="64"/>
  <c r="Q38" i="64"/>
  <c r="O38" i="64"/>
  <c r="Q37" i="64"/>
  <c r="O37" i="64"/>
  <c r="Q36" i="64"/>
  <c r="O36" i="64"/>
  <c r="Q35" i="64"/>
  <c r="O35" i="64"/>
  <c r="Q34" i="64"/>
  <c r="O34" i="64"/>
  <c r="Q33" i="64"/>
  <c r="O33" i="64"/>
  <c r="Q32" i="64"/>
  <c r="O32" i="64"/>
  <c r="Q31" i="64"/>
  <c r="O31" i="64"/>
  <c r="Q30" i="64"/>
  <c r="O30" i="64"/>
  <c r="Q29" i="64"/>
  <c r="O29" i="64"/>
  <c r="Q28" i="64"/>
  <c r="O28" i="64"/>
  <c r="Q27" i="64"/>
  <c r="O27" i="64"/>
  <c r="Q26" i="64"/>
  <c r="O26" i="64"/>
  <c r="Q25" i="64"/>
  <c r="O25" i="64"/>
  <c r="Q24" i="64"/>
  <c r="O24" i="64"/>
  <c r="Q23" i="64"/>
  <c r="O23" i="64"/>
  <c r="Q22" i="64"/>
  <c r="O22" i="64"/>
  <c r="Q21" i="64"/>
  <c r="O21" i="64"/>
  <c r="Q20" i="64"/>
  <c r="O20" i="64"/>
  <c r="Q19" i="64"/>
  <c r="O19" i="64"/>
  <c r="Q18" i="64"/>
  <c r="O18" i="64"/>
  <c r="Q17" i="64"/>
  <c r="O17" i="64"/>
  <c r="Q16" i="64"/>
  <c r="O16" i="64"/>
  <c r="Q15" i="64"/>
  <c r="O15" i="64"/>
  <c r="Q14" i="64"/>
  <c r="O14" i="64"/>
  <c r="Q13" i="64"/>
  <c r="O13" i="64"/>
  <c r="Q12" i="64"/>
  <c r="O12" i="64"/>
  <c r="Q11" i="64"/>
  <c r="O11" i="64"/>
  <c r="Q10" i="64"/>
  <c r="O10" i="64"/>
  <c r="Q9" i="64"/>
  <c r="O9" i="64"/>
  <c r="Q8" i="64"/>
  <c r="O8" i="64"/>
  <c r="Q7" i="64"/>
  <c r="O7" i="64"/>
  <c r="Q6" i="64"/>
  <c r="O6" i="64"/>
  <c r="Q5" i="64"/>
  <c r="O5" i="64"/>
  <c r="Q4" i="64"/>
  <c r="O4" i="64"/>
  <c r="Q432" i="63"/>
  <c r="O432" i="63"/>
  <c r="Q431" i="63"/>
  <c r="O431" i="63"/>
  <c r="Q430" i="63"/>
  <c r="O430" i="63"/>
  <c r="Q429" i="63"/>
  <c r="O429" i="63"/>
  <c r="Q428" i="63"/>
  <c r="O428" i="63"/>
  <c r="Q427" i="63"/>
  <c r="O427" i="63"/>
  <c r="Q426" i="63"/>
  <c r="O426" i="63"/>
  <c r="Q425" i="63"/>
  <c r="O425" i="63"/>
  <c r="Q424" i="63"/>
  <c r="O424" i="63"/>
  <c r="Q423" i="63"/>
  <c r="O423" i="63"/>
  <c r="Q422" i="63"/>
  <c r="O422" i="63"/>
  <c r="Q421" i="63"/>
  <c r="O421" i="63"/>
  <c r="Q420" i="63"/>
  <c r="O420" i="63"/>
  <c r="Q419" i="63"/>
  <c r="O419" i="63"/>
  <c r="Q418" i="63"/>
  <c r="O418" i="63"/>
  <c r="Q417" i="63"/>
  <c r="O417" i="63"/>
  <c r="Q416" i="63"/>
  <c r="O416" i="63"/>
  <c r="Q415" i="63"/>
  <c r="O415" i="63"/>
  <c r="P414" i="63"/>
  <c r="Q414" i="63" s="1"/>
  <c r="O414" i="63"/>
  <c r="Q413" i="63"/>
  <c r="P413" i="63"/>
  <c r="O413" i="63"/>
  <c r="Q412" i="63"/>
  <c r="O412" i="63"/>
  <c r="Q411" i="63"/>
  <c r="O411" i="63"/>
  <c r="Q410" i="63"/>
  <c r="O410" i="63"/>
  <c r="Q409" i="63"/>
  <c r="O409" i="63"/>
  <c r="Q408" i="63"/>
  <c r="O408" i="63"/>
  <c r="Q407" i="63"/>
  <c r="O407" i="63"/>
  <c r="Q406" i="63"/>
  <c r="O406" i="63"/>
  <c r="Q405" i="63"/>
  <c r="O405" i="63"/>
  <c r="P404" i="63"/>
  <c r="Q404" i="63" s="1"/>
  <c r="O404" i="63"/>
  <c r="Q403" i="63"/>
  <c r="P403" i="63"/>
  <c r="O403" i="63"/>
  <c r="Q402" i="63"/>
  <c r="O402" i="63"/>
  <c r="Q401" i="63"/>
  <c r="O401" i="63"/>
  <c r="Q400" i="63"/>
  <c r="O400" i="63"/>
  <c r="Q399" i="63"/>
  <c r="O399" i="63"/>
  <c r="Q398" i="63"/>
  <c r="O398" i="63"/>
  <c r="Q397" i="63"/>
  <c r="O397" i="63"/>
  <c r="P396" i="63"/>
  <c r="Q396" i="63" s="1"/>
  <c r="O396" i="63"/>
  <c r="Q395" i="63"/>
  <c r="O395" i="63"/>
  <c r="Q394" i="63"/>
  <c r="O394" i="63"/>
  <c r="Q393" i="63"/>
  <c r="O393" i="63"/>
  <c r="Q392" i="63"/>
  <c r="O392" i="63"/>
  <c r="Q391" i="63"/>
  <c r="O391" i="63"/>
  <c r="Q390" i="63"/>
  <c r="O390" i="63"/>
  <c r="Q389" i="63"/>
  <c r="O389" i="63"/>
  <c r="Q388" i="63"/>
  <c r="O388" i="63"/>
  <c r="Q387" i="63"/>
  <c r="O387" i="63"/>
  <c r="Q386" i="63"/>
  <c r="O386" i="63"/>
  <c r="Q385" i="63"/>
  <c r="O385" i="63"/>
  <c r="Q384" i="63"/>
  <c r="O384" i="63"/>
  <c r="Q383" i="63"/>
  <c r="O383" i="63"/>
  <c r="Q382" i="63"/>
  <c r="O382" i="63"/>
  <c r="Q381" i="63"/>
  <c r="O381" i="63"/>
  <c r="Q380" i="63"/>
  <c r="O380" i="63"/>
  <c r="Q379" i="63"/>
  <c r="O379" i="63"/>
  <c r="Q378" i="63"/>
  <c r="P378" i="63"/>
  <c r="O378" i="63"/>
  <c r="Q377" i="63"/>
  <c r="O377" i="63"/>
  <c r="Q376" i="63"/>
  <c r="O376" i="63"/>
  <c r="Q375" i="63"/>
  <c r="O375" i="63"/>
  <c r="P374" i="63"/>
  <c r="Q374" i="63" s="1"/>
  <c r="O374" i="63"/>
  <c r="Q373" i="63"/>
  <c r="O373" i="63"/>
  <c r="Q372" i="63"/>
  <c r="O372" i="63"/>
  <c r="Q371" i="63"/>
  <c r="O371" i="63"/>
  <c r="Q370" i="63"/>
  <c r="O370" i="63"/>
  <c r="Q369" i="63"/>
  <c r="O369" i="63"/>
  <c r="Q368" i="63"/>
  <c r="O368" i="63"/>
  <c r="Q367" i="63"/>
  <c r="O367" i="63"/>
  <c r="Q366" i="63"/>
  <c r="O366" i="63"/>
  <c r="Q365" i="63"/>
  <c r="O365" i="63"/>
  <c r="Q364" i="63"/>
  <c r="O364" i="63"/>
  <c r="Q363" i="63"/>
  <c r="O363" i="63"/>
  <c r="Q362" i="63"/>
  <c r="O362" i="63"/>
  <c r="Q361" i="63"/>
  <c r="O361" i="63"/>
  <c r="Q360" i="63"/>
  <c r="O360" i="63"/>
  <c r="Q359" i="63"/>
  <c r="O359" i="63"/>
  <c r="Q358" i="63"/>
  <c r="O358" i="63"/>
  <c r="Q357" i="63"/>
  <c r="P357" i="63"/>
  <c r="O357" i="63"/>
  <c r="P356" i="63"/>
  <c r="Q356" i="63" s="1"/>
  <c r="O356" i="63"/>
  <c r="Q355" i="63"/>
  <c r="O355" i="63"/>
  <c r="Q354" i="63"/>
  <c r="O354" i="63"/>
  <c r="Q353" i="63"/>
  <c r="O353" i="63"/>
  <c r="Q352" i="63"/>
  <c r="O352" i="63"/>
  <c r="Q351" i="63"/>
  <c r="O351" i="63"/>
  <c r="Q350" i="63"/>
  <c r="O350" i="63"/>
  <c r="Q349" i="63"/>
  <c r="O349" i="63"/>
  <c r="Q348" i="63"/>
  <c r="O348" i="63"/>
  <c r="Q347" i="63"/>
  <c r="O347" i="63"/>
  <c r="Q346" i="63"/>
  <c r="O346" i="63"/>
  <c r="Q345" i="63"/>
  <c r="O345" i="63"/>
  <c r="Q344" i="63"/>
  <c r="O344" i="63"/>
  <c r="Q343" i="63"/>
  <c r="O343" i="63"/>
  <c r="Q342" i="63"/>
  <c r="O342" i="63"/>
  <c r="Q341" i="63"/>
  <c r="O341" i="63"/>
  <c r="Q340" i="63"/>
  <c r="O340" i="63"/>
  <c r="Q339" i="63"/>
  <c r="O339" i="63"/>
  <c r="Q338" i="63"/>
  <c r="O338" i="63"/>
  <c r="Q337" i="63"/>
  <c r="O337" i="63"/>
  <c r="Q336" i="63"/>
  <c r="O336" i="63"/>
  <c r="Q335" i="63"/>
  <c r="O335" i="63"/>
  <c r="Q334" i="63"/>
  <c r="O334" i="63"/>
  <c r="Q333" i="63"/>
  <c r="O333" i="63"/>
  <c r="Q332" i="63"/>
  <c r="O332" i="63"/>
  <c r="Q331" i="63"/>
  <c r="O331" i="63"/>
  <c r="Q330" i="63"/>
  <c r="O330" i="63"/>
  <c r="Q329" i="63"/>
  <c r="O329" i="63"/>
  <c r="Q328" i="63"/>
  <c r="O328" i="63"/>
  <c r="Q327" i="63"/>
  <c r="O327" i="63"/>
  <c r="Q326" i="63"/>
  <c r="O326" i="63"/>
  <c r="Q325" i="63"/>
  <c r="O325" i="63"/>
  <c r="Q324" i="63"/>
  <c r="O324" i="63"/>
  <c r="Q323" i="63"/>
  <c r="O323" i="63"/>
  <c r="Q322" i="63"/>
  <c r="O322" i="63"/>
  <c r="Q321" i="63"/>
  <c r="O321" i="63"/>
  <c r="Q320" i="63"/>
  <c r="O320" i="63"/>
  <c r="Q319" i="63"/>
  <c r="O319" i="63"/>
  <c r="Q318" i="63"/>
  <c r="O318" i="63"/>
  <c r="Q317" i="63"/>
  <c r="O317" i="63"/>
  <c r="Q316" i="63"/>
  <c r="O316" i="63"/>
  <c r="Q315" i="63"/>
  <c r="O315" i="63"/>
  <c r="Q314" i="63"/>
  <c r="O314" i="63"/>
  <c r="Q313" i="63"/>
  <c r="O313" i="63"/>
  <c r="Q312" i="63"/>
  <c r="O312" i="63"/>
  <c r="Q311" i="63"/>
  <c r="O311" i="63"/>
  <c r="Q310" i="63"/>
  <c r="O310" i="63"/>
  <c r="Q309" i="63"/>
  <c r="O309" i="63"/>
  <c r="Q308" i="63"/>
  <c r="O308" i="63"/>
  <c r="Q307" i="63"/>
  <c r="O307" i="63"/>
  <c r="Q306" i="63"/>
  <c r="O306" i="63"/>
  <c r="Q305" i="63"/>
  <c r="O305" i="63"/>
  <c r="Q304" i="63"/>
  <c r="O304" i="63"/>
  <c r="Q303" i="63"/>
  <c r="O303" i="63"/>
  <c r="Q302" i="63"/>
  <c r="O302" i="63"/>
  <c r="Q301" i="63"/>
  <c r="O301" i="63"/>
  <c r="Q300" i="63"/>
  <c r="O300" i="63"/>
  <c r="Q299" i="63"/>
  <c r="O299" i="63"/>
  <c r="Q298" i="63"/>
  <c r="O298" i="63"/>
  <c r="Q297" i="63"/>
  <c r="O297" i="63"/>
  <c r="Q296" i="63"/>
  <c r="O296" i="63"/>
  <c r="Q295" i="63"/>
  <c r="O295" i="63"/>
  <c r="Q294" i="63"/>
  <c r="O294" i="63"/>
  <c r="Q293" i="63"/>
  <c r="O293" i="63"/>
  <c r="Q292" i="63"/>
  <c r="O292" i="63"/>
  <c r="Q291" i="63"/>
  <c r="O291" i="63"/>
  <c r="Q290" i="63"/>
  <c r="O290" i="63"/>
  <c r="Q289" i="63"/>
  <c r="O289" i="63"/>
  <c r="Q288" i="63"/>
  <c r="O288" i="63"/>
  <c r="Q287" i="63"/>
  <c r="O287" i="63"/>
  <c r="Q286" i="63"/>
  <c r="O286" i="63"/>
  <c r="Q285" i="63"/>
  <c r="O285" i="63"/>
  <c r="Q284" i="63"/>
  <c r="O284" i="63"/>
  <c r="Q283" i="63"/>
  <c r="O283" i="63"/>
  <c r="Q282" i="63"/>
  <c r="O282" i="63"/>
  <c r="Q281" i="63"/>
  <c r="O281" i="63"/>
  <c r="Q280" i="63"/>
  <c r="O280" i="63"/>
  <c r="Q279" i="63"/>
  <c r="O279" i="63"/>
  <c r="Q278" i="63"/>
  <c r="O278" i="63"/>
  <c r="Q277" i="63"/>
  <c r="O277" i="63"/>
  <c r="Q276" i="63"/>
  <c r="O276" i="63"/>
  <c r="Q275" i="63"/>
  <c r="O275" i="63"/>
  <c r="Q274" i="63"/>
  <c r="O274" i="63"/>
  <c r="Q273" i="63"/>
  <c r="O273" i="63"/>
  <c r="Q272" i="63"/>
  <c r="O272" i="63"/>
  <c r="Q271" i="63"/>
  <c r="O271" i="63"/>
  <c r="Q270" i="63"/>
  <c r="O270" i="63"/>
  <c r="Q269" i="63"/>
  <c r="O269" i="63"/>
  <c r="Q268" i="63"/>
  <c r="O268" i="63"/>
  <c r="Q267" i="63"/>
  <c r="O267" i="63"/>
  <c r="Q266" i="63"/>
  <c r="O266" i="63"/>
  <c r="Q265" i="63"/>
  <c r="O265" i="63"/>
  <c r="Q264" i="63"/>
  <c r="O264" i="63"/>
  <c r="Q263" i="63"/>
  <c r="O263" i="63"/>
  <c r="Q262" i="63"/>
  <c r="O262" i="63"/>
  <c r="Q261" i="63"/>
  <c r="O261" i="63"/>
  <c r="Q260" i="63"/>
  <c r="O260" i="63"/>
  <c r="Q259" i="63"/>
  <c r="O259" i="63"/>
  <c r="Q258" i="63"/>
  <c r="O258" i="63"/>
  <c r="Q257" i="63"/>
  <c r="O257" i="63"/>
  <c r="Q256" i="63"/>
  <c r="O256" i="63"/>
  <c r="Q255" i="63"/>
  <c r="O255" i="63"/>
  <c r="Q254" i="63"/>
  <c r="O254" i="63"/>
  <c r="Q253" i="63"/>
  <c r="O253" i="63"/>
  <c r="Q252" i="63"/>
  <c r="O252" i="63"/>
  <c r="Q251" i="63"/>
  <c r="O251" i="63"/>
  <c r="Q250" i="63"/>
  <c r="O250" i="63"/>
  <c r="Q249" i="63"/>
  <c r="O249" i="63"/>
  <c r="Q248" i="63"/>
  <c r="O248" i="63"/>
  <c r="Q247" i="63"/>
  <c r="O247" i="63"/>
  <c r="Q246" i="63"/>
  <c r="O246" i="63"/>
  <c r="Q245" i="63"/>
  <c r="O245" i="63"/>
  <c r="Q244" i="63"/>
  <c r="O244" i="63"/>
  <c r="Q243" i="63"/>
  <c r="O243" i="63"/>
  <c r="Q242" i="63"/>
  <c r="O242" i="63"/>
  <c r="Q241" i="63"/>
  <c r="O241" i="63"/>
  <c r="Q240" i="63"/>
  <c r="O240" i="63"/>
  <c r="Q239" i="63"/>
  <c r="O239" i="63"/>
  <c r="Q238" i="63"/>
  <c r="O238" i="63"/>
  <c r="Q237" i="63"/>
  <c r="O237" i="63"/>
  <c r="Q236" i="63"/>
  <c r="O236" i="63"/>
  <c r="Q235" i="63"/>
  <c r="O235" i="63"/>
  <c r="Q234" i="63"/>
  <c r="O234" i="63"/>
  <c r="Q233" i="63"/>
  <c r="O233" i="63"/>
  <c r="Q232" i="63"/>
  <c r="O232" i="63"/>
  <c r="Q231" i="63"/>
  <c r="O231" i="63"/>
  <c r="Q230" i="63"/>
  <c r="O230" i="63"/>
  <c r="Q229" i="63"/>
  <c r="O229" i="63"/>
  <c r="Q228" i="63"/>
  <c r="O228" i="63"/>
  <c r="Q227" i="63"/>
  <c r="O227" i="63"/>
  <c r="Q226" i="63"/>
  <c r="O226" i="63"/>
  <c r="Q225" i="63"/>
  <c r="O225" i="63"/>
  <c r="Q224" i="63"/>
  <c r="O224" i="63"/>
  <c r="Q223" i="63"/>
  <c r="O223" i="63"/>
  <c r="Q222" i="63"/>
  <c r="O222" i="63"/>
  <c r="Q221" i="63"/>
  <c r="O221" i="63"/>
  <c r="Q220" i="63"/>
  <c r="O220" i="63"/>
  <c r="Q219" i="63"/>
  <c r="O219" i="63"/>
  <c r="Q218" i="63"/>
  <c r="O218" i="63"/>
  <c r="Q217" i="63"/>
  <c r="O217" i="63"/>
  <c r="Q216" i="63"/>
  <c r="O216" i="63"/>
  <c r="Q215" i="63"/>
  <c r="O215" i="63"/>
  <c r="Q214" i="63"/>
  <c r="O214" i="63"/>
  <c r="Q213" i="63"/>
  <c r="O213" i="63"/>
  <c r="Q212" i="63"/>
  <c r="O212" i="63"/>
  <c r="Q211" i="63"/>
  <c r="O211" i="63"/>
  <c r="Q210" i="63"/>
  <c r="O210" i="63"/>
  <c r="Q209" i="63"/>
  <c r="O209" i="63"/>
  <c r="Q208" i="63"/>
  <c r="O208" i="63"/>
  <c r="Q207" i="63"/>
  <c r="O207" i="63"/>
  <c r="Q206" i="63"/>
  <c r="O206" i="63"/>
  <c r="Q205" i="63"/>
  <c r="O205" i="63"/>
  <c r="Q204" i="63"/>
  <c r="O204" i="63"/>
  <c r="Q203" i="63"/>
  <c r="O203" i="63"/>
  <c r="Q202" i="63"/>
  <c r="O202" i="63"/>
  <c r="Q201" i="63"/>
  <c r="O201" i="63"/>
  <c r="Q200" i="63"/>
  <c r="O200" i="63"/>
  <c r="Q199" i="63"/>
  <c r="O199" i="63"/>
  <c r="Q198" i="63"/>
  <c r="O198" i="63"/>
  <c r="Q197" i="63"/>
  <c r="O197" i="63"/>
  <c r="Q196" i="63"/>
  <c r="O196" i="63"/>
  <c r="Q195" i="63"/>
  <c r="O195" i="63"/>
  <c r="Q194" i="63"/>
  <c r="O194" i="63"/>
  <c r="Q193" i="63"/>
  <c r="O193" i="63"/>
  <c r="Q192" i="63"/>
  <c r="O192" i="63"/>
  <c r="Q191" i="63"/>
  <c r="O191" i="63"/>
  <c r="Q190" i="63"/>
  <c r="O190" i="63"/>
  <c r="Q189" i="63"/>
  <c r="O189" i="63"/>
  <c r="Q188" i="63"/>
  <c r="O188" i="63"/>
  <c r="Q187" i="63"/>
  <c r="O187" i="63"/>
  <c r="Q186" i="63"/>
  <c r="O186" i="63"/>
  <c r="Q185" i="63"/>
  <c r="O185" i="63"/>
  <c r="Q184" i="63"/>
  <c r="O184" i="63"/>
  <c r="Q183" i="63"/>
  <c r="O183" i="63"/>
  <c r="Q182" i="63"/>
  <c r="O182" i="63"/>
  <c r="Q181" i="63"/>
  <c r="O181" i="63"/>
  <c r="Q180" i="63"/>
  <c r="O180" i="63"/>
  <c r="Q179" i="63"/>
  <c r="O179" i="63"/>
  <c r="Q178" i="63"/>
  <c r="O178" i="63"/>
  <c r="Q177" i="63"/>
  <c r="O177" i="63"/>
  <c r="Q176" i="63"/>
  <c r="O176" i="63"/>
  <c r="Q175" i="63"/>
  <c r="O175" i="63"/>
  <c r="Q174" i="63"/>
  <c r="O174" i="63"/>
  <c r="Q173" i="63"/>
  <c r="O173" i="63"/>
  <c r="Q172" i="63"/>
  <c r="O172" i="63"/>
  <c r="Q171" i="63"/>
  <c r="O171" i="63"/>
  <c r="Q170" i="63"/>
  <c r="O170" i="63"/>
  <c r="Q169" i="63"/>
  <c r="O169" i="63"/>
  <c r="Q168" i="63"/>
  <c r="O168" i="63"/>
  <c r="Q167" i="63"/>
  <c r="O167" i="63"/>
  <c r="Q166" i="63"/>
  <c r="O166" i="63"/>
  <c r="Q165" i="63"/>
  <c r="O165" i="63"/>
  <c r="Q164" i="63"/>
  <c r="O164" i="63"/>
  <c r="Q163" i="63"/>
  <c r="O163" i="63"/>
  <c r="Q162" i="63"/>
  <c r="O162" i="63"/>
  <c r="Q161" i="63"/>
  <c r="O161" i="63"/>
  <c r="Q160" i="63"/>
  <c r="O160" i="63"/>
  <c r="Q159" i="63"/>
  <c r="O159" i="63"/>
  <c r="Q158" i="63"/>
  <c r="O158" i="63"/>
  <c r="Q157" i="63"/>
  <c r="O157" i="63"/>
  <c r="Q156" i="63"/>
  <c r="O156" i="63"/>
  <c r="Q155" i="63"/>
  <c r="O155" i="63"/>
  <c r="Q154" i="63"/>
  <c r="O154" i="63"/>
  <c r="Q153" i="63"/>
  <c r="O153" i="63"/>
  <c r="Q152" i="63"/>
  <c r="O152" i="63"/>
  <c r="Q151" i="63"/>
  <c r="O151" i="63"/>
  <c r="Q150" i="63"/>
  <c r="O150" i="63"/>
  <c r="Q149" i="63"/>
  <c r="O149" i="63"/>
  <c r="Q148" i="63"/>
  <c r="O148" i="63"/>
  <c r="Q147" i="63"/>
  <c r="O147" i="63"/>
  <c r="Q146" i="63"/>
  <c r="O146" i="63"/>
  <c r="Q145" i="63"/>
  <c r="O145" i="63"/>
  <c r="Q144" i="63"/>
  <c r="O144" i="63"/>
  <c r="Q143" i="63"/>
  <c r="O143" i="63"/>
  <c r="Q142" i="63"/>
  <c r="O142" i="63"/>
  <c r="Q141" i="63"/>
  <c r="O141" i="63"/>
  <c r="Q140" i="63"/>
  <c r="O140" i="63"/>
  <c r="Q139" i="63"/>
  <c r="O139" i="63"/>
  <c r="Q138" i="63"/>
  <c r="O138" i="63"/>
  <c r="Q137" i="63"/>
  <c r="O137" i="63"/>
  <c r="Q136" i="63"/>
  <c r="O136" i="63"/>
  <c r="Q135" i="63"/>
  <c r="O135" i="63"/>
  <c r="Q134" i="63"/>
  <c r="O134" i="63"/>
  <c r="Q133" i="63"/>
  <c r="O133" i="63"/>
  <c r="Q132" i="63"/>
  <c r="O132" i="63"/>
  <c r="Q131" i="63"/>
  <c r="O131" i="63"/>
  <c r="Q130" i="63"/>
  <c r="O130" i="63"/>
  <c r="Q129" i="63"/>
  <c r="O129" i="63"/>
  <c r="Q128" i="63"/>
  <c r="O128" i="63"/>
  <c r="Q127" i="63"/>
  <c r="O127" i="63"/>
  <c r="Q126" i="63"/>
  <c r="O126" i="63"/>
  <c r="Q125" i="63"/>
  <c r="O125" i="63"/>
  <c r="Q124" i="63"/>
  <c r="O124" i="63"/>
  <c r="Q123" i="63"/>
  <c r="O123" i="63"/>
  <c r="Q122" i="63"/>
  <c r="O122" i="63"/>
  <c r="Q121" i="63"/>
  <c r="O121" i="63"/>
  <c r="Q120" i="63"/>
  <c r="O120" i="63"/>
  <c r="Q119" i="63"/>
  <c r="O119" i="63"/>
  <c r="Q118" i="63"/>
  <c r="O118" i="63"/>
  <c r="Q117" i="63"/>
  <c r="O117" i="63"/>
  <c r="Q116" i="63"/>
  <c r="O116" i="63"/>
  <c r="Q115" i="63"/>
  <c r="P115" i="63"/>
  <c r="O115" i="63"/>
  <c r="Q114" i="63"/>
  <c r="O114" i="63"/>
  <c r="Q113" i="63"/>
  <c r="O113" i="63"/>
  <c r="Q112" i="63"/>
  <c r="O112" i="63"/>
  <c r="Q111" i="63"/>
  <c r="O111" i="63"/>
  <c r="Q110" i="63"/>
  <c r="O110" i="63"/>
  <c r="Q109" i="63"/>
  <c r="O109" i="63"/>
  <c r="Q108" i="63"/>
  <c r="O108" i="63"/>
  <c r="Q107" i="63"/>
  <c r="O107" i="63"/>
  <c r="Q106" i="63"/>
  <c r="O106" i="63"/>
  <c r="Q105" i="63"/>
  <c r="O105" i="63"/>
  <c r="Q104" i="63"/>
  <c r="O104" i="63"/>
  <c r="Q103" i="63"/>
  <c r="O103" i="63"/>
  <c r="Q102" i="63"/>
  <c r="O102" i="63"/>
  <c r="Q101" i="63"/>
  <c r="O101" i="63"/>
  <c r="Q100" i="63"/>
  <c r="O100" i="63"/>
  <c r="Q99" i="63"/>
  <c r="O99" i="63"/>
  <c r="Q98" i="63"/>
  <c r="O98" i="63"/>
  <c r="Q97" i="63"/>
  <c r="O97" i="63"/>
  <c r="Q96" i="63"/>
  <c r="O96" i="63"/>
  <c r="Q95" i="63"/>
  <c r="O95" i="63"/>
  <c r="Q94" i="63"/>
  <c r="O94" i="63"/>
  <c r="Q93" i="63"/>
  <c r="O93" i="63"/>
  <c r="Q92" i="63"/>
  <c r="O92" i="63"/>
  <c r="Q91" i="63"/>
  <c r="O91" i="63"/>
  <c r="Q90" i="63"/>
  <c r="O90" i="63"/>
  <c r="Q89" i="63"/>
  <c r="O89" i="63"/>
  <c r="Q88" i="63"/>
  <c r="O88" i="63"/>
  <c r="Q87" i="63"/>
  <c r="O87" i="63"/>
  <c r="Q86" i="63"/>
  <c r="O86" i="63"/>
  <c r="Q85" i="63"/>
  <c r="O85" i="63"/>
  <c r="Q84" i="63"/>
  <c r="O84" i="63"/>
  <c r="Q83" i="63"/>
  <c r="O83" i="63"/>
  <c r="Q82" i="63"/>
  <c r="O82" i="63"/>
  <c r="Q81" i="63"/>
  <c r="O81" i="63"/>
  <c r="Q80" i="63"/>
  <c r="O80" i="63"/>
  <c r="Q79" i="63"/>
  <c r="O79" i="63"/>
  <c r="Q78" i="63"/>
  <c r="O78" i="63"/>
  <c r="Q77" i="63"/>
  <c r="O77" i="63"/>
  <c r="Q76" i="63"/>
  <c r="O76" i="63"/>
  <c r="Q75" i="63"/>
  <c r="O75" i="63"/>
  <c r="Q74" i="63"/>
  <c r="O74" i="63"/>
  <c r="Q73" i="63"/>
  <c r="O73" i="63"/>
  <c r="Q72" i="63"/>
  <c r="O72" i="63"/>
  <c r="Q71" i="63"/>
  <c r="O71" i="63"/>
  <c r="Q70" i="63"/>
  <c r="O70" i="63"/>
  <c r="Q69" i="63"/>
  <c r="O69" i="63"/>
  <c r="Q68" i="63"/>
  <c r="O68" i="63"/>
  <c r="Q67" i="63"/>
  <c r="O67" i="63"/>
  <c r="Q66" i="63"/>
  <c r="O66" i="63"/>
  <c r="Q65" i="63"/>
  <c r="O65" i="63"/>
  <c r="Q64" i="63"/>
  <c r="O64" i="63"/>
  <c r="Q63" i="63"/>
  <c r="O63" i="63"/>
  <c r="Q62" i="63"/>
  <c r="O62" i="63"/>
  <c r="Q61" i="63"/>
  <c r="O61" i="63"/>
  <c r="Q60" i="63"/>
  <c r="O60" i="63"/>
  <c r="Q59" i="63"/>
  <c r="O59" i="63"/>
  <c r="Q58" i="63"/>
  <c r="O58" i="63"/>
  <c r="Q57" i="63"/>
  <c r="O57" i="63"/>
  <c r="Q56" i="63"/>
  <c r="O56" i="63"/>
  <c r="Q55" i="63"/>
  <c r="O55" i="63"/>
  <c r="Q54" i="63"/>
  <c r="O54" i="63"/>
  <c r="Q53" i="63"/>
  <c r="O53" i="63"/>
  <c r="Q52" i="63"/>
  <c r="O52" i="63"/>
  <c r="Q51" i="63"/>
  <c r="O51" i="63"/>
  <c r="Q50" i="63"/>
  <c r="O50" i="63"/>
  <c r="Q49" i="63"/>
  <c r="O49" i="63"/>
  <c r="Q48" i="63"/>
  <c r="O48" i="63"/>
  <c r="Q47" i="63"/>
  <c r="O47" i="63"/>
  <c r="Q46" i="63"/>
  <c r="O46" i="63"/>
  <c r="Q45" i="63"/>
  <c r="O45" i="63"/>
  <c r="Q44" i="63"/>
  <c r="O44" i="63"/>
  <c r="Q43" i="63"/>
  <c r="O43" i="63"/>
  <c r="Q42" i="63"/>
  <c r="O42" i="63"/>
  <c r="Q41" i="63"/>
  <c r="O41" i="63"/>
  <c r="Q40" i="63"/>
  <c r="O40" i="63"/>
  <c r="Q39" i="63"/>
  <c r="O39" i="63"/>
  <c r="Q38" i="63"/>
  <c r="O38" i="63"/>
  <c r="Q37" i="63"/>
  <c r="O37" i="63"/>
  <c r="Q36" i="63"/>
  <c r="O36" i="63"/>
  <c r="Q35" i="63"/>
  <c r="O35" i="63"/>
  <c r="Q34" i="63"/>
  <c r="O34" i="63"/>
  <c r="Q33" i="63"/>
  <c r="O33" i="63"/>
  <c r="Q32" i="63"/>
  <c r="O32" i="63"/>
  <c r="Q31" i="63"/>
  <c r="O31" i="63"/>
  <c r="Q30" i="63"/>
  <c r="O30" i="63"/>
  <c r="Q29" i="63"/>
  <c r="O29" i="63"/>
  <c r="Q28" i="63"/>
  <c r="O28" i="63"/>
  <c r="Q27" i="63"/>
  <c r="O27" i="63"/>
  <c r="Q26" i="63"/>
  <c r="O26" i="63"/>
  <c r="Q25" i="63"/>
  <c r="O25" i="63"/>
  <c r="Q24" i="63"/>
  <c r="O24" i="63"/>
  <c r="Q23" i="63"/>
  <c r="O23" i="63"/>
  <c r="Q22" i="63"/>
  <c r="O22" i="63"/>
  <c r="Q21" i="63"/>
  <c r="O21" i="63"/>
  <c r="Q20" i="63"/>
  <c r="O20" i="63"/>
  <c r="Q19" i="63"/>
  <c r="O19" i="63"/>
  <c r="Q18" i="63"/>
  <c r="O18" i="63"/>
  <c r="Q17" i="63"/>
  <c r="O17" i="63"/>
  <c r="Q16" i="63"/>
  <c r="O16" i="63"/>
  <c r="Q15" i="63"/>
  <c r="O15" i="63"/>
  <c r="Q14" i="63"/>
  <c r="O14" i="63"/>
  <c r="Q13" i="63"/>
  <c r="O13" i="63"/>
  <c r="Q12" i="63"/>
  <c r="O12" i="63"/>
  <c r="Q11" i="63"/>
  <c r="O11" i="63"/>
  <c r="Q10" i="63"/>
  <c r="O10" i="63"/>
  <c r="Q9" i="63"/>
  <c r="O9" i="63"/>
  <c r="Q8" i="63"/>
  <c r="O8" i="63"/>
  <c r="Q7" i="63"/>
  <c r="O7" i="63"/>
  <c r="Q6" i="63"/>
  <c r="O6" i="63"/>
  <c r="Q5" i="63"/>
  <c r="O5" i="63"/>
  <c r="Q4" i="63"/>
  <c r="O4" i="63"/>
  <c r="Q427" i="62"/>
  <c r="O427" i="62"/>
  <c r="Q426" i="62"/>
  <c r="O426" i="62"/>
  <c r="Q425" i="62"/>
  <c r="O425" i="62"/>
  <c r="Q424" i="62"/>
  <c r="O424" i="62"/>
  <c r="Q423" i="62"/>
  <c r="O423" i="62"/>
  <c r="Q422" i="62"/>
  <c r="O422" i="62"/>
  <c r="Q421" i="62"/>
  <c r="O421" i="62"/>
  <c r="Q420" i="62"/>
  <c r="O420" i="62"/>
  <c r="Q419" i="62"/>
  <c r="O419" i="62"/>
  <c r="Q418" i="62"/>
  <c r="O418" i="62"/>
  <c r="Q417" i="62"/>
  <c r="O417" i="62"/>
  <c r="Q416" i="62"/>
  <c r="O416" i="62"/>
  <c r="Q415" i="62"/>
  <c r="O415" i="62"/>
  <c r="P414" i="62"/>
  <c r="Q414" i="62" s="1"/>
  <c r="O414" i="62"/>
  <c r="Q413" i="62"/>
  <c r="P413" i="62"/>
  <c r="O413" i="62"/>
  <c r="Q412" i="62"/>
  <c r="O412" i="62"/>
  <c r="Q411" i="62"/>
  <c r="O411" i="62"/>
  <c r="Q410" i="62"/>
  <c r="O410" i="62"/>
  <c r="Q409" i="62"/>
  <c r="O409" i="62"/>
  <c r="Q408" i="62"/>
  <c r="O408" i="62"/>
  <c r="Q407" i="62"/>
  <c r="O407" i="62"/>
  <c r="Q406" i="62"/>
  <c r="O406" i="62"/>
  <c r="Q405" i="62"/>
  <c r="O405" i="62"/>
  <c r="P404" i="62"/>
  <c r="Q404" i="62" s="1"/>
  <c r="O404" i="62"/>
  <c r="Q403" i="62"/>
  <c r="P403" i="62"/>
  <c r="O403" i="62"/>
  <c r="Q402" i="62"/>
  <c r="O402" i="62"/>
  <c r="Q401" i="62"/>
  <c r="O401" i="62"/>
  <c r="Q400" i="62"/>
  <c r="O400" i="62"/>
  <c r="Q399" i="62"/>
  <c r="O399" i="62"/>
  <c r="Q398" i="62"/>
  <c r="O398" i="62"/>
  <c r="Q397" i="62"/>
  <c r="O397" i="62"/>
  <c r="P396" i="62"/>
  <c r="Q396" i="62" s="1"/>
  <c r="O396" i="62"/>
  <c r="Q395" i="62"/>
  <c r="O395" i="62"/>
  <c r="Q394" i="62"/>
  <c r="O394" i="62"/>
  <c r="Q393" i="62"/>
  <c r="O393" i="62"/>
  <c r="Q392" i="62"/>
  <c r="O392" i="62"/>
  <c r="Q391" i="62"/>
  <c r="O391" i="62"/>
  <c r="Q390" i="62"/>
  <c r="O390" i="62"/>
  <c r="Q389" i="62"/>
  <c r="O389" i="62"/>
  <c r="Q388" i="62"/>
  <c r="O388" i="62"/>
  <c r="Q387" i="62"/>
  <c r="O387" i="62"/>
  <c r="Q386" i="62"/>
  <c r="O386" i="62"/>
  <c r="Q385" i="62"/>
  <c r="O385" i="62"/>
  <c r="Q384" i="62"/>
  <c r="O384" i="62"/>
  <c r="Q383" i="62"/>
  <c r="O383" i="62"/>
  <c r="Q382" i="62"/>
  <c r="O382" i="62"/>
  <c r="Q381" i="62"/>
  <c r="O381" i="62"/>
  <c r="Q380" i="62"/>
  <c r="O380" i="62"/>
  <c r="Q379" i="62"/>
  <c r="O379" i="62"/>
  <c r="Q378" i="62"/>
  <c r="P378" i="62"/>
  <c r="O378" i="62"/>
  <c r="Q377" i="62"/>
  <c r="O377" i="62"/>
  <c r="Q376" i="62"/>
  <c r="O376" i="62"/>
  <c r="Q375" i="62"/>
  <c r="O375" i="62"/>
  <c r="P374" i="62"/>
  <c r="Q374" i="62" s="1"/>
  <c r="O374" i="62"/>
  <c r="Q373" i="62"/>
  <c r="O373" i="62"/>
  <c r="Q372" i="62"/>
  <c r="O372" i="62"/>
  <c r="Q371" i="62"/>
  <c r="O371" i="62"/>
  <c r="Q370" i="62"/>
  <c r="O370" i="62"/>
  <c r="Q369" i="62"/>
  <c r="O369" i="62"/>
  <c r="Q368" i="62"/>
  <c r="O368" i="62"/>
  <c r="Q367" i="62"/>
  <c r="O367" i="62"/>
  <c r="Q366" i="62"/>
  <c r="O366" i="62"/>
  <c r="Q365" i="62"/>
  <c r="O365" i="62"/>
  <c r="Q364" i="62"/>
  <c r="O364" i="62"/>
  <c r="Q363" i="62"/>
  <c r="O363" i="62"/>
  <c r="Q362" i="62"/>
  <c r="O362" i="62"/>
  <c r="Q361" i="62"/>
  <c r="O361" i="62"/>
  <c r="Q360" i="62"/>
  <c r="O360" i="62"/>
  <c r="Q359" i="62"/>
  <c r="O359" i="62"/>
  <c r="Q358" i="62"/>
  <c r="O358" i="62"/>
  <c r="Q357" i="62"/>
  <c r="P357" i="62"/>
  <c r="O357" i="62"/>
  <c r="P356" i="62"/>
  <c r="Q356" i="62" s="1"/>
  <c r="O356" i="62"/>
  <c r="Q355" i="62"/>
  <c r="O355" i="62"/>
  <c r="Q354" i="62"/>
  <c r="O354" i="62"/>
  <c r="Q353" i="62"/>
  <c r="O353" i="62"/>
  <c r="Q352" i="62"/>
  <c r="O352" i="62"/>
  <c r="Q351" i="62"/>
  <c r="O351" i="62"/>
  <c r="Q350" i="62"/>
  <c r="O350" i="62"/>
  <c r="Q349" i="62"/>
  <c r="O349" i="62"/>
  <c r="Q348" i="62"/>
  <c r="O348" i="62"/>
  <c r="Q347" i="62"/>
  <c r="O347" i="62"/>
  <c r="Q346" i="62"/>
  <c r="O346" i="62"/>
  <c r="Q345" i="62"/>
  <c r="O345" i="62"/>
  <c r="Q344" i="62"/>
  <c r="O344" i="62"/>
  <c r="Q343" i="62"/>
  <c r="O343" i="62"/>
  <c r="Q342" i="62"/>
  <c r="O342" i="62"/>
  <c r="Q341" i="62"/>
  <c r="O341" i="62"/>
  <c r="Q340" i="62"/>
  <c r="O340" i="62"/>
  <c r="Q339" i="62"/>
  <c r="O339" i="62"/>
  <c r="Q338" i="62"/>
  <c r="O338" i="62"/>
  <c r="Q337" i="62"/>
  <c r="O337" i="62"/>
  <c r="Q336" i="62"/>
  <c r="O336" i="62"/>
  <c r="Q335" i="62"/>
  <c r="O335" i="62"/>
  <c r="Q334" i="62"/>
  <c r="O334" i="62"/>
  <c r="Q333" i="62"/>
  <c r="O333" i="62"/>
  <c r="Q332" i="62"/>
  <c r="O332" i="62"/>
  <c r="Q331" i="62"/>
  <c r="O331" i="62"/>
  <c r="Q330" i="62"/>
  <c r="O330" i="62"/>
  <c r="Q329" i="62"/>
  <c r="O329" i="62"/>
  <c r="Q328" i="62"/>
  <c r="O328" i="62"/>
  <c r="Q327" i="62"/>
  <c r="O327" i="62"/>
  <c r="Q326" i="62"/>
  <c r="O326" i="62"/>
  <c r="Q325" i="62"/>
  <c r="O325" i="62"/>
  <c r="Q324" i="62"/>
  <c r="O324" i="62"/>
  <c r="Q323" i="62"/>
  <c r="O323" i="62"/>
  <c r="Q322" i="62"/>
  <c r="O322" i="62"/>
  <c r="Q321" i="62"/>
  <c r="O321" i="62"/>
  <c r="Q320" i="62"/>
  <c r="O320" i="62"/>
  <c r="Q319" i="62"/>
  <c r="O319" i="62"/>
  <c r="Q318" i="62"/>
  <c r="O318" i="62"/>
  <c r="Q317" i="62"/>
  <c r="O317" i="62"/>
  <c r="Q316" i="62"/>
  <c r="O316" i="62"/>
  <c r="Q315" i="62"/>
  <c r="O315" i="62"/>
  <c r="Q314" i="62"/>
  <c r="O314" i="62"/>
  <c r="Q313" i="62"/>
  <c r="O313" i="62"/>
  <c r="Q312" i="62"/>
  <c r="O312" i="62"/>
  <c r="Q311" i="62"/>
  <c r="O311" i="62"/>
  <c r="Q310" i="62"/>
  <c r="O310" i="62"/>
  <c r="Q309" i="62"/>
  <c r="O309" i="62"/>
  <c r="Q308" i="62"/>
  <c r="O308" i="62"/>
  <c r="Q307" i="62"/>
  <c r="O307" i="62"/>
  <c r="Q306" i="62"/>
  <c r="O306" i="62"/>
  <c r="Q305" i="62"/>
  <c r="O305" i="62"/>
  <c r="Q304" i="62"/>
  <c r="O304" i="62"/>
  <c r="Q303" i="62"/>
  <c r="O303" i="62"/>
  <c r="Q302" i="62"/>
  <c r="O302" i="62"/>
  <c r="Q301" i="62"/>
  <c r="O301" i="62"/>
  <c r="Q300" i="62"/>
  <c r="O300" i="62"/>
  <c r="Q299" i="62"/>
  <c r="O299" i="62"/>
  <c r="Q298" i="62"/>
  <c r="O298" i="62"/>
  <c r="Q297" i="62"/>
  <c r="O297" i="62"/>
  <c r="Q296" i="62"/>
  <c r="O296" i="62"/>
  <c r="Q295" i="62"/>
  <c r="O295" i="62"/>
  <c r="Q294" i="62"/>
  <c r="O294" i="62"/>
  <c r="Q293" i="62"/>
  <c r="O293" i="62"/>
  <c r="Q292" i="62"/>
  <c r="O292" i="62"/>
  <c r="Q291" i="62"/>
  <c r="O291" i="62"/>
  <c r="Q290" i="62"/>
  <c r="O290" i="62"/>
  <c r="Q289" i="62"/>
  <c r="O289" i="62"/>
  <c r="Q288" i="62"/>
  <c r="O288" i="62"/>
  <c r="Q287" i="62"/>
  <c r="O287" i="62"/>
  <c r="Q286" i="62"/>
  <c r="O286" i="62"/>
  <c r="Q285" i="62"/>
  <c r="O285" i="62"/>
  <c r="Q284" i="62"/>
  <c r="O284" i="62"/>
  <c r="Q283" i="62"/>
  <c r="O283" i="62"/>
  <c r="Q282" i="62"/>
  <c r="O282" i="62"/>
  <c r="Q281" i="62"/>
  <c r="O281" i="62"/>
  <c r="Q280" i="62"/>
  <c r="O280" i="62"/>
  <c r="Q279" i="62"/>
  <c r="O279" i="62"/>
  <c r="Q278" i="62"/>
  <c r="O278" i="62"/>
  <c r="Q277" i="62"/>
  <c r="O277" i="62"/>
  <c r="Q276" i="62"/>
  <c r="O276" i="62"/>
  <c r="Q275" i="62"/>
  <c r="O275" i="62"/>
  <c r="Q274" i="62"/>
  <c r="O274" i="62"/>
  <c r="Q273" i="62"/>
  <c r="O273" i="62"/>
  <c r="Q272" i="62"/>
  <c r="O272" i="62"/>
  <c r="Q271" i="62"/>
  <c r="O271" i="62"/>
  <c r="Q270" i="62"/>
  <c r="O270" i="62"/>
  <c r="Q269" i="62"/>
  <c r="O269" i="62"/>
  <c r="Q268" i="62"/>
  <c r="O268" i="62"/>
  <c r="Q267" i="62"/>
  <c r="O267" i="62"/>
  <c r="Q266" i="62"/>
  <c r="O266" i="62"/>
  <c r="Q265" i="62"/>
  <c r="O265" i="62"/>
  <c r="Q264" i="62"/>
  <c r="O264" i="62"/>
  <c r="Q263" i="62"/>
  <c r="O263" i="62"/>
  <c r="Q262" i="62"/>
  <c r="O262" i="62"/>
  <c r="Q261" i="62"/>
  <c r="O261" i="62"/>
  <c r="Q260" i="62"/>
  <c r="O260" i="62"/>
  <c r="Q259" i="62"/>
  <c r="O259" i="62"/>
  <c r="Q258" i="62"/>
  <c r="O258" i="62"/>
  <c r="Q257" i="62"/>
  <c r="O257" i="62"/>
  <c r="Q256" i="62"/>
  <c r="O256" i="62"/>
  <c r="Q255" i="62"/>
  <c r="O255" i="62"/>
  <c r="Q254" i="62"/>
  <c r="O254" i="62"/>
  <c r="Q253" i="62"/>
  <c r="O253" i="62"/>
  <c r="Q252" i="62"/>
  <c r="O252" i="62"/>
  <c r="Q251" i="62"/>
  <c r="O251" i="62"/>
  <c r="Q250" i="62"/>
  <c r="O250" i="62"/>
  <c r="Q249" i="62"/>
  <c r="O249" i="62"/>
  <c r="Q248" i="62"/>
  <c r="O248" i="62"/>
  <c r="Q247" i="62"/>
  <c r="O247" i="62"/>
  <c r="Q246" i="62"/>
  <c r="O246" i="62"/>
  <c r="Q245" i="62"/>
  <c r="O245" i="62"/>
  <c r="Q244" i="62"/>
  <c r="O244" i="62"/>
  <c r="Q243" i="62"/>
  <c r="O243" i="62"/>
  <c r="Q242" i="62"/>
  <c r="O242" i="62"/>
  <c r="Q241" i="62"/>
  <c r="O241" i="62"/>
  <c r="Q240" i="62"/>
  <c r="O240" i="62"/>
  <c r="Q239" i="62"/>
  <c r="O239" i="62"/>
  <c r="Q238" i="62"/>
  <c r="O238" i="62"/>
  <c r="Q237" i="62"/>
  <c r="O237" i="62"/>
  <c r="Q236" i="62"/>
  <c r="O236" i="62"/>
  <c r="Q235" i="62"/>
  <c r="O235" i="62"/>
  <c r="Q234" i="62"/>
  <c r="O234" i="62"/>
  <c r="Q233" i="62"/>
  <c r="O233" i="62"/>
  <c r="Q232" i="62"/>
  <c r="O232" i="62"/>
  <c r="Q231" i="62"/>
  <c r="O231" i="62"/>
  <c r="Q230" i="62"/>
  <c r="O230" i="62"/>
  <c r="Q229" i="62"/>
  <c r="O229" i="62"/>
  <c r="Q228" i="62"/>
  <c r="O228" i="62"/>
  <c r="Q227" i="62"/>
  <c r="O227" i="62"/>
  <c r="Q226" i="62"/>
  <c r="O226" i="62"/>
  <c r="Q225" i="62"/>
  <c r="O225" i="62"/>
  <c r="Q224" i="62"/>
  <c r="O224" i="62"/>
  <c r="Q223" i="62"/>
  <c r="O223" i="62"/>
  <c r="Q222" i="62"/>
  <c r="O222" i="62"/>
  <c r="Q221" i="62"/>
  <c r="O221" i="62"/>
  <c r="Q220" i="62"/>
  <c r="O220" i="62"/>
  <c r="Q219" i="62"/>
  <c r="O219" i="62"/>
  <c r="Q218" i="62"/>
  <c r="O218" i="62"/>
  <c r="Q217" i="62"/>
  <c r="O217" i="62"/>
  <c r="Q216" i="62"/>
  <c r="O216" i="62"/>
  <c r="Q215" i="62"/>
  <c r="O215" i="62"/>
  <c r="Q214" i="62"/>
  <c r="O214" i="62"/>
  <c r="Q213" i="62"/>
  <c r="O213" i="62"/>
  <c r="Q212" i="62"/>
  <c r="O212" i="62"/>
  <c r="Q211" i="62"/>
  <c r="O211" i="62"/>
  <c r="Q210" i="62"/>
  <c r="O210" i="62"/>
  <c r="Q209" i="62"/>
  <c r="O209" i="62"/>
  <c r="Q208" i="62"/>
  <c r="O208" i="62"/>
  <c r="Q207" i="62"/>
  <c r="O207" i="62"/>
  <c r="Q206" i="62"/>
  <c r="O206" i="62"/>
  <c r="Q205" i="62"/>
  <c r="O205" i="62"/>
  <c r="Q204" i="62"/>
  <c r="O204" i="62"/>
  <c r="Q203" i="62"/>
  <c r="O203" i="62"/>
  <c r="Q202" i="62"/>
  <c r="O202" i="62"/>
  <c r="Q201" i="62"/>
  <c r="O201" i="62"/>
  <c r="Q200" i="62"/>
  <c r="O200" i="62"/>
  <c r="Q199" i="62"/>
  <c r="O199" i="62"/>
  <c r="Q198" i="62"/>
  <c r="O198" i="62"/>
  <c r="Q197" i="62"/>
  <c r="O197" i="62"/>
  <c r="Q196" i="62"/>
  <c r="O196" i="62"/>
  <c r="Q195" i="62"/>
  <c r="O195" i="62"/>
  <c r="Q194" i="62"/>
  <c r="O194" i="62"/>
  <c r="Q193" i="62"/>
  <c r="O193" i="62"/>
  <c r="Q192" i="62"/>
  <c r="O192" i="62"/>
  <c r="Q191" i="62"/>
  <c r="O191" i="62"/>
  <c r="Q190" i="62"/>
  <c r="O190" i="62"/>
  <c r="Q189" i="62"/>
  <c r="O189" i="62"/>
  <c r="Q188" i="62"/>
  <c r="O188" i="62"/>
  <c r="Q187" i="62"/>
  <c r="O187" i="62"/>
  <c r="Q186" i="62"/>
  <c r="O186" i="62"/>
  <c r="Q185" i="62"/>
  <c r="O185" i="62"/>
  <c r="Q184" i="62"/>
  <c r="O184" i="62"/>
  <c r="Q183" i="62"/>
  <c r="O183" i="62"/>
  <c r="Q182" i="62"/>
  <c r="O182" i="62"/>
  <c r="Q181" i="62"/>
  <c r="O181" i="62"/>
  <c r="Q180" i="62"/>
  <c r="O180" i="62"/>
  <c r="Q179" i="62"/>
  <c r="O179" i="62"/>
  <c r="Q178" i="62"/>
  <c r="O178" i="62"/>
  <c r="Q177" i="62"/>
  <c r="O177" i="62"/>
  <c r="Q176" i="62"/>
  <c r="O176" i="62"/>
  <c r="Q175" i="62"/>
  <c r="O175" i="62"/>
  <c r="Q174" i="62"/>
  <c r="O174" i="62"/>
  <c r="Q173" i="62"/>
  <c r="O173" i="62"/>
  <c r="Q172" i="62"/>
  <c r="O172" i="62"/>
  <c r="Q171" i="62"/>
  <c r="O171" i="62"/>
  <c r="Q170" i="62"/>
  <c r="O170" i="62"/>
  <c r="Q169" i="62"/>
  <c r="O169" i="62"/>
  <c r="Q168" i="62"/>
  <c r="O168" i="62"/>
  <c r="Q167" i="62"/>
  <c r="O167" i="62"/>
  <c r="Q166" i="62"/>
  <c r="O166" i="62"/>
  <c r="Q165" i="62"/>
  <c r="O165" i="62"/>
  <c r="Q164" i="62"/>
  <c r="O164" i="62"/>
  <c r="Q163" i="62"/>
  <c r="O163" i="62"/>
  <c r="Q162" i="62"/>
  <c r="O162" i="62"/>
  <c r="Q161" i="62"/>
  <c r="O161" i="62"/>
  <c r="Q160" i="62"/>
  <c r="O160" i="62"/>
  <c r="Q159" i="62"/>
  <c r="O159" i="62"/>
  <c r="Q158" i="62"/>
  <c r="O158" i="62"/>
  <c r="Q157" i="62"/>
  <c r="O157" i="62"/>
  <c r="Q156" i="62"/>
  <c r="O156" i="62"/>
  <c r="Q155" i="62"/>
  <c r="O155" i="62"/>
  <c r="Q154" i="62"/>
  <c r="O154" i="62"/>
  <c r="Q153" i="62"/>
  <c r="O153" i="62"/>
  <c r="Q152" i="62"/>
  <c r="O152" i="62"/>
  <c r="Q151" i="62"/>
  <c r="O151" i="62"/>
  <c r="Q150" i="62"/>
  <c r="O150" i="62"/>
  <c r="Q149" i="62"/>
  <c r="O149" i="62"/>
  <c r="Q148" i="62"/>
  <c r="O148" i="62"/>
  <c r="Q147" i="62"/>
  <c r="O147" i="62"/>
  <c r="Q146" i="62"/>
  <c r="O146" i="62"/>
  <c r="Q145" i="62"/>
  <c r="O145" i="62"/>
  <c r="Q144" i="62"/>
  <c r="O144" i="62"/>
  <c r="Q143" i="62"/>
  <c r="O143" i="62"/>
  <c r="Q142" i="62"/>
  <c r="O142" i="62"/>
  <c r="Q141" i="62"/>
  <c r="O141" i="62"/>
  <c r="Q140" i="62"/>
  <c r="O140" i="62"/>
  <c r="Q139" i="62"/>
  <c r="O139" i="62"/>
  <c r="Q138" i="62"/>
  <c r="O138" i="62"/>
  <c r="Q137" i="62"/>
  <c r="O137" i="62"/>
  <c r="Q136" i="62"/>
  <c r="O136" i="62"/>
  <c r="Q135" i="62"/>
  <c r="O135" i="62"/>
  <c r="Q134" i="62"/>
  <c r="O134" i="62"/>
  <c r="Q133" i="62"/>
  <c r="O133" i="62"/>
  <c r="Q132" i="62"/>
  <c r="O132" i="62"/>
  <c r="Q131" i="62"/>
  <c r="O131" i="62"/>
  <c r="Q130" i="62"/>
  <c r="O130" i="62"/>
  <c r="Q129" i="62"/>
  <c r="O129" i="62"/>
  <c r="Q128" i="62"/>
  <c r="O128" i="62"/>
  <c r="Q127" i="62"/>
  <c r="O127" i="62"/>
  <c r="Q126" i="62"/>
  <c r="O126" i="62"/>
  <c r="Q125" i="62"/>
  <c r="O125" i="62"/>
  <c r="Q124" i="62"/>
  <c r="O124" i="62"/>
  <c r="Q123" i="62"/>
  <c r="O123" i="62"/>
  <c r="Q122" i="62"/>
  <c r="O122" i="62"/>
  <c r="Q121" i="62"/>
  <c r="O121" i="62"/>
  <c r="Q120" i="62"/>
  <c r="O120" i="62"/>
  <c r="Q119" i="62"/>
  <c r="O119" i="62"/>
  <c r="Q118" i="62"/>
  <c r="O118" i="62"/>
  <c r="Q117" i="62"/>
  <c r="O117" i="62"/>
  <c r="Q116" i="62"/>
  <c r="O116" i="62"/>
  <c r="Q115" i="62"/>
  <c r="P115" i="62"/>
  <c r="O115" i="62"/>
  <c r="Q114" i="62"/>
  <c r="O114" i="62"/>
  <c r="Q113" i="62"/>
  <c r="O113" i="62"/>
  <c r="Q112" i="62"/>
  <c r="O112" i="62"/>
  <c r="Q111" i="62"/>
  <c r="O111" i="62"/>
  <c r="Q110" i="62"/>
  <c r="O110" i="62"/>
  <c r="Q109" i="62"/>
  <c r="O109" i="62"/>
  <c r="Q108" i="62"/>
  <c r="O108" i="62"/>
  <c r="Q107" i="62"/>
  <c r="O107" i="62"/>
  <c r="Q106" i="62"/>
  <c r="O106" i="62"/>
  <c r="Q105" i="62"/>
  <c r="O105" i="62"/>
  <c r="Q104" i="62"/>
  <c r="O104" i="62"/>
  <c r="Q103" i="62"/>
  <c r="O103" i="62"/>
  <c r="Q102" i="62"/>
  <c r="O102" i="62"/>
  <c r="Q101" i="62"/>
  <c r="O101" i="62"/>
  <c r="Q100" i="62"/>
  <c r="O100" i="62"/>
  <c r="Q99" i="62"/>
  <c r="O99" i="62"/>
  <c r="Q98" i="62"/>
  <c r="O98" i="62"/>
  <c r="Q97" i="62"/>
  <c r="O97" i="62"/>
  <c r="Q96" i="62"/>
  <c r="O96" i="62"/>
  <c r="Q95" i="62"/>
  <c r="O95" i="62"/>
  <c r="Q94" i="62"/>
  <c r="O94" i="62"/>
  <c r="Q93" i="62"/>
  <c r="O93" i="62"/>
  <c r="Q92" i="62"/>
  <c r="O92" i="62"/>
  <c r="Q91" i="62"/>
  <c r="O91" i="62"/>
  <c r="Q90" i="62"/>
  <c r="O90" i="62"/>
  <c r="Q89" i="62"/>
  <c r="O89" i="62"/>
  <c r="Q88" i="62"/>
  <c r="O88" i="62"/>
  <c r="Q87" i="62"/>
  <c r="O87" i="62"/>
  <c r="Q86" i="62"/>
  <c r="O86" i="62"/>
  <c r="Q85" i="62"/>
  <c r="O85" i="62"/>
  <c r="Q84" i="62"/>
  <c r="O84" i="62"/>
  <c r="Q83" i="62"/>
  <c r="O83" i="62"/>
  <c r="Q82" i="62"/>
  <c r="O82" i="62"/>
  <c r="Q81" i="62"/>
  <c r="O81" i="62"/>
  <c r="Q80" i="62"/>
  <c r="O80" i="62"/>
  <c r="Q79" i="62"/>
  <c r="O79" i="62"/>
  <c r="Q78" i="62"/>
  <c r="O78" i="62"/>
  <c r="Q77" i="62"/>
  <c r="O77" i="62"/>
  <c r="Q76" i="62"/>
  <c r="O76" i="62"/>
  <c r="Q75" i="62"/>
  <c r="O75" i="62"/>
  <c r="Q74" i="62"/>
  <c r="O74" i="62"/>
  <c r="Q73" i="62"/>
  <c r="O73" i="62"/>
  <c r="Q72" i="62"/>
  <c r="O72" i="62"/>
  <c r="Q71" i="62"/>
  <c r="O71" i="62"/>
  <c r="Q70" i="62"/>
  <c r="O70" i="62"/>
  <c r="Q69" i="62"/>
  <c r="O69" i="62"/>
  <c r="Q68" i="62"/>
  <c r="O68" i="62"/>
  <c r="Q67" i="62"/>
  <c r="O67" i="62"/>
  <c r="Q66" i="62"/>
  <c r="O66" i="62"/>
  <c r="Q65" i="62"/>
  <c r="O65" i="62"/>
  <c r="Q64" i="62"/>
  <c r="O64" i="62"/>
  <c r="Q63" i="62"/>
  <c r="O63" i="62"/>
  <c r="Q62" i="62"/>
  <c r="O62" i="62"/>
  <c r="Q61" i="62"/>
  <c r="O61" i="62"/>
  <c r="Q60" i="62"/>
  <c r="O60" i="62"/>
  <c r="Q59" i="62"/>
  <c r="O59" i="62"/>
  <c r="Q58" i="62"/>
  <c r="O58" i="62"/>
  <c r="Q57" i="62"/>
  <c r="O57" i="62"/>
  <c r="Q56" i="62"/>
  <c r="O56" i="62"/>
  <c r="Q55" i="62"/>
  <c r="O55" i="62"/>
  <c r="Q54" i="62"/>
  <c r="O54" i="62"/>
  <c r="Q53" i="62"/>
  <c r="O53" i="62"/>
  <c r="Q52" i="62"/>
  <c r="O52" i="62"/>
  <c r="Q51" i="62"/>
  <c r="O51" i="62"/>
  <c r="Q50" i="62"/>
  <c r="O50" i="62"/>
  <c r="Q49" i="62"/>
  <c r="O49" i="62"/>
  <c r="Q48" i="62"/>
  <c r="O48" i="62"/>
  <c r="Q47" i="62"/>
  <c r="O47" i="62"/>
  <c r="Q46" i="62"/>
  <c r="O46" i="62"/>
  <c r="Q45" i="62"/>
  <c r="O45" i="62"/>
  <c r="Q44" i="62"/>
  <c r="O44" i="62"/>
  <c r="Q43" i="62"/>
  <c r="O43" i="62"/>
  <c r="Q42" i="62"/>
  <c r="O42" i="62"/>
  <c r="Q41" i="62"/>
  <c r="O41" i="62"/>
  <c r="Q40" i="62"/>
  <c r="O40" i="62"/>
  <c r="Q39" i="62"/>
  <c r="O39" i="62"/>
  <c r="Q38" i="62"/>
  <c r="O38" i="62"/>
  <c r="Q37" i="62"/>
  <c r="O37" i="62"/>
  <c r="Q36" i="62"/>
  <c r="O36" i="62"/>
  <c r="Q35" i="62"/>
  <c r="O35" i="62"/>
  <c r="Q34" i="62"/>
  <c r="O34" i="62"/>
  <c r="Q33" i="62"/>
  <c r="O33" i="62"/>
  <c r="Q32" i="62"/>
  <c r="O32" i="62"/>
  <c r="Q31" i="62"/>
  <c r="O31" i="62"/>
  <c r="Q30" i="62"/>
  <c r="O30" i="62"/>
  <c r="Q29" i="62"/>
  <c r="O29" i="62"/>
  <c r="Q28" i="62"/>
  <c r="O28" i="62"/>
  <c r="Q27" i="62"/>
  <c r="O27" i="62"/>
  <c r="Q26" i="62"/>
  <c r="O26" i="62"/>
  <c r="Q25" i="62"/>
  <c r="O25" i="62"/>
  <c r="Q24" i="62"/>
  <c r="O24" i="62"/>
  <c r="Q23" i="62"/>
  <c r="O23" i="62"/>
  <c r="Q22" i="62"/>
  <c r="O22" i="62"/>
  <c r="Q21" i="62"/>
  <c r="O21" i="62"/>
  <c r="Q20" i="62"/>
  <c r="O20" i="62"/>
  <c r="Q19" i="62"/>
  <c r="O19" i="62"/>
  <c r="Q18" i="62"/>
  <c r="O18" i="62"/>
  <c r="Q17" i="62"/>
  <c r="O17" i="62"/>
  <c r="Q16" i="62"/>
  <c r="O16" i="62"/>
  <c r="Q15" i="62"/>
  <c r="O15" i="62"/>
  <c r="Q14" i="62"/>
  <c r="O14" i="62"/>
  <c r="Q13" i="62"/>
  <c r="O13" i="62"/>
  <c r="Q12" i="62"/>
  <c r="O12" i="62"/>
  <c r="Q11" i="62"/>
  <c r="O11" i="62"/>
  <c r="Q10" i="62"/>
  <c r="O10" i="62"/>
  <c r="Q9" i="62"/>
  <c r="O9" i="62"/>
  <c r="Q8" i="62"/>
  <c r="O8" i="62"/>
  <c r="Q7" i="62"/>
  <c r="O7" i="62"/>
  <c r="Q6" i="62"/>
  <c r="O6" i="62"/>
  <c r="Q5" i="62"/>
  <c r="O5" i="62"/>
  <c r="Q4" i="62"/>
  <c r="O4" i="62"/>
</calcChain>
</file>

<file path=xl/sharedStrings.xml><?xml version="1.0" encoding="utf-8"?>
<sst xmlns="http://schemas.openxmlformats.org/spreadsheetml/2006/main" count="23857" uniqueCount="1966">
  <si>
    <t>Row Labels</t>
  </si>
  <si>
    <t>Count of Reseller</t>
  </si>
  <si>
    <t>-</t>
  </si>
  <si>
    <t>CV Duta Bisindo Sejahtera</t>
  </si>
  <si>
    <t>Mata Utama</t>
  </si>
  <si>
    <t>PT. Autojaya Idetech</t>
  </si>
  <si>
    <t>PT. Bhakti Solusindo</t>
  </si>
  <si>
    <t>PT. Datascrip</t>
  </si>
  <si>
    <t>PT. Erafone Artha Retailindo</t>
  </si>
  <si>
    <t>PT. Faasri Utama Sakti</t>
  </si>
  <si>
    <t>PT. Global Digital Niaga</t>
  </si>
  <si>
    <t>PT. Global Distribusi Nusantara</t>
  </si>
  <si>
    <t>PT. Indosat Ooredoo</t>
  </si>
  <si>
    <t>PT. Krisnawan Mitra Karya</t>
  </si>
  <si>
    <t>PT. Mobile Sarana Sentosa</t>
  </si>
  <si>
    <t>PT. Noer Cipta Nusantara</t>
  </si>
  <si>
    <t>PT. Nusa Prima Cipta</t>
  </si>
  <si>
    <t>PT. Panca Putra Solusindo</t>
  </si>
  <si>
    <t>PT. Setia Utama Distrindo</t>
  </si>
  <si>
    <t>PT. SInar Inti Maju</t>
  </si>
  <si>
    <t>PT. Trisakti Mustika Graphika</t>
  </si>
  <si>
    <t>PT. Zoom Infotek Telesindo</t>
  </si>
  <si>
    <t>(blank)</t>
  </si>
  <si>
    <t>Grand Total</t>
  </si>
  <si>
    <t>No</t>
  </si>
  <si>
    <t>PO No (Malifax)</t>
  </si>
  <si>
    <t>Reseller</t>
  </si>
  <si>
    <t>End User/End Customer</t>
  </si>
  <si>
    <t>Periode Monthly</t>
  </si>
  <si>
    <t>Periode Yearly</t>
  </si>
  <si>
    <t>Extension</t>
  </si>
  <si>
    <t>Type Knox</t>
  </si>
  <si>
    <t>License Key</t>
  </si>
  <si>
    <t>Unit Price exclude tax (Internal)</t>
  </si>
  <si>
    <t>Quantity</t>
  </si>
  <si>
    <t>Total Price exclud tax (internal)</t>
  </si>
  <si>
    <t>Unit Price exclude tax (po customer)</t>
  </si>
  <si>
    <t>Total Price exclud tax (po customer)</t>
  </si>
  <si>
    <t>PO No (customer)</t>
  </si>
  <si>
    <t>PO Date</t>
  </si>
  <si>
    <t>PD-20030008/001</t>
  </si>
  <si>
    <t>PO/EAR.EAR/20/03/0018</t>
  </si>
  <si>
    <t>PT. Teknologi Pengangkutan Indonesia</t>
  </si>
  <si>
    <t>9 Mar 2020 - 8 Mar 2023</t>
  </si>
  <si>
    <t>Knox Guard 3 Year</t>
  </si>
  <si>
    <t>KLM08-IO9IA-DDGE1-8HR1B-CRRTC-RTVHY</t>
  </si>
  <si>
    <t>PD-20120029/001</t>
  </si>
  <si>
    <t>PO-04/12-20/XX18</t>
  </si>
  <si>
    <t>PT. Cakrawala Abadi Sentosa</t>
  </si>
  <si>
    <t>6 Jan 2021 - 5 Jan 2023</t>
  </si>
  <si>
    <t>Knox Manage 2 Years</t>
  </si>
  <si>
    <t>KLM09-HA2DL-WMUIG-TAZY5-WC0WD-7TXC2</t>
  </si>
  <si>
    <t>PD-21010004/001</t>
  </si>
  <si>
    <t>PO-01/01-21/XX01</t>
  </si>
  <si>
    <t>PT. RMS Mojosari</t>
  </si>
  <si>
    <t>11 Jan 2021 - 10 Jan 2023</t>
  </si>
  <si>
    <t>KLM09-NBSCB-QKK1V-NP10V-8UJVP-LDGLP</t>
  </si>
  <si>
    <t>PT. Sinarmas Distribusi Nusantara Baturaja</t>
  </si>
  <si>
    <t>KLM09-HXGGU-0NSNF-MCLTP-ULXPG-S7GXT</t>
  </si>
  <si>
    <t>PD-21010007/001</t>
  </si>
  <si>
    <t>0993/SDR/XII/2020</t>
  </si>
  <si>
    <t>PT. Sarana Digital Ritel</t>
  </si>
  <si>
    <t>8 Jan 2021 - 7 Jan 2022</t>
  </si>
  <si>
    <t>Knox Configure Dynamic 1 Year</t>
  </si>
  <si>
    <t>KLM09-M24W2-7O3FN-0JOHW-M3URL-120NJ</t>
  </si>
  <si>
    <t>PD-21010014/001</t>
  </si>
  <si>
    <t>PO-01/01-21/XX09</t>
  </si>
  <si>
    <t>PT. Lintas Global Oase</t>
  </si>
  <si>
    <t>20 Jan 2021 - 19 Jan 2023</t>
  </si>
  <si>
    <t>KLM09-N96V4-CSWXX-VYFQ9-NTON5-0C7OG</t>
  </si>
  <si>
    <t>PD-21010017/001</t>
  </si>
  <si>
    <t>PO-01/01-21/XX10</t>
  </si>
  <si>
    <t>CV. Sinar Anugrah</t>
  </si>
  <si>
    <t>22 Jan 2021 -  21 Jan 2023</t>
  </si>
  <si>
    <t>KLM09-MBKHM-NDN03-YF1X6-AXMRI-CKJZ3</t>
  </si>
  <si>
    <t>PD-21010027/001</t>
  </si>
  <si>
    <t>PO-01/01-21/XX15</t>
  </si>
  <si>
    <t>PT. Bentoro Adisandi Duri</t>
  </si>
  <si>
    <t>29 Jan 2021 - 28 Jan 2023</t>
  </si>
  <si>
    <t>KLM09-7H62U-TNVAA-8PC8E-X4OUN-HTUIN</t>
  </si>
  <si>
    <t>PD-21010028/001</t>
  </si>
  <si>
    <t>999-21-00032</t>
  </si>
  <si>
    <t>PT. Data Scrip</t>
  </si>
  <si>
    <t>PT. Dipo Star Finance</t>
  </si>
  <si>
    <t>27 Jan 2021 - 26 Jan 2022</t>
  </si>
  <si>
    <t>Knox Manage 1 Year</t>
  </si>
  <si>
    <t>KLM09-NA5PW-18JK9-WA61X-NX0M7-XKW9O</t>
  </si>
  <si>
    <t>PD-21010043/001</t>
  </si>
  <si>
    <t>PT. BCA Insurance</t>
  </si>
  <si>
    <t>29 Jan 2021 - 28 Jan 2022</t>
  </si>
  <si>
    <t>KLM09-HCEYT-9LA15-KJMTA-6RACE-6PGJ6</t>
  </si>
  <si>
    <t>PD-21010036/001</t>
  </si>
  <si>
    <t>Knox Configure Setup 1 Year</t>
  </si>
  <si>
    <t>KLM09-IIDAT-Y2X30-72QQ9-F2AX7-BAS1C</t>
  </si>
  <si>
    <t>PD-21010039/001</t>
  </si>
  <si>
    <t>PO-01/01-21/XX23</t>
  </si>
  <si>
    <t>PD. Indah Permai Lombok Barat</t>
  </si>
  <si>
    <t>3 Feb 2021 - 2 Feb 2023</t>
  </si>
  <si>
    <t>KLM09-GH5BD-BDGR2-E5A9P-SBJ2M-5CFOJ</t>
  </si>
  <si>
    <t>PD-21020003/001</t>
  </si>
  <si>
    <t>PO-01/02-21/XX01</t>
  </si>
  <si>
    <t>PT. Panahmas Dwitama Distrindo</t>
  </si>
  <si>
    <t>8 Feb 2021 - 7 Feb 2023</t>
  </si>
  <si>
    <t>KLM09-NODIN-WK5QJ-VXKF8-6M1Q7-7SL34</t>
  </si>
  <si>
    <t>PD-21020011/001</t>
  </si>
  <si>
    <t>PO-01/02-21/XX05</t>
  </si>
  <si>
    <t>PT. Cahaya Agung Cemerlang Tegal</t>
  </si>
  <si>
    <t>15 Feb 2021 - 14 Feb 2023</t>
  </si>
  <si>
    <t>KLM09-CJ0FU-AE1N2-7IG4G-LT04N-3ZAGS</t>
  </si>
  <si>
    <t>PD-21020016/001</t>
  </si>
  <si>
    <t>PT. Maju Makmur Raya</t>
  </si>
  <si>
    <t>17 Feb 2021 - 16 Feb 2023</t>
  </si>
  <si>
    <t>KLM09-G2FDN-7CZS3-V9B7B-J9KXV-W9LVX</t>
  </si>
  <si>
    <t>PD-21020038/001</t>
  </si>
  <si>
    <t>BCA Insurance</t>
  </si>
  <si>
    <t>2 Mar 2021 - 1 Mar 2022</t>
  </si>
  <si>
    <t>KLM03-DJ1FC-VL7J5-F5U2C-BBEVJ-XRZXH</t>
  </si>
  <si>
    <t>PD-21020039/001</t>
  </si>
  <si>
    <t>KLM03-U1EOO-S4TR3-H53NC-ZBIS6-O30IQ</t>
  </si>
  <si>
    <t>PD-21020048/001</t>
  </si>
  <si>
    <t>PO-01/02-21/XX15</t>
  </si>
  <si>
    <t>CV. Naicom Mandiri</t>
  </si>
  <si>
    <t>2 Mar 2021 - 1 Mar 2023</t>
  </si>
  <si>
    <t>KLM09-HUL43-F4H0A-FG1W7-HV0KI-QS8LC</t>
  </si>
  <si>
    <t>PD-21030010/001</t>
  </si>
  <si>
    <t>PO-01/03-21/XX01</t>
  </si>
  <si>
    <t>PT. Makmur Mandiri Utama</t>
  </si>
  <si>
    <t>8 Mar 2021 - 7 Mar 2023</t>
  </si>
  <si>
    <t>KLM09-UV9PH-LDMSM-4OI4B-UCINE-NDU16</t>
  </si>
  <si>
    <t>PD-21030011/001</t>
  </si>
  <si>
    <t>POAT210226</t>
  </si>
  <si>
    <t>PT. Sawit Sumbermas Sarana</t>
  </si>
  <si>
    <t>1 Apr 2021 - 31 Mar 2023</t>
  </si>
  <si>
    <t>KLM09-6NZD1-INLYX-AP3VL-0VPQT-HC1JJ</t>
  </si>
  <si>
    <t>PD-21030026/001</t>
  </si>
  <si>
    <t>PO-01/03-21/XX04</t>
  </si>
  <si>
    <t>PT. Makmur Mandiri Utama Sukabumi</t>
  </si>
  <si>
    <t>12 Mar 2021 - 11 Mar 2023</t>
  </si>
  <si>
    <t>KLM09-CFB27-IPDX8-XLYA4-WEUAG-W0419</t>
  </si>
  <si>
    <t>PD-21030040/001</t>
  </si>
  <si>
    <t>PO-01/03-21/XX08</t>
  </si>
  <si>
    <t>PT. Paris Jaya Mandiri Ambon</t>
  </si>
  <si>
    <t>22 Mar 2021 - 21 Mar 2023</t>
  </si>
  <si>
    <t>KLM09-2IING-7DFUJ-5VPKV-1UU3H-FJTAK</t>
  </si>
  <si>
    <t>PD-21030041/001</t>
  </si>
  <si>
    <t>PT. Plambo Pratama JS Tegal</t>
  </si>
  <si>
    <t>KLM09-7SP7Z-95GMW-HA9CG-RV4IA-S0N0O</t>
  </si>
  <si>
    <t>PD-21030043/001</t>
  </si>
  <si>
    <t>PO-01/03-21/XX13</t>
  </si>
  <si>
    <t>CV. Mekar Jaya Perkasa Pemalang</t>
  </si>
  <si>
    <t>24 Mar 2021 - 23 Mar 2023</t>
  </si>
  <si>
    <t>KLM09-G28VO-TYAXJ-FZGYW-OHCP6-Q2U1O</t>
  </si>
  <si>
    <t>PD-21030044/001</t>
  </si>
  <si>
    <t>CV. Mekar Jaya Perkasa Banyumas</t>
  </si>
  <si>
    <t>KLM09-2Q15J-11CUC-0608V-CS99Z-DWQZ0</t>
  </si>
  <si>
    <t>PD-21030045/001</t>
  </si>
  <si>
    <t>KLM09-MD4L0-A9QK1-DJJAL-4IOZK-V4XVH</t>
  </si>
  <si>
    <t>PD-21030046/001</t>
  </si>
  <si>
    <t>CV. Mekar Jaya Perkasa Randudongkal</t>
  </si>
  <si>
    <t>KLM09-UBUO4-D8WBT-1P6RM-QYH79-3UOEN</t>
  </si>
  <si>
    <t>PD-21030047/001</t>
  </si>
  <si>
    <t>CV. Mekar Jaya Perkasa Purwokerto</t>
  </si>
  <si>
    <t>KLM09-NKWS3-1P6RY-MIY4V-ST8QB-3Q9QR</t>
  </si>
  <si>
    <t>PD-21030064/001</t>
  </si>
  <si>
    <t>PO21000205</t>
  </si>
  <si>
    <t>PT. Circleka Indonesia Utama</t>
  </si>
  <si>
    <t>24 Mar 2021 - 23 Mar 2022</t>
  </si>
  <si>
    <t>KLM09-UJF7V-7JPG7-CL4MT-OUQH5-PBYLV</t>
  </si>
  <si>
    <t>PD-21030058/001</t>
  </si>
  <si>
    <t>PO-01/03-21/XX14</t>
  </si>
  <si>
    <t>PT. Griyasatria Jaya</t>
  </si>
  <si>
    <t>26 Mar 2021 - 25 Mar 2023</t>
  </si>
  <si>
    <t>KLM09-UVPR3-B6RF4-V0K9Y-LR5MN-OJH81</t>
  </si>
  <si>
    <t>PD-21030070/001</t>
  </si>
  <si>
    <t>PO-01/03-21/XX16</t>
  </si>
  <si>
    <t>PT. Expand Semesta Jaya</t>
  </si>
  <si>
    <t>30 Mar 2021 - 29 Mar 2023</t>
  </si>
  <si>
    <t>KLM09-MSKGT-2S7CA-IKZ10-LXB6F-NTR60</t>
  </si>
  <si>
    <t>PD-21030068/001</t>
  </si>
  <si>
    <t>POAT210305</t>
  </si>
  <si>
    <t>PT. Surya Pratista Hutama</t>
  </si>
  <si>
    <t>9 Apr 2021 - 8 Apr 2022</t>
  </si>
  <si>
    <t>KLM09-2W36R-DG457-T8P7D-UU43Q-74D9Y</t>
  </si>
  <si>
    <t>PD-21030084/001</t>
  </si>
  <si>
    <t>PO/BS/0321/0190</t>
  </si>
  <si>
    <t>PT. Wahana Ottomitra Multiartha Tbk</t>
  </si>
  <si>
    <t>5 Apr 2021 - 4 Apr 2023</t>
  </si>
  <si>
    <t>KLM09-H1255-7RUA1-YKN38-WJ32D-6LJBL</t>
  </si>
  <si>
    <t>PD-21030073/001</t>
  </si>
  <si>
    <t>PO-01/03-21/XX17</t>
  </si>
  <si>
    <t>CV. Pribumi</t>
  </si>
  <si>
    <t>31 Mar 2021 - 30 Mar 2023</t>
  </si>
  <si>
    <t>KLM09-IJMI9-NIEY6-3ITWD-49GZC-PHQMU</t>
  </si>
  <si>
    <t>PD-21030074/001</t>
  </si>
  <si>
    <t>CV. War Uni Abadi</t>
  </si>
  <si>
    <t>KLM09-7N5FJ-1L8EU-JDW6R-3Z5NJ-TEUZJ</t>
  </si>
  <si>
    <t>PD-21030075/001</t>
  </si>
  <si>
    <t>CV. War Uni Abadi LMT</t>
  </si>
  <si>
    <t>KLM09-I8IJM-U5OFP-PQWF5-6S7I3-ICI4C</t>
  </si>
  <si>
    <t>PD-21030076/001</t>
  </si>
  <si>
    <t>KLM09-0WKEJ-NMKDZ-FKICV-LE72Z-JQOCU</t>
  </si>
  <si>
    <t>PD-21030085/001</t>
  </si>
  <si>
    <t>PO-01/03-21/XX20</t>
  </si>
  <si>
    <t>PT. Rasa Prima Selaras Bangka</t>
  </si>
  <si>
    <t>KLM09-AAREQ-BQ13J-HF114-O6DG1-GNMIF</t>
  </si>
  <si>
    <t>PD-21030086/001</t>
  </si>
  <si>
    <t>PT. Badriani Abadi</t>
  </si>
  <si>
    <t>KLM09-I8HML-DS3P4-VJN9G-3LHJY-VE3IV</t>
  </si>
  <si>
    <t>PD-21030088/001</t>
  </si>
  <si>
    <t>PO-01/03-21/XX21</t>
  </si>
  <si>
    <t>PT. Rasa Prima Selaras Indralaya</t>
  </si>
  <si>
    <t>7 Apr 2021 - 6 Apr 2023</t>
  </si>
  <si>
    <t>KLM09-C2R4O-4IQQG-TJ3W9-95B8C-ETJAB</t>
  </si>
  <si>
    <t>PD-21030089/001</t>
  </si>
  <si>
    <t>CV. Forward Kediri</t>
  </si>
  <si>
    <t>KLM09-AT2FX-78I9Q-JU0O7-VP344-HKU77</t>
  </si>
  <si>
    <t>PD-21030087/001</t>
  </si>
  <si>
    <t>MSSPOTAX21030029</t>
  </si>
  <si>
    <t>PT. AKR Corporindo</t>
  </si>
  <si>
    <t>KLM09-M1IMX-X19UA-8Z928-W355L-CEZRK</t>
  </si>
  <si>
    <t>PD-21040024/001</t>
  </si>
  <si>
    <t>PO-02/04-21/XX05</t>
  </si>
  <si>
    <t>CV. Hana Central</t>
  </si>
  <si>
    <t>15 Apr 2021 - 14 Apr 2023</t>
  </si>
  <si>
    <t>KLM09-UQ1YM-OY8KK-A24T5-7KLK0-FL3NJ</t>
  </si>
  <si>
    <t>PD-21040025/001</t>
  </si>
  <si>
    <t>CV. Sinar Anugerah</t>
  </si>
  <si>
    <t>KLM09-6H65Y-0DHL8-ILQVR-Z300X-SCVPS</t>
  </si>
  <si>
    <t>PD-21040026/001</t>
  </si>
  <si>
    <t>CV. Bumi Arta Blitar LMT</t>
  </si>
  <si>
    <t>KLM09-DBPJF-5EKNH-CBWN9-H3FGE-4GYXL</t>
  </si>
  <si>
    <t>PD-21040027/001</t>
  </si>
  <si>
    <t>CV. Bumi Arta Boyolangu</t>
  </si>
  <si>
    <t>KLM09-GDWOA-ZFXXX-Y9QDY-92NHN-MOSML</t>
  </si>
  <si>
    <t>PD-21040028/001</t>
  </si>
  <si>
    <t>CV. Bumi Arta Wlingi</t>
  </si>
  <si>
    <t>KLM09-GHT2K-C14FF-6EUQZ-T6RJ8-IM6U3</t>
  </si>
  <si>
    <t>PD-21040029/001</t>
  </si>
  <si>
    <t>CV. Bumi Arta Ngantru</t>
  </si>
  <si>
    <t>KLM09-7OI3H-O98YW-2VF8L-2KVX7-MNDPE</t>
  </si>
  <si>
    <t>PD-21040030/001</t>
  </si>
  <si>
    <t>CV. Bumi Arta Blitar</t>
  </si>
  <si>
    <t>KLM09-2JIUS-SN7IE-6UVN1-3HGI7-7L86T</t>
  </si>
  <si>
    <t>PD-21040046/001</t>
  </si>
  <si>
    <t>PO-02/04-21/XX06</t>
  </si>
  <si>
    <t>PT. Griyasatria Jaya Ajibarang</t>
  </si>
  <si>
    <t>19 Apr 2021 - 18 Apr 2023</t>
  </si>
  <si>
    <t>KLM09-AFWDF-50EQZ-J1WU0-Z8HPM-5IOOK</t>
  </si>
  <si>
    <t>PD-21040047/001</t>
  </si>
  <si>
    <t>PT. Griyasatria Jaya Purworejo</t>
  </si>
  <si>
    <t xml:space="preserve">KLM09-HS3JB-1R5M7-JG9NE-T0RGI-FNMJR </t>
  </si>
  <si>
    <t>PD-21040048/001</t>
  </si>
  <si>
    <t>PT. Griyasatria Jaya Purwokerto</t>
  </si>
  <si>
    <t>KLM09-HBAH4-NUCFA-HL4AP-Q5J1V-PDTUQ</t>
  </si>
  <si>
    <t>PD-21040049/001</t>
  </si>
  <si>
    <t>PT. Griyasatria Jaya Kulonprogo</t>
  </si>
  <si>
    <t>KLM09-MT5LA-E95M5-RRF18-QGB1G-YFL4D</t>
  </si>
  <si>
    <t>PD-21040050/001</t>
  </si>
  <si>
    <t>KLM09-NAAW1-TV7ES-CM6E2-OFGI5-8BSPI</t>
  </si>
  <si>
    <t>PD-21040053/001</t>
  </si>
  <si>
    <t>PO-02/04-21/XX07</t>
  </si>
  <si>
    <t>CV. Hana Prima Lestari LMT</t>
  </si>
  <si>
    <t>20 Apr 2021 - 19 Apr 2023</t>
  </si>
  <si>
    <t>KLM09-CHL7O-YW09Q-UXFBO-SVQHR-UD5EO</t>
  </si>
  <si>
    <t>PD-21040054/001</t>
  </si>
  <si>
    <t>CV. Hana Prima Lestari GT</t>
  </si>
  <si>
    <t xml:space="preserve">KLM09-DHUAP-4B4Y6-U69LS-EVW4H-BOOZV </t>
  </si>
  <si>
    <t>PD-21040055/001</t>
  </si>
  <si>
    <t>KLM09-JASZI-2ORFA-0XVQ8-X1RHH-4QDTA</t>
  </si>
  <si>
    <t>PD-21040056/001</t>
  </si>
  <si>
    <t>CV. Forward Pare</t>
  </si>
  <si>
    <t>KLM09-CYDCK-9LFRK-XPALU-ZFHJ6-44LMK</t>
  </si>
  <si>
    <t>PD-21040058/001</t>
  </si>
  <si>
    <t>PO-02/04-21/XX08</t>
  </si>
  <si>
    <t>CV. Sinar Anugrah Padalarang</t>
  </si>
  <si>
    <t>21 Apr 2021 - 20 Apr 2023</t>
  </si>
  <si>
    <t xml:space="preserve">KLM09-MPMBQ-5GRVR-8FUO6-OI54P-Z9EIP </t>
  </si>
  <si>
    <t>PD-21040059/001</t>
  </si>
  <si>
    <t>CV. Sinar Anugrah Cimahi</t>
  </si>
  <si>
    <t>KLM09-CBDIH-ZZGU5-WWNPW-83I9Z-3JL00</t>
  </si>
  <si>
    <t>PD-21040062/001</t>
  </si>
  <si>
    <t>PT. Nojorono Tobbaco International</t>
  </si>
  <si>
    <t>4 Mei 2021 - 3 Mei 2022</t>
  </si>
  <si>
    <t>KLM09-I7U4L-ULV10-HQFQT-NZJS6-V5NZ5</t>
  </si>
  <si>
    <t>PD-21040067/001</t>
  </si>
  <si>
    <t>PO-02/04-21/XX12</t>
  </si>
  <si>
    <t>CV. Putra Jaya Pandaan</t>
  </si>
  <si>
    <t>26 Apr 2021 - 25 Apr 2023</t>
  </si>
  <si>
    <t>KLM09-A3M24-0PLBS-63ASS-5HM6I-GWCIM</t>
  </si>
  <si>
    <t>PD-21040068/001</t>
  </si>
  <si>
    <t>CV. Putra Jaya LMT</t>
  </si>
  <si>
    <t>KLM09-FXX32-XAUTH-DG84P-V0XGQ-HWUGV</t>
  </si>
  <si>
    <t>PD-21040069/001</t>
  </si>
  <si>
    <t>CV. Putra Jaya Purwosari</t>
  </si>
  <si>
    <t>KLM09-7JB93-CL8N0-GSDSK-DFLRD-ZGSZU</t>
  </si>
  <si>
    <t>PD-21040070/001</t>
  </si>
  <si>
    <t>CV. Putra Jaya Pasuruan</t>
  </si>
  <si>
    <t>KLM09-UA6ZI-V3EUI-M3DBH-1N7VM-7YDSR</t>
  </si>
  <si>
    <t>PD-21040071/001</t>
  </si>
  <si>
    <t>CV. Putra Jaya Pasrepan</t>
  </si>
  <si>
    <t>KLM09-JCFMJ-3AGMK-7W4SK-Q6KW1-QTDSW</t>
  </si>
  <si>
    <t>PD-21040072/001</t>
  </si>
  <si>
    <t>20 Juni 2021 - 19 Juni 2022</t>
  </si>
  <si>
    <t>KLM09-20DCS-NIW3B-XWZEA-QI4ZE-ZFEC3</t>
  </si>
  <si>
    <t>PD-21040073/001</t>
  </si>
  <si>
    <t>25 Mei 2021 - 24 Mei 2022</t>
  </si>
  <si>
    <t>KLM03-HWS42-YBNNA-FN92R-URCZL-FSLXI</t>
  </si>
  <si>
    <t>PD-21040074/001</t>
  </si>
  <si>
    <t>19 Juni 2021 - 18 Juni 2022</t>
  </si>
  <si>
    <t>KLM09-CZRB6-ZUVOM-2BVE7-EN9CH-ZZYK3</t>
  </si>
  <si>
    <t>PD-21040075/001</t>
  </si>
  <si>
    <t>KLM09-D9ZZ8-SBGCT-4FCTN-74IWS-BRJKN</t>
  </si>
  <si>
    <t>PD-21040076/001</t>
  </si>
  <si>
    <t>KLM09-IRIIC-EIEJ0-RYZJB-C7Y2B-8IQH3</t>
  </si>
  <si>
    <t>PD-21040077/001</t>
  </si>
  <si>
    <t>POAT210377</t>
  </si>
  <si>
    <t>29 Apr 2021 - 28 Apr 2023</t>
  </si>
  <si>
    <t>KLM09-FYYHU-L62YI-VNF9I-Z48WM-IGQRU</t>
  </si>
  <si>
    <t>PD-21040081/001</t>
  </si>
  <si>
    <t>GDN2/PO/2021/10016</t>
  </si>
  <si>
    <t>PT. Kalbe Farma Tbk</t>
  </si>
  <si>
    <t>26 Apr 2021 - 25 Apr 2022</t>
  </si>
  <si>
    <t>KLM09-82SKK-S4SFX-9EQ2O-ZO2R0-K0KHK</t>
  </si>
  <si>
    <t>PD-21040082/001</t>
  </si>
  <si>
    <t>0055/TS-CT/EXT/PC-POR/00/IV/21</t>
  </si>
  <si>
    <t>Korlantas POLRI</t>
  </si>
  <si>
    <t>3 Mei 2021 - 2 Mei 2022</t>
  </si>
  <si>
    <t>KLM09-MPC1N-XS0RD-GH9WQ-ZZI61-CE1GI</t>
  </si>
  <si>
    <t>PD-21050037/001</t>
  </si>
  <si>
    <t>PO-02/05-21/XX09</t>
  </si>
  <si>
    <t>CV. Aneka Sari Manado</t>
  </si>
  <si>
    <t>24 Mei 2021 - 23 Mei 2023</t>
  </si>
  <si>
    <t>KLM09-OOG9A-026WR-KO29S-9BKC8-MWXKK</t>
  </si>
  <si>
    <t>PD-21050038/001</t>
  </si>
  <si>
    <t>PT. Sinarmas Distribusi Nusantara Sukabumi</t>
  </si>
  <si>
    <t>KLM09-0N8QR-39K6O-0V19C-LR9RD-XK3VA</t>
  </si>
  <si>
    <t>PD-21050039/001</t>
  </si>
  <si>
    <t>PT. Sinarmas Distribusi Nusantara Sentul</t>
  </si>
  <si>
    <t>KLM09-GE0SH-51ISR-RW0QW-OUHXF-7E6EA</t>
  </si>
  <si>
    <t>PD-21050042/001</t>
  </si>
  <si>
    <t>PO/GDN2/2105/10017</t>
  </si>
  <si>
    <t>19 Mei 2021 - 18 Mei 2023</t>
  </si>
  <si>
    <t>KLM09-C6KHZ-PDYK0-4A4LJ-IS3MK-KD52I</t>
  </si>
  <si>
    <t>PD-21050043/001</t>
  </si>
  <si>
    <t>999-21-00261</t>
  </si>
  <si>
    <t>20 Mei 2021 - 19 Mei 2022</t>
  </si>
  <si>
    <t>KLM09-IWQ8G-XB86Q-E6S2Z-595A0-X75NW</t>
  </si>
  <si>
    <t>PD-21050048/001</t>
  </si>
  <si>
    <t>PO-02/05-21/XX15</t>
  </si>
  <si>
    <t>CV. Berkah Niaga</t>
  </si>
  <si>
    <t>25 Mei 2021 - 24 Mei 2023</t>
  </si>
  <si>
    <t>KLM09-GAY98-I6RF0-T9DNF-6BONC-TXPJ1</t>
  </si>
  <si>
    <t>PD-21060011/001</t>
  </si>
  <si>
    <t>PO-02/06-21/XX01</t>
  </si>
  <si>
    <t>PT. Plambo Pratama Joyosantoso Slawi</t>
  </si>
  <si>
    <t>7 Juni 2021 - 6 Juni 2023</t>
  </si>
  <si>
    <t>KLM09-DTM5J-QB3JZ-NM5PL-4PR3W-WZ4X3</t>
  </si>
  <si>
    <t>PD-21060012/001</t>
  </si>
  <si>
    <t>PT. Pintu Tiga Utama KDP</t>
  </si>
  <si>
    <t>KLM09-6X73G-6V1RC-403W3-MSW26-J7GZC</t>
  </si>
  <si>
    <t>PD-21060013/001</t>
  </si>
  <si>
    <t>PT. Pintu Tiga Utama LMT</t>
  </si>
  <si>
    <t>KLM09-FWK4E-KHPEW-OQOG0-O36X3-0RB5O</t>
  </si>
  <si>
    <t>PD-21060014/001</t>
  </si>
  <si>
    <t>PT. Pintu Tiga Utama Jatiwangi</t>
  </si>
  <si>
    <t>KLM09-UUKKY-P29ZV-LKK3T-LIGG9-SBUAY</t>
  </si>
  <si>
    <t>PD-21060021/001</t>
  </si>
  <si>
    <t>PO-02/06-21/XX06</t>
  </si>
  <si>
    <t>PT. Cahaya Agung Cemerlang</t>
  </si>
  <si>
    <t>15 Juni 2021 - 14 Juni 2023</t>
  </si>
  <si>
    <t>KLM09-7C3MY-GVQZO-97J3M-AS30T-8ZQR6</t>
  </si>
  <si>
    <t>PD-21060022/001</t>
  </si>
  <si>
    <t>PT. Cempaka Mulia Abadi</t>
  </si>
  <si>
    <t>KLM09-A6930-F4QP9-OCQVS-W9H1B-ONZ5K</t>
  </si>
  <si>
    <t>PD-21060033/001</t>
  </si>
  <si>
    <t>PO 79246</t>
  </si>
  <si>
    <t>19 Juli 2021 - 18 Juli 2022</t>
  </si>
  <si>
    <t>KLM09-NNFI6-J4QAG-CONYP-ZOIP5-2REJE</t>
  </si>
  <si>
    <t>PD-21060034/001</t>
  </si>
  <si>
    <t>17 Aug 2021 – 16 Aug 2022</t>
  </si>
  <si>
    <t>KLM09-N7M32-S152J-QHR0T-C3GLW-H5OQ9</t>
  </si>
  <si>
    <t>PD-21060035/001</t>
  </si>
  <si>
    <t>9 Juli 2021 – 8 Juli 2022</t>
  </si>
  <si>
    <t>KLM09-GZZJZ-7GVCN-ZMAW4-BT95M-W9424</t>
  </si>
  <si>
    <t>PD-21060036/001</t>
  </si>
  <si>
    <t>19 Juli 2021 – 18 Juli 2022</t>
  </si>
  <si>
    <t>KLM09-UPUNP-M7VN3-DIF4U-HHFEM-K5ZYK</t>
  </si>
  <si>
    <t>PD-21060037/001</t>
  </si>
  <si>
    <t>17 Aug 2021 - 16 Aug 2022</t>
  </si>
  <si>
    <t>KLM09-ALRET-NNOUL-IXGRU-ZXANM-4N0J3</t>
  </si>
  <si>
    <t>PD-21060041/001</t>
  </si>
  <si>
    <t>PO-02/06-21/XX10</t>
  </si>
  <si>
    <t>PT. Sinarmas Distirbusi Nusantara Cianjur</t>
  </si>
  <si>
    <t>21 Juni 2021 - 20 Juni 2023</t>
  </si>
  <si>
    <t>KLM09-FZGWE-MXWQS-7IW59-135PK-CFJSD</t>
  </si>
  <si>
    <t>PD-21060043/001</t>
  </si>
  <si>
    <t>0569/SDR/V/2021</t>
  </si>
  <si>
    <t>PT. Sarana Dgital Ritel</t>
  </si>
  <si>
    <t>16 Juni 2021 - 15 Juni 2022</t>
  </si>
  <si>
    <t>KLM09-0FN8R-Y53EM-B5RXZ-Q6TB8-MVZ3C</t>
  </si>
  <si>
    <t>PD-21060069/001</t>
  </si>
  <si>
    <t>PO-02/06-21/XX16</t>
  </si>
  <si>
    <t>CV. Guna Santosa Jaya</t>
  </si>
  <si>
    <t>28 Juni 2021 - 27 Juni 2022</t>
  </si>
  <si>
    <t>KLM09-HXATE-7F6EW-1QFTB-UCW4O-PRDR7</t>
  </si>
  <si>
    <t>PD-21060070/001</t>
  </si>
  <si>
    <t>PT. Rasa Prima Selaras</t>
  </si>
  <si>
    <t>KLM09-GUT17-2UDAD-WQQ2L-JUMJ7-YDB59</t>
  </si>
  <si>
    <t>PD-21060071/001</t>
  </si>
  <si>
    <t>CV. Karunia Jaya Sejahtera</t>
  </si>
  <si>
    <t>PD-21060072/001</t>
  </si>
  <si>
    <t>PT. Padma Tirta Wisesa Jember</t>
  </si>
  <si>
    <t>KLM09-HB0HW-ONJOC-VW0OU-NZSPS-DQJH2</t>
  </si>
  <si>
    <t>PD-21060074/001</t>
  </si>
  <si>
    <t>0104/VI/SPK-MU/21</t>
  </si>
  <si>
    <t>Samsung Elektronik Indonesia</t>
  </si>
  <si>
    <t>16 Aug 2021 - 15 Aug 2022</t>
  </si>
  <si>
    <t>KLM09-GFRNA-Q4OA0-U0YZO-A81HC-FSBT4</t>
  </si>
  <si>
    <t>PD-21060075/001</t>
  </si>
  <si>
    <t>MI-Q-21-05/054</t>
  </si>
  <si>
    <t>PT. Seribu Satu</t>
  </si>
  <si>
    <t>21 Juli 2021 - 20 Juli 2022</t>
  </si>
  <si>
    <t>KLM09-7G1V2-T9KAU-2KTTL-VALZ7-LX93O</t>
  </si>
  <si>
    <t>PD-21060076/001</t>
  </si>
  <si>
    <t>KLM09-0B9I1-AR7RK-ZI138-I4VYO-1ZFYK</t>
  </si>
  <si>
    <t>PD-21060088/001</t>
  </si>
  <si>
    <t>PP21001932</t>
  </si>
  <si>
    <t>Circleka Indonesia Utama</t>
  </si>
  <si>
    <t>29 Juni 2021 - 28 Juni 2022</t>
  </si>
  <si>
    <t>KLM09-0SA0F-G17XE-PI0IU-A6PTM-KHITO</t>
  </si>
  <si>
    <t>PD-21060098/001</t>
  </si>
  <si>
    <t>PO-02/06-21/XX17</t>
  </si>
  <si>
    <t>PT. Tiga Jaya Sentosa Cipatujah</t>
  </si>
  <si>
    <t>2 Juli 2021 - 1 Juli 2023</t>
  </si>
  <si>
    <t>KLM09-6WWKG-2VYXP-3Z2TP-OE6C7-VI6M5</t>
  </si>
  <si>
    <t>PD-21060099/001</t>
  </si>
  <si>
    <t>CV. Tiga Jaya Sentosa Leles</t>
  </si>
  <si>
    <t>KLM09-2JKW7-ZVVIQ-LAQ3Q-8BMI7-WGH7R</t>
  </si>
  <si>
    <t>PD-21060102/001</t>
  </si>
  <si>
    <t>PO-02/06-21/XX18</t>
  </si>
  <si>
    <t>CV. Inti Teratai Kotamobagu</t>
  </si>
  <si>
    <t>5 Juli 2021 - 4 Juli 2023</t>
  </si>
  <si>
    <t>KLM09-IVPAF-FX648-FZJ6C-JJKC7-TO9EX</t>
  </si>
  <si>
    <t>PD-21070013/001</t>
  </si>
  <si>
    <t>PO-03/07-21/XX13</t>
  </si>
  <si>
    <t>CV. Heksa Gemilang</t>
  </si>
  <si>
    <t>18 Sep 2021 - 17 Sep 2023</t>
  </si>
  <si>
    <t>KLM09-A9URP-PP0LS-1SK2O-YID14-JBNYG</t>
  </si>
  <si>
    <t>PD-21070020/001</t>
  </si>
  <si>
    <t>PO-03/07-21/XX06</t>
  </si>
  <si>
    <t>PT. Aditama Citra Papua GT</t>
  </si>
  <si>
    <t>14 Juli 2021 – 13 Juli 2023</t>
  </si>
  <si>
    <t>KLM09-7BY9S-EWK09-TQF2E-7W823-6VF7S</t>
  </si>
  <si>
    <t>PD-21070021/001</t>
  </si>
  <si>
    <t>PT. Aditama Citra Papua LMT</t>
  </si>
  <si>
    <t>15 Juli 2021 – 13 Juli 2023</t>
  </si>
  <si>
    <t>KLM09-84829-6NB42-EZCEV-47HP5-QC11K</t>
  </si>
  <si>
    <t>PD-21070022/001</t>
  </si>
  <si>
    <t>PT. Tunas Subur Way Jepara</t>
  </si>
  <si>
    <t>16 Juli 2021 – 13 Juli 2023</t>
  </si>
  <si>
    <t>KLM09-U1GL6-1CT3S-0C9PL-A35X8-4V0BE</t>
  </si>
  <si>
    <t>PD-21070034/001</t>
  </si>
  <si>
    <t>SMP Puri Artha</t>
  </si>
  <si>
    <t>14 Juli 2021 – 13 Juli 2022</t>
  </si>
  <si>
    <t>KLM09-UXJRQ-M83DX-94SQX-8ZCEU-03G70</t>
  </si>
  <si>
    <t>PD-21070036/001</t>
  </si>
  <si>
    <t>BPD Bali</t>
  </si>
  <si>
    <t>16 Juli 2021 – 15 Juli 2022</t>
  </si>
  <si>
    <t>KLM09-CVISD-QVECE-P0G8T-UUVKM-RSETZ</t>
  </si>
  <si>
    <t>PD-21070037/001</t>
  </si>
  <si>
    <t>PO/BS/0621/086</t>
  </si>
  <si>
    <t>21 Juli 2021 - 20 Juli 2023</t>
  </si>
  <si>
    <t>KLM09-IMXT1-SR15N-LJJS9-XE9TH-LIBSH</t>
  </si>
  <si>
    <t>PD-21070038/001</t>
  </si>
  <si>
    <t>PO/0024/VII/21</t>
  </si>
  <si>
    <t>BAINTELKAM MABES POLRI</t>
  </si>
  <si>
    <t>KLM09-AJARU-U0FPH-1PALI-0BPG2-O5WPT</t>
  </si>
  <si>
    <t>PD-21070044/001</t>
  </si>
  <si>
    <t>PO-03/07-21/XX10</t>
  </si>
  <si>
    <t>CV. Lotus Mandiri</t>
  </si>
  <si>
    <t>27 Juli 2021 - 26 Juli 2023</t>
  </si>
  <si>
    <t>KLM09-UBINU-0TBLA-ZFH72-TV8BE-0CIK2</t>
  </si>
  <si>
    <t>PD-21070045/001</t>
  </si>
  <si>
    <t>PT. Rukan Mitra Sejati</t>
  </si>
  <si>
    <t>KLM09-6F4Y9-H8LA8-J2EDF-K1GT7-K9C1K</t>
  </si>
  <si>
    <t>PD-21070060/001</t>
  </si>
  <si>
    <t>KLM09-GDHWL-FVCO3-E9CBS-D135Y-NSNOD</t>
  </si>
  <si>
    <t>PD-21070066/001</t>
  </si>
  <si>
    <t>PO-03/07-21/XX14</t>
  </si>
  <si>
    <t>PT. Roxy Prameswari</t>
  </si>
  <si>
    <t>30 Juli 2021 - 29 Juli 2023</t>
  </si>
  <si>
    <t>KLM09-HKZ45-NI43F-BC2QA-HD5W4-FCG4C</t>
  </si>
  <si>
    <t>PD-21070082/001</t>
  </si>
  <si>
    <t>KLM09-W7CW6-998NR-001Z8-V3BQI-GALGK</t>
  </si>
  <si>
    <t>PD-21070083/001</t>
  </si>
  <si>
    <t>CV. Surya Prima Abadi</t>
  </si>
  <si>
    <t>19 Sep 2021 - 18 Sep 2023</t>
  </si>
  <si>
    <t>KLM09-N1P9Q-MVJ4O-L4LU4-G1KN3-UKQB6</t>
  </si>
  <si>
    <t>PD-21080011/001</t>
  </si>
  <si>
    <t>PO/GDN2/2108/10001</t>
  </si>
  <si>
    <t>9 Aug 2021 - 8 Aug 2023</t>
  </si>
  <si>
    <t>KLM09-NEZGC-MOVOF-BJS6R-QAC4N-R2NCJ</t>
  </si>
  <si>
    <t>PD-21080012/001</t>
  </si>
  <si>
    <t>PO-03/08-21/XX01</t>
  </si>
  <si>
    <t>PT. Rukan Mitra Sejati Turen</t>
  </si>
  <si>
    <t>6 Aug 2021 - 5 Aug 2023</t>
  </si>
  <si>
    <t>KLM09-CSW46-B6TKQ-OJE9R-9IJY2-55FM9</t>
  </si>
  <si>
    <t>PD-21080015/001</t>
  </si>
  <si>
    <t>PO/BS/0721/0162</t>
  </si>
  <si>
    <t>PT. Nufarm Indonesia</t>
  </si>
  <si>
    <t>16 Oct 2021 - 15 Oct 2023</t>
  </si>
  <si>
    <t>KLM09-6917V-XLGJ0-8R68G-3PS6O-AD3LT</t>
  </si>
  <si>
    <t>PD-21080016/001</t>
  </si>
  <si>
    <t>PO-03/08-21/XX07</t>
  </si>
  <si>
    <t>PT. Sinarmas Distribusi Nusatara Pulogadung</t>
  </si>
  <si>
    <t>12 Aug 2021 – 11 Aug 2023</t>
  </si>
  <si>
    <t>KLM09-FCX7T-6QO6G-UQAO2-S1AJ4-TWLV5</t>
  </si>
  <si>
    <t>PD-21080017/001</t>
  </si>
  <si>
    <t>PT. Plmbo Pratama JS Tegal</t>
  </si>
  <si>
    <t>KLM09-KZ6EE-TAQF8-S932L-E717B-SKHOK</t>
  </si>
  <si>
    <t>PD-21080019/001</t>
  </si>
  <si>
    <t>PO-03/08-21/XX08</t>
  </si>
  <si>
    <t>PT. Gelora Jaya Persada</t>
  </si>
  <si>
    <t>KLM09-J0BR9-9Y12V-NE8YO-GXYNY-OXKP0</t>
  </si>
  <si>
    <t>PD-21080021/001</t>
  </si>
  <si>
    <t>PO-03/08-21/XX12</t>
  </si>
  <si>
    <t>21 Oct 2021 - 20 Oct 2023</t>
  </si>
  <si>
    <t>KLM09-HFUR3-BI9TP-2ZVES-AJEFU-AX0S4</t>
  </si>
  <si>
    <t>PD-21080022/001</t>
  </si>
  <si>
    <t>KLM09-CQTND-6DXQ3-DEL3I-LIIDD-L0ENI</t>
  </si>
  <si>
    <t>PD-21080055/001</t>
  </si>
  <si>
    <t xml:space="preserve">7-08-2021-1 </t>
  </si>
  <si>
    <t>23 Aug 2021 - 22 Aug 2022</t>
  </si>
  <si>
    <t>Knox Manage 1 Years</t>
  </si>
  <si>
    <t>KLM09-JD680-IN1XT-HIBE3-KR9TZ-6QXV4</t>
  </si>
  <si>
    <t>PD-21080091/001</t>
  </si>
  <si>
    <t>PO-03/08-21/XX24</t>
  </si>
  <si>
    <t>PT. Sinarmas Distribusi Nusantara</t>
  </si>
  <si>
    <t>4 Oct 2021 - 3 Oct 2023</t>
  </si>
  <si>
    <t>KLM09-IQ9G4-X8X48-KUFTT-MSW4B-6ZMFO</t>
  </si>
  <si>
    <t>PD-21080092/001</t>
  </si>
  <si>
    <t>KLM09-HI4Q4-MJ055-MV8LC-YTI9B-JNYER</t>
  </si>
  <si>
    <t>PD-21090013/001</t>
  </si>
  <si>
    <t>PO-03/09-21/XX26</t>
  </si>
  <si>
    <t>PT. Wicaksana Overseas International Makassar</t>
  </si>
  <si>
    <t>2 Oct 2021 - 1 Oct 2023</t>
  </si>
  <si>
    <t>KLM09-F8ELI-M6N2T-TD0QM-OJJUJ-DQR4Z</t>
  </si>
  <si>
    <t>PD-21090020/001</t>
  </si>
  <si>
    <t>PO-03/09-21/XX04</t>
  </si>
  <si>
    <t>CV. Sumber Berkat Abadi</t>
  </si>
  <si>
    <t>13 Sep 2021 - 12 Sep 2023</t>
  </si>
  <si>
    <t>KLM09-IOUSD-RKUUQ-EQSHW-0837R-NNVJC</t>
  </si>
  <si>
    <t>PD-21090021/001</t>
  </si>
  <si>
    <t>KLM09-GNXHK-3GX5I-FMSBM-PXKS6-YROKJ</t>
  </si>
  <si>
    <t>PD-21090022/001</t>
  </si>
  <si>
    <t>PO202100264</t>
  </si>
  <si>
    <t>PT. Orico Balimor Finance</t>
  </si>
  <si>
    <t>9 Sep 2021 - 8 Sep 2022</t>
  </si>
  <si>
    <t>KLM09-UL6D6-8V2K5-TH7TK-N78UL-60OOT</t>
  </si>
  <si>
    <t>PD-21090024/001</t>
  </si>
  <si>
    <t>PO-03/09-21/XX06</t>
  </si>
  <si>
    <t>PT. K33 Distribusi Plered</t>
  </si>
  <si>
    <t>KLM09-7DCNP-LVH3N-FPSAK-XKKTG-ZRBXG</t>
  </si>
  <si>
    <t>PD-21090026/001</t>
  </si>
  <si>
    <t>PO-03/09-21/XX08</t>
  </si>
  <si>
    <t>PT. Sekar Nusa Baruna Bali</t>
  </si>
  <si>
    <t>23 Sep 2021 - 22 Sep 2023</t>
  </si>
  <si>
    <t>KLM09-UY51O-5QA73-8EP00-CX4IE-GKHLF</t>
  </si>
  <si>
    <t>PD-21090027/001</t>
  </si>
  <si>
    <t>PO-03/09-21/XX09</t>
  </si>
  <si>
    <t>PT. Sinarmas Distribusi Nusantara Rembang</t>
  </si>
  <si>
    <t>16 Sep 2021 - 15 Sep 2023</t>
  </si>
  <si>
    <t>KLM09-MRNAX-B3XJB-ALHTZ-VDT9S-52AUF</t>
  </si>
  <si>
    <t>PD-21090029/001</t>
  </si>
  <si>
    <t>999-21-00570</t>
  </si>
  <si>
    <t>23 Sep 2021 - 22 Sep 2022</t>
  </si>
  <si>
    <t>KLM09-DGXJD-GGG8B-TGC8R-UFWZP-Z82RK</t>
  </si>
  <si>
    <t>PD-21090032/001</t>
  </si>
  <si>
    <t>8 Oct 2021 - 7 Oct 2022</t>
  </si>
  <si>
    <t>PD-21090033/001</t>
  </si>
  <si>
    <t>23 Nov 2021 - 22 Nov 2022</t>
  </si>
  <si>
    <t>PD-21090034/001</t>
  </si>
  <si>
    <t>PD-21090035/001</t>
  </si>
  <si>
    <t>PD-21090038/001</t>
  </si>
  <si>
    <t>UNUSA</t>
  </si>
  <si>
    <t>20 Sep 2021 - 19 Sep 2022</t>
  </si>
  <si>
    <t>KLM09-GYNUH-ONK5O-MKIUQ-EM8G3-4ZGX8</t>
  </si>
  <si>
    <t>PD-21090044/001</t>
  </si>
  <si>
    <t>PO-03/09-21/XX18</t>
  </si>
  <si>
    <t>2 Dec 2021 – 1 Dec 2023</t>
  </si>
  <si>
    <t>KLM09-UDD86-IKOP6-4JLNV-OQABX-FKTNR</t>
  </si>
  <si>
    <t>PD-21090045/001</t>
  </si>
  <si>
    <t>24 Sep 2021 – 23 Sep 2023</t>
  </si>
  <si>
    <t>KLM09-MI5TY-10WRS-ZY3NQ-P7A5M-174M1</t>
  </si>
  <si>
    <t>PD-21090046/001</t>
  </si>
  <si>
    <t>PT. Tompotika Raya Mamuju</t>
  </si>
  <si>
    <t>KLM09-D1DYJ-1X0Y2-XEINE-0ZTU4-HTGT7</t>
  </si>
  <si>
    <t>PD-21090062/001</t>
  </si>
  <si>
    <t>PO-03/09-21/XX20</t>
  </si>
  <si>
    <t>PT. Belian Cahaya Lestari - Sintang</t>
  </si>
  <si>
    <t>4 Nov 2021 – 3 Nov 2023</t>
  </si>
  <si>
    <t>KLM09-GEI4X-2JN6L-GY6OG-51910-FKYRY</t>
  </si>
  <si>
    <t>PD-21090063/001</t>
  </si>
  <si>
    <t>PT. Belian Cahaya Lestari</t>
  </si>
  <si>
    <t>16 Oct 2021 – 15 Oct 2023</t>
  </si>
  <si>
    <t>KLM09-UZT96-2GI56-Q8N36-GG1M0-7SOXC</t>
  </si>
  <si>
    <t>PD-21090064/001</t>
  </si>
  <si>
    <t>CV. Mega Mas Jaya</t>
  </si>
  <si>
    <t>26 Sep 2021 – 25 Sep 2023</t>
  </si>
  <si>
    <t>KLM09-GW3QR-C6JLJ-XY5BT-FV3Y2-BTZ1K</t>
  </si>
  <si>
    <t>PD-21090065/001</t>
  </si>
  <si>
    <t>CV. Mekar Jaya Perkasa Weleri</t>
  </si>
  <si>
    <t>27 Sep 2021 – 26 Sep 2023</t>
  </si>
  <si>
    <t>KLM09-JCCW0-YLVRG-R85V4-8ZSQK-VQ4T6</t>
  </si>
  <si>
    <t>PD-21090069/001</t>
  </si>
  <si>
    <t>PO-03/09-21/XX23</t>
  </si>
  <si>
    <t>9 Oct 2021 – 8 Oct 2023</t>
  </si>
  <si>
    <t>KLM09-FBZ8S-PKM6J-BIFCP-YKEE5-FEE74</t>
  </si>
  <si>
    <t>PD-21090070/001</t>
  </si>
  <si>
    <t>PT. Bintang Suryasindo</t>
  </si>
  <si>
    <t>30 Sep 2021 – 29 Sep 2023</t>
  </si>
  <si>
    <t>KLM09-M8Q2B-MW2ME-SR8M8-CPGJ5-1TO10</t>
  </si>
  <si>
    <t>PD-21090071/001</t>
  </si>
  <si>
    <t>PT. Sinergi Pawan Jaya</t>
  </si>
  <si>
    <t>KLM09-OCF23-GWE0S-9OXYE-HRM5A-8J6KK</t>
  </si>
  <si>
    <t>PD-21090087/001</t>
  </si>
  <si>
    <t>999-21-00599</t>
  </si>
  <si>
    <t>PT. Indomobil Trada Nasional</t>
  </si>
  <si>
    <t>27 Sep 2021 - 26 Sep 2023</t>
  </si>
  <si>
    <t>Knox Configure Dynamic 2 Years</t>
  </si>
  <si>
    <t>KLM09-7Z3E9-SA3I3-75YXF-FX8UQ-541AG</t>
  </si>
  <si>
    <t>PD-21090088/001</t>
  </si>
  <si>
    <t>27 Sep 2023 - 26 Sep 2024</t>
  </si>
  <si>
    <t>PD-2110001/001</t>
  </si>
  <si>
    <t>1 Oct 2021 - 30 Sep 2022</t>
  </si>
  <si>
    <t>KLM09-D7RR9-OQTWH-4ZFIU-440RI-0CI9C</t>
  </si>
  <si>
    <t>PD-2110028/001</t>
  </si>
  <si>
    <t>PO-04/10-21/XX03</t>
  </si>
  <si>
    <t>PT. Tri Samudra Ambon</t>
  </si>
  <si>
    <t>KLM09-MYDK2-NTS42-ZVQKT-OUKQZ-T16AX</t>
  </si>
  <si>
    <t>PD-2110032/001</t>
  </si>
  <si>
    <t>PO-04/10-21/XX04</t>
  </si>
  <si>
    <t>13 Oct 2021 - 12 Oct 2023</t>
  </si>
  <si>
    <t>KLM09-IA137-LMXZW-ZH36B-J0NEO-PCLKD</t>
  </si>
  <si>
    <t>PD-2110033/001</t>
  </si>
  <si>
    <t>PT. Mungil Sejahtera</t>
  </si>
  <si>
    <t>KLM09-0SGLL-7T8MM-0DPBQ-ZH9PN-J5W5Q</t>
  </si>
  <si>
    <t>PD-2110034/001</t>
  </si>
  <si>
    <t>PT. Pratama Abadi Santoso</t>
  </si>
  <si>
    <t>KLM09-GBXAJ-WKSXW-XKSVW-UBVTO-HM03T</t>
  </si>
  <si>
    <t>PD-2110040/001</t>
  </si>
  <si>
    <t>PO-04/10-21/XX05</t>
  </si>
  <si>
    <t>PT. Kharisma Makmur Abadi Pontianak</t>
  </si>
  <si>
    <t>KLM09-GBHGX-9UJB8-K647Q-7YI3B-SWI1R</t>
  </si>
  <si>
    <t>PD-2110041/001</t>
  </si>
  <si>
    <t>PO-04/10-21/XX07</t>
  </si>
  <si>
    <t>15 Oct 2021 - 14 Oct 2023</t>
  </si>
  <si>
    <t>KLM09-FURB7-UF75M-A8F7A-PDVOH-6BIPX</t>
  </si>
  <si>
    <t>PD-2110044/001</t>
  </si>
  <si>
    <t>PO-04/10-21/XX08</t>
  </si>
  <si>
    <t>CV. Aneka Pangan Mitra Nusantara</t>
  </si>
  <si>
    <t>18 Oct 2021 - 17 Oct 2023</t>
  </si>
  <si>
    <t>KLM09-0JXF7-CPX3V-RET20-UEATD-EXPL0</t>
  </si>
  <si>
    <t>PD-2110067/001</t>
  </si>
  <si>
    <t>PO-04/10-21/XX09</t>
  </si>
  <si>
    <t>PT. Tompotika Raya Wonomulyo</t>
  </si>
  <si>
    <t>25 Oct 2021 - 24 Oct 2023</t>
  </si>
  <si>
    <t>KLM09-H3FZF-H45TD-1X0U7-ZF627-932TP</t>
  </si>
  <si>
    <t>PD-2110068/001</t>
  </si>
  <si>
    <t>PT. Gracia Utamajaya</t>
  </si>
  <si>
    <t>KLM09-CUIE4-F1P5O-CSCNT-DN6XH-SHR1Y</t>
  </si>
  <si>
    <t>PD-2110070/001</t>
  </si>
  <si>
    <t>PO-04/10-21/XX13</t>
  </si>
  <si>
    <t>PT. Lukindari Permata</t>
  </si>
  <si>
    <t>27 Oct 2021 - 26 Oct 2023</t>
  </si>
  <si>
    <t>KLM09-FSOV0-TJ4Y4-CMKM7-XK6JF-AD3T8</t>
  </si>
  <si>
    <t>PD-2110071/001</t>
  </si>
  <si>
    <t>KLM09-DQITF-UGVQN-NM0HZ-LEVIZ-84X2P</t>
  </si>
  <si>
    <t>PD-2110072/001</t>
  </si>
  <si>
    <t>CV. Bintang Pratama</t>
  </si>
  <si>
    <t>2 Dec 2021 - 1 Dec 2023</t>
  </si>
  <si>
    <t>KLM09-ISX65-HHS0D-4QILP-CIG0L-M2DJP</t>
  </si>
  <si>
    <t>PD-2110108/001</t>
  </si>
  <si>
    <t>PO-04/10-21/XX18</t>
  </si>
  <si>
    <t>PT. Cahaya Agung Cemerlang Godong</t>
  </si>
  <si>
    <t>11 Nov 2021 - 10 Nov 2023</t>
  </si>
  <si>
    <t>KLM09-ULI0E-1UT22-Q9VZL-9PD6E-5OQOA</t>
  </si>
  <si>
    <t>PD-2110109/001</t>
  </si>
  <si>
    <t>27 Nov 2021 - 26 Nov 2023</t>
  </si>
  <si>
    <t>KLM09-NWC66-T11B4-LPCNX-X2KN4-9O55C</t>
  </si>
  <si>
    <t>PD-21110043/001</t>
  </si>
  <si>
    <t>PO-04/11-21/XX03</t>
  </si>
  <si>
    <t>PT. Cahaya Agung Cemerlang Salatiga</t>
  </si>
  <si>
    <t>12 Nov 2021 - 11 Nov 2023</t>
  </si>
  <si>
    <t>KLM09-HEQJM-YO79X-DT7DD-E7JP8-BBM7U</t>
  </si>
  <si>
    <t>PD-21110044/001</t>
  </si>
  <si>
    <t>PO-04/11-21/XX04</t>
  </si>
  <si>
    <t>PT. Cahaya Agung Cemerlang Semarang</t>
  </si>
  <si>
    <t>KLM09-J509W-U72C2-EVPUU-YBHCB-DQANK</t>
  </si>
  <si>
    <t>PD-21110049/001</t>
  </si>
  <si>
    <t>PO-04/11-21/XX07</t>
  </si>
  <si>
    <t>CV. Makmur Jaya Abadi Bima</t>
  </si>
  <si>
    <t>KLM09-D35KK-P4GFA-BDRSI-52686-S0PHG</t>
  </si>
  <si>
    <t>PD-21110052/001</t>
  </si>
  <si>
    <t>PO-04/11-21/XX08</t>
  </si>
  <si>
    <t>PT. Agri Bintang Multi Niaga</t>
  </si>
  <si>
    <t>18 Nov 2021 - 17 Nov 2023</t>
  </si>
  <si>
    <t>KLM09-F34O3-QW8ZT-UHH7W-2H0H4-1V8GF</t>
  </si>
  <si>
    <t>PD-21110063/001</t>
  </si>
  <si>
    <t>PO-04/11-21/XX11</t>
  </si>
  <si>
    <t>19 Nov 2021 - 18 Nov 2023</t>
  </si>
  <si>
    <t>KLM09-74LX3-E8B7P-ICIP5-3ELBP-I3HCJ</t>
  </si>
  <si>
    <t>PD-21110079/001</t>
  </si>
  <si>
    <t>999-21-00795</t>
  </si>
  <si>
    <t>18 Nov 2021 - 17 Nov 2022</t>
  </si>
  <si>
    <t>KLM09-2M1OB-OL4FM-Z4M43-6A52F-9M6NG</t>
  </si>
  <si>
    <t>PD-21110086/001</t>
  </si>
  <si>
    <t>PO-04/11-21/XX14</t>
  </si>
  <si>
    <t>PT. Rukun Mitra Sejati</t>
  </si>
  <si>
    <t>23 Nov 2021 - 22 Nov 2023</t>
  </si>
  <si>
    <t>KLM09-NVD0T-CJQ13-CR0DM-AQ86T-IQGX0</t>
  </si>
  <si>
    <t>PD-21110088/001</t>
  </si>
  <si>
    <t>PO-04/11-21/XX16</t>
  </si>
  <si>
    <t>PT. Paris Jaya Mandiri</t>
  </si>
  <si>
    <t>20 Nov 2021 - 19 Nov 2023</t>
  </si>
  <si>
    <t>KLM09-GIJO8-RXU2N-B7325-U0V5G-PL8W8</t>
  </si>
  <si>
    <t>PD-21110092/001</t>
  </si>
  <si>
    <t>PO-04/11-21/XX18</t>
  </si>
  <si>
    <t>CV. Lima Satu Abadi</t>
  </si>
  <si>
    <t>25 Nov 2021 - 24 Nov 2023</t>
  </si>
  <si>
    <t>KLM09-24HYX-Z81JI-JCTRQ-EXL7K-EY8NJ</t>
  </si>
  <si>
    <t>PD-21110093/001</t>
  </si>
  <si>
    <t>PO/GDN2/2111/10028</t>
  </si>
  <si>
    <t>PT. Passion Abadi Korpora</t>
  </si>
  <si>
    <t>1 Dec 2021 - 30 Nov 2022</t>
  </si>
  <si>
    <t>KLM09-FF6PP-55J35-PKWNC-OGOAH-6O5FK</t>
  </si>
  <si>
    <t>PD-21120072/001</t>
  </si>
  <si>
    <t>PO-04/12-21/XX09</t>
  </si>
  <si>
    <t>PT. Andi Nurhadi Nusantara</t>
  </si>
  <si>
    <t>20 Dec 2021 - 19 Dec 2023</t>
  </si>
  <si>
    <t>KLM09-UI88R-Z2UKP-SAQHS-C60CS-BQLIQ</t>
  </si>
  <si>
    <t>PD-21120074/001</t>
  </si>
  <si>
    <t>Universitas Nahdlatul Ulama Surabaya</t>
  </si>
  <si>
    <t>23 Dec 2021 - 22 Dec 2023</t>
  </si>
  <si>
    <t>KLM09-MDPJI-TUOW1-EBPO9-SDOW2-G6WRD</t>
  </si>
  <si>
    <t>PD-21120087/001</t>
  </si>
  <si>
    <t>PO-04/12-21/XX14</t>
  </si>
  <si>
    <t>CV. Indah Baru Purwoharjo</t>
  </si>
  <si>
    <t>6 Feb 2022 – 5 Feb 2024</t>
  </si>
  <si>
    <t>KLM09-UKQ12-X4PQ2-D0N14-2JLUY-10OTK</t>
  </si>
  <si>
    <t>PD-21120088/001</t>
  </si>
  <si>
    <t>CV. Sinar Anugerah Semarang</t>
  </si>
  <si>
    <t>15 Jan 2022 – 14 Jan 2024</t>
  </si>
  <si>
    <t>KLM09-2JLEB-QS6KD-LVVLZ-KPK11-PVU6L</t>
  </si>
  <si>
    <t>PD-21120089/001</t>
  </si>
  <si>
    <t>27 Dec 2021 – 26 Dec 2023</t>
  </si>
  <si>
    <t xml:space="preserve">KLM09-68CMB-R5XZ5-MFNJI-GIQC6-1JI31 </t>
  </si>
  <si>
    <t>PD-21120090/001</t>
  </si>
  <si>
    <t>PT. Sinar Alima Tembhilahan</t>
  </si>
  <si>
    <t>KLM09-H717C-HCLKG-3J8VJ-A2V3L-E0ZMW</t>
  </si>
  <si>
    <t>PD-21120091/001</t>
  </si>
  <si>
    <t>CV. Sumber Berkat Abadi Kolaka</t>
  </si>
  <si>
    <t>KLM09-0J2O5-Q3805-6WUY0-C14HB-M9GBH</t>
  </si>
  <si>
    <t>PD-21120097/001</t>
  </si>
  <si>
    <t>PO-04/12-21/XX16</t>
  </si>
  <si>
    <t>CV. Lancar Jaya Prima Taliwang</t>
  </si>
  <si>
    <t>24 Jan 2021 - 23 Jan 2024</t>
  </si>
  <si>
    <t>KLM09-H35BV-VLH5S-62H4V-PCVAQ-BX3O2</t>
  </si>
  <si>
    <t>PD-21120115/001</t>
  </si>
  <si>
    <t>PO-04/12-21/XX26</t>
  </si>
  <si>
    <t>CV. Rukun Mitra Sejati Leuwiliang</t>
  </si>
  <si>
    <t>5 Jan 2021 - 4 Jan 2024</t>
  </si>
  <si>
    <t>KLM09-L1GQ7-8LQ9S-OVMQL-0J1Z3-ZEFUK</t>
  </si>
  <si>
    <t>PD-21120124/001</t>
  </si>
  <si>
    <t>PO-04/12-21/XX20</t>
  </si>
  <si>
    <t>PT. Anugrah Berkat Anda Rantau Prapat</t>
  </si>
  <si>
    <t>31 Dec 2021 – 30 Dec 2023</t>
  </si>
  <si>
    <t>KLM09-MISDF-SGNSQ-LZ6EX-2MY7O-JV9SM</t>
  </si>
  <si>
    <t>PD-21120125/001</t>
  </si>
  <si>
    <t>PO-04/12-21/XX23</t>
  </si>
  <si>
    <t>PT. Wicaksana Overseas Internasional Denpasar</t>
  </si>
  <si>
    <t>KLM09-AUAXG-XRK7Q-BLBCC-OKRX5-GURSD</t>
  </si>
  <si>
    <t>PD-21120126/001</t>
  </si>
  <si>
    <t>17 Mar 2022 - 16 Mar 2024</t>
  </si>
  <si>
    <t>KLM09-NXW65-1162P-SJ264-BTOXZ-S856B</t>
  </si>
  <si>
    <t>PD-21120127/001</t>
  </si>
  <si>
    <t>PT. Mandala Dharma Krida</t>
  </si>
  <si>
    <t>KLM09-2UCNW-SZL0F-FJ1JA-GNILH-TCX2H</t>
  </si>
  <si>
    <t>PD-21120128/001</t>
  </si>
  <si>
    <t>29 Jan 2022 - 28 Jan 2023</t>
  </si>
  <si>
    <t>PD-21120129/001</t>
  </si>
  <si>
    <t>PD-21120132/001</t>
  </si>
  <si>
    <t>29 Dec 2021 – 28 Dec 2022</t>
  </si>
  <si>
    <t>KLM09-UN2PA-N39EM-UW607-4ZVDQ-ZY947</t>
  </si>
  <si>
    <t>PD-21120136/001</t>
  </si>
  <si>
    <t>PO-04/12-21/XX28</t>
  </si>
  <si>
    <t>PT. Agung Maluku Tobelo</t>
  </si>
  <si>
    <t>5 Jan 2022 – 4 Jan 2024</t>
  </si>
  <si>
    <t>KLM09-HEX7R-YHLD8-YWM1F-NF82J-8N0ZY</t>
  </si>
  <si>
    <t>PD-21120137/001</t>
  </si>
  <si>
    <t>PT. Panamas Dwitama Probolinggo</t>
  </si>
  <si>
    <t>13 Apr 2022 – 12 Apr 2024</t>
  </si>
  <si>
    <t>KLM09-MJ97E-R6LVP-YM753-G3TPE-SBWQ7</t>
  </si>
  <si>
    <t>PD-22010001/001</t>
  </si>
  <si>
    <t>PO-01/01-22/XX02</t>
  </si>
  <si>
    <t>PT. Sinarmas Distribusi Nusantara Depok</t>
  </si>
  <si>
    <t>11 Feb 2022 – 10 Feb 2024</t>
  </si>
  <si>
    <t>KLM09-MDDN1-CSSNI-W0FKW-VIMY4-DYXZE</t>
  </si>
  <si>
    <t>PD-22010002/001</t>
  </si>
  <si>
    <t>PT. Sinarmas Distribusi Nusantara Cianjur</t>
  </si>
  <si>
    <t>7 Jan 2022 – 6 Jan 2024</t>
  </si>
  <si>
    <t>KLM09-6HKQX-E7O1P-NS33B-ZT25K-H0XI4</t>
  </si>
  <si>
    <t>PD-22010033/001</t>
  </si>
  <si>
    <t>B2B/PO2/2201/10008</t>
  </si>
  <si>
    <t>PT. Hartono Istana Teknologi</t>
  </si>
  <si>
    <t>6 Jan 2022 - 6 Feb 2022</t>
  </si>
  <si>
    <t>Knox Manage Monthly</t>
  </si>
  <si>
    <t>KLM09-AO50T-GKCJ4-066QY-ZOSXE-67A85</t>
  </si>
  <si>
    <t>PD-22010034/001</t>
  </si>
  <si>
    <t>PO-01/01-22/XX09</t>
  </si>
  <si>
    <t>PT. Wicaksana Overseas International Toraja</t>
  </si>
  <si>
    <t>14 Jan 2022 - 13 Jan 2024</t>
  </si>
  <si>
    <t>KLM09-CZ1QA-91CZH-01DN9-I2ED2-6GX2K</t>
  </si>
  <si>
    <t>PD-22010035/001</t>
  </si>
  <si>
    <t>PO-01/01-22/XX08</t>
  </si>
  <si>
    <t>CV. Jaya Subang</t>
  </si>
  <si>
    <t>12 Jan 2022 – 11 Jan 2024</t>
  </si>
  <si>
    <t>KLM09-NTPP6-J990I-9LV7N-IINZE-ZIYYK</t>
  </si>
  <si>
    <t>PD-22010036/001</t>
  </si>
  <si>
    <t>CV. Jaya Pirwakarta</t>
  </si>
  <si>
    <t>KLM09-24SMJ-ZIE2U-J1LAO-UVCNX-L6P2H</t>
  </si>
  <si>
    <t>PD-22010037/001</t>
  </si>
  <si>
    <t>PT. Rukun Mitra Sejati Gorontalo</t>
  </si>
  <si>
    <t>KLM09-NA4SF-O5S9S-EZUTU-1YIO8-6XOTD</t>
  </si>
  <si>
    <t>PD-22010040/001</t>
  </si>
  <si>
    <t>PO-01/01-22/XX12</t>
  </si>
  <si>
    <t>CV. Hana Prima Lestari</t>
  </si>
  <si>
    <t>21 Jan 2022 – 20 Jan 2024</t>
  </si>
  <si>
    <t>KLM09-7HX8J-JAWFR-6P0KM-1JJCQ-9IZ0F</t>
  </si>
  <si>
    <t>PD-22010041/001</t>
  </si>
  <si>
    <t>PT. Midisindo Citra Sari</t>
  </si>
  <si>
    <t>KLM09-A17NH-Q5F3W-PWIXK-ZU86M-E41RQ</t>
  </si>
  <si>
    <t>PD-22010042/001</t>
  </si>
  <si>
    <t>CV. Sikembar p Sidimpuan</t>
  </si>
  <si>
    <t>KLM09-2PP3B-OHEXJ-XMUIL-KEQ2G-7W0TR</t>
  </si>
  <si>
    <t>PD-22010043/001</t>
  </si>
  <si>
    <t>PT. Agung Maluku Ternate</t>
  </si>
  <si>
    <t>23 Mar 2022 – 22 Mar 2024</t>
  </si>
  <si>
    <t>KLM09-FP50M-8GH8E-AMKTJ-BCN2I-SMYAS</t>
  </si>
  <si>
    <t>PD-22010044/001</t>
  </si>
  <si>
    <t>KLM09-HYHJE-N2LPG-62MBV-5WS2S-0YNUP</t>
  </si>
  <si>
    <t>PD-22010045/001</t>
  </si>
  <si>
    <t>KLM09-RUYZ3-7E5LW-3ME06-VX2ZY-0LPCK</t>
  </si>
  <si>
    <t>PD-22010049/001</t>
  </si>
  <si>
    <t>14 Jan 2022 – 13 Jan 2023</t>
  </si>
  <si>
    <t>KLM09-HN14U-E7E1M-6FTLV-A393V-1VL3M</t>
  </si>
  <si>
    <t>PD-22010070/001</t>
  </si>
  <si>
    <t>PO-01/01-22/XX15</t>
  </si>
  <si>
    <t>CV. Amanah/ PT. Multi Karya Distribusi</t>
  </si>
  <si>
    <t>28 Jan 2022 – 27 Jan 2024</t>
  </si>
  <si>
    <t>KLM09-HZM29-B7D9T-ODPI8-I368E-Y11B3</t>
  </si>
  <si>
    <t>PD-22010071/001</t>
  </si>
  <si>
    <t>CV. Makmur Jaya</t>
  </si>
  <si>
    <t>31 Mar 2022 – 30 Mar 2024</t>
  </si>
  <si>
    <t>KLM09-CIMF4-VFTMG-2SYOQ-UYETZ-DLZ5E</t>
  </si>
  <si>
    <t>PD-22010072/001</t>
  </si>
  <si>
    <t>CV. Mitra Niaga Cemerlang Taluk Kuantan</t>
  </si>
  <si>
    <t>KLM09-IQ44B-BZ6HK-DIFAP-A9PVE-0L9UF</t>
  </si>
  <si>
    <t>PD-22010073/001</t>
  </si>
  <si>
    <t>PO-01/01-22/XX16</t>
  </si>
  <si>
    <t>CV. Sinar Mas Sejahtera - Palembang/ PT. Bintang Mas Pusaka</t>
  </si>
  <si>
    <t>20 Feb 2022 – 19 Feb 2024</t>
  </si>
  <si>
    <t>KLM09-ADN5L-SS1TR-3W42G-G79SJ-ROQ4U</t>
  </si>
  <si>
    <t>PD-22010076/001</t>
  </si>
  <si>
    <t>PO-01/01-22/XX17</t>
  </si>
  <si>
    <t>SERU</t>
  </si>
  <si>
    <t>26 Jan 2022 – 25 Jan 2024</t>
  </si>
  <si>
    <t>KLM09-A9G9J-E2P69-UFSNQ-SG7Y5-2C2JJ</t>
  </si>
  <si>
    <t>PD-22010083/001</t>
  </si>
  <si>
    <t>PO/GDN2/2201/10009</t>
  </si>
  <si>
    <t>PT YAKULT INDONESIA PERSADA</t>
  </si>
  <si>
    <t>25 Jan 2022 – 24 Jan 2024</t>
  </si>
  <si>
    <t>Extended Warranty 2 Year (Tablet) Mass Mid</t>
  </si>
  <si>
    <t>KLM10-GTRS6-O1HX7-Q4MZC-5PE7X-GR2CV</t>
  </si>
  <si>
    <t>PD-22010084/001</t>
  </si>
  <si>
    <t>PO/GDN2/2201/10016</t>
  </si>
  <si>
    <t>Extended Warranty 2 Year (Tablet) Mass Low</t>
  </si>
  <si>
    <t xml:space="preserve">KLM10-INQL1-X1GMG-2JX50-GN3RV-KKNIM </t>
  </si>
  <si>
    <t>PD-22010085/001</t>
  </si>
  <si>
    <t>01-22-0007</t>
  </si>
  <si>
    <t>18 Juli 2022 – 17 Juli 2023</t>
  </si>
  <si>
    <t>KLM09-FGPC9-CDZ5C-KB0XP-1E6RY-3I0GX</t>
  </si>
  <si>
    <t>PD-22010086/001</t>
  </si>
  <si>
    <t>PO-01/01-22/XX21</t>
  </si>
  <si>
    <t>PT. Rukun Mitra Sejati Manado</t>
  </si>
  <si>
    <t>31 Jan 2022 – 30 Jan 2024</t>
  </si>
  <si>
    <t>KLM09-CL9BV-7RVXR-GQTH9-Z9P9S-WV5A5</t>
  </si>
  <si>
    <t>PD-22010088/001</t>
  </si>
  <si>
    <t>PO/GDN2/2201/10014</t>
  </si>
  <si>
    <t>26 Jan 2022 – 25 Jan 2023</t>
  </si>
  <si>
    <t>PD-22010090/001</t>
  </si>
  <si>
    <t>PO-01/01-22/XX24</t>
  </si>
  <si>
    <t>U.D Sepakat Raya</t>
  </si>
  <si>
    <t>10 Mar 2022 - 9 Mar 2024</t>
  </si>
  <si>
    <t>KLM09-MIF60-5H3SR-2FO7M-CYNJY-XC4FL</t>
  </si>
  <si>
    <t>PD-22010091/001</t>
  </si>
  <si>
    <t>PT. Budi Distrindo Nusa</t>
  </si>
  <si>
    <t>KLM09-0CAW3-SR7I1-BWBUY-Y1HIH-JNF45</t>
  </si>
  <si>
    <t>PD-22010100/001</t>
  </si>
  <si>
    <t>B2B/PO2/2201/11028</t>
  </si>
  <si>
    <t>7 Feb 2022 - 6 Mar 2022</t>
  </si>
  <si>
    <t>PD-22010112/001</t>
  </si>
  <si>
    <t>PO/GDN2/2201/10027</t>
  </si>
  <si>
    <t>28 Jan 2022 – 27 Jan 2023</t>
  </si>
  <si>
    <t>KLM09-IC0GS-O8HO6-B8CJE-N92EH-WL0XZ</t>
  </si>
  <si>
    <t>PD-22020002/001</t>
  </si>
  <si>
    <t>PO-01/01-22/XX26</t>
  </si>
  <si>
    <t>CV. Palm Lipu Persada Labuha</t>
  </si>
  <si>
    <t>7 Feb 2022 – 6 Feb 2024</t>
  </si>
  <si>
    <t>KLM09-ISJ7P-TYTMH-5I77D-64FUQ-37GHO</t>
  </si>
  <si>
    <t>PD-22020003/001</t>
  </si>
  <si>
    <t>CV. Obral Baru</t>
  </si>
  <si>
    <t>6 Mar 2022 – 5 Mar 2024</t>
  </si>
  <si>
    <t>KLM09-CYJJL-6L66C-OYDHL-RC2PV-SQBSK</t>
  </si>
  <si>
    <t>PD-22020004/001</t>
  </si>
  <si>
    <t>PT. Plambo Pratama Jaya Santoso</t>
  </si>
  <si>
    <t>5 Feb 2022 – 4 Feb 2024</t>
  </si>
  <si>
    <t>KLM09-CJJGD-XD6PK-6BC0L-0CU9Z-OTC3V</t>
  </si>
  <si>
    <t>PD-22020005/001</t>
  </si>
  <si>
    <t>PO-01/02-22/XX01</t>
  </si>
  <si>
    <t>CV. Jaya Santoso Palopo</t>
  </si>
  <si>
    <t>9 Feb 2022 – 8 Feb 2024</t>
  </si>
  <si>
    <t>KLM09-0BPLY-56THL-MW9C2-048R5-Q8RJW</t>
  </si>
  <si>
    <t>PD-22020006/001</t>
  </si>
  <si>
    <t>PT. Plambo Pratama Joyosantoso Tegal</t>
  </si>
  <si>
    <t>KLM09-U8V7R-Q0A6F-MRKN2-L1PXO-FWSM2</t>
  </si>
  <si>
    <t>PD-22020008/001</t>
  </si>
  <si>
    <t>PO/GDN2/2202/10001</t>
  </si>
  <si>
    <t>4 Feb 2022 – 3 Feb 2023</t>
  </si>
  <si>
    <t>KLM09-IYJRX-R6NHD-KZ0Y9-5T6SE-0JRZY</t>
  </si>
  <si>
    <t>PD-22020039/001</t>
  </si>
  <si>
    <t>PT. Farrasindo Perkasa</t>
  </si>
  <si>
    <t>7 Feb 2022 – 6 Feb 2023</t>
  </si>
  <si>
    <t xml:space="preserve">KLM09-HXHPU-AFVZ1-SUXSF-GGWPJ-3UY1P </t>
  </si>
  <si>
    <t>PD-22020044/001</t>
  </si>
  <si>
    <t>999-22-00068</t>
  </si>
  <si>
    <t>10 Feb 2022 – 9 Feb 2023</t>
  </si>
  <si>
    <t>KLM09-IZBM1-4ZKU1-1FARX-KXAWO-0JEZH</t>
  </si>
  <si>
    <t>PD-22020045/001</t>
  </si>
  <si>
    <t>PO-01/02-22/XX06</t>
  </si>
  <si>
    <t>CV. Trio Sukses Mandiri</t>
  </si>
  <si>
    <t>14 Feb 2022 – 13 Feb 2024</t>
  </si>
  <si>
    <t>KLM09-3JZN4-YWHFO-RF5OJ-W039V-UOQWK</t>
  </si>
  <si>
    <t>PD-22020046/001</t>
  </si>
  <si>
    <t>29 Mei 2022 – 28 Mei 2024</t>
  </si>
  <si>
    <t>KLM09-CT2QL-RA0M3-SDXDN-09CH2-N182S</t>
  </si>
  <si>
    <t>PD-22020047/001</t>
  </si>
  <si>
    <t>PT. Wicaksana Overseas International Gorontalo</t>
  </si>
  <si>
    <t>18 Feb 2022 – 17 Feb 2024</t>
  </si>
  <si>
    <t>KLM09-CTG62-WK5S2-ASHIY-1UB0S-0SMP5</t>
  </si>
  <si>
    <t>PD-22020048/001</t>
  </si>
  <si>
    <t>CV. Dian Ayu Setiabudi</t>
  </si>
  <si>
    <t>KLM09-DVO8I-ZFZT6-JWKZH-COODA-9DTWK</t>
  </si>
  <si>
    <t>PD-22020049/001</t>
  </si>
  <si>
    <t>15 Feb 2022 – 14 Feb 2023</t>
  </si>
  <si>
    <t>KLM09-FYJ0S-I6PMS-KP9LB-74AW0-UYWHD</t>
  </si>
  <si>
    <t>PD-22020050/001</t>
  </si>
  <si>
    <t>PO/GDN2/2202/10010</t>
  </si>
  <si>
    <t>15 Feb 2022 – 14 Feb 2024</t>
  </si>
  <si>
    <t>KLM10-H8AWQ-MX6BU-LYHCZ-N8KM8-42HG4</t>
  </si>
  <si>
    <t>PD-22020052/001</t>
  </si>
  <si>
    <t>B2B/PO2/2202/10545</t>
  </si>
  <si>
    <t>16 Feb 2022 – 16 Mar 2022</t>
  </si>
  <si>
    <t>KLM09-AYMCD-ODE9F-9I8Z3-3L48C-AUIVM</t>
  </si>
  <si>
    <t>PD-22020075/001</t>
  </si>
  <si>
    <t>2 Mar 2022 – 1 Mar 2023</t>
  </si>
  <si>
    <t>PD-22020076/001</t>
  </si>
  <si>
    <t>PD-22020077/001</t>
  </si>
  <si>
    <t>PO-01/02-22/XX09</t>
  </si>
  <si>
    <t>Tri Samudra Ambon</t>
  </si>
  <si>
    <t>KLM09-H6GTZ-PSU35-RV789-SWT97-VX2H0</t>
  </si>
  <si>
    <t>PD-22020079/001</t>
  </si>
  <si>
    <t>PT. Expand Semesta Jaya Cileunyi</t>
  </si>
  <si>
    <t>23 Feb 2022 – 22 Feb 2024</t>
  </si>
  <si>
    <t>KLM09-AH157-E60HP-WCFSE-BSC5Z-NEZFM</t>
  </si>
  <si>
    <t>PD-22020080/001</t>
  </si>
  <si>
    <t>CV. Mega Mas Jaya Surade</t>
  </si>
  <si>
    <t>KLM09-UFQS5-AXX1C-7WL1L-60P4E-WON9A</t>
  </si>
  <si>
    <t>PD-22020087/001</t>
  </si>
  <si>
    <t>PD/22020024/002</t>
  </si>
  <si>
    <t>24 Feb 2022 – 23 Feb 2024</t>
  </si>
  <si>
    <t>KLM09-FLD46-9RFX1-8S9CG-2ARET-AHZBA</t>
  </si>
  <si>
    <t>PD-22020088/001</t>
  </si>
  <si>
    <t>17 Mar 2022 – 16 Mar 2024</t>
  </si>
  <si>
    <t>KLM09-HLSW7-596ER-1MQ3B-8GFUO-KL8WU</t>
  </si>
  <si>
    <t>PD-22020089/001</t>
  </si>
  <si>
    <t>24 Mar 2022 – 23 Mar 2024</t>
  </si>
  <si>
    <t>KLM09-MCIDP-RYI03-D26FC-1M4VJ-VLIRH</t>
  </si>
  <si>
    <t>PD-22020090/001</t>
  </si>
  <si>
    <t>PT. Bumi Jasa Utama</t>
  </si>
  <si>
    <t>25 Feb 2022 – 24 Feb 2024</t>
  </si>
  <si>
    <t>KLM09-2SZTM-OM1IU-OZBWG-HB4BA-IDYWN</t>
  </si>
  <si>
    <t>PD-22020091/001</t>
  </si>
  <si>
    <t>PT. Wicaksana Overseas International Ancol</t>
  </si>
  <si>
    <t>KLM09-6SCUW-2O21A-B12CU-8RZ9I-O9S7O</t>
  </si>
  <si>
    <t>PD-22020092/001</t>
  </si>
  <si>
    <t>CV. Usaha Baru</t>
  </si>
  <si>
    <t>KLM09-2YDD4-XGAJO-O8LMA-ZVJJL-YVFFZ</t>
  </si>
  <si>
    <t>PD-22020114/001</t>
  </si>
  <si>
    <t>PO-01/02-22/XX12</t>
  </si>
  <si>
    <t>4 Mar 2022 – 3 Mar 2024</t>
  </si>
  <si>
    <t>KLM09-N0RSW-55PRY-JB405-6DSWW-PLJG4</t>
  </si>
  <si>
    <t>PD-22020115/001</t>
  </si>
  <si>
    <t>CV. Teman Jaya Abadi</t>
  </si>
  <si>
    <t>KLM09-UCZMF-QKTN3-1M6LA-YVOF9-K4YRZ</t>
  </si>
  <si>
    <t>PD-22020116/001</t>
  </si>
  <si>
    <t>B2B/PO2/2202/11030</t>
  </si>
  <si>
    <t>1 Mar 2022 - 28 Feb 2023</t>
  </si>
  <si>
    <t>KLM09-NLNRF-3D69G-5G9PJ-2WCIQ-BDMB9</t>
  </si>
  <si>
    <t>PD-22030031/001</t>
  </si>
  <si>
    <t>PO-01/03-22/XX03</t>
  </si>
  <si>
    <t>PD. Indah Permai Group Lotin</t>
  </si>
  <si>
    <t>4 Juni 2022 – 3 Juni 2024</t>
  </si>
  <si>
    <t>KLM09-6OO7Y-FQ2GU-KGZ2B-1Q9N6-WW447</t>
  </si>
  <si>
    <t>PD-22030032/001</t>
  </si>
  <si>
    <t>PD. Indah Permai Group</t>
  </si>
  <si>
    <t>12 Mar 2022 – 11 Mar 2024</t>
  </si>
  <si>
    <t>KLM09-3Z79B-TU0DJ-UG58Z-KLR37-9DEXK</t>
  </si>
  <si>
    <t>PD-22030033/001</t>
  </si>
  <si>
    <t>PT. Sinar Alima Tembilahan</t>
  </si>
  <si>
    <t>11 Mar 2022 – 10 Mar 2024</t>
  </si>
  <si>
    <t>KLM09-COPZF-RR7QM-AWB3Y-RMZGQ-RBQ7K</t>
  </si>
  <si>
    <t>PD-22030034/001</t>
  </si>
  <si>
    <t>CV. Makmur Jaya Abadi</t>
  </si>
  <si>
    <t>KLM09-IUCXR-NMPTT-LVU4U-RK3C9-N7KZW</t>
  </si>
  <si>
    <t>PD-22030057/001</t>
  </si>
  <si>
    <t>PO/GDN2/2203/10006</t>
  </si>
  <si>
    <t>10 Mar 2022 – 9 Mar 2024</t>
  </si>
  <si>
    <t>Extended Warranty 2 Year (Smartphone) Mass Low</t>
  </si>
  <si>
    <t>KLM10-7YSDR-6JSQ2-GE4SQ-9NMPD-7K24I</t>
  </si>
  <si>
    <t>PD-22030058/001</t>
  </si>
  <si>
    <t>PO-01/03-22/XX06</t>
  </si>
  <si>
    <t>CV. Zan Puji Photo</t>
  </si>
  <si>
    <t>16 Mar 2022 – 15 Mar 2024</t>
  </si>
  <si>
    <t>KLM09-A4D2G-G6FO1-V5NF7-QXX24-JSW0D</t>
  </si>
  <si>
    <t>PD-22030070/001</t>
  </si>
  <si>
    <t>PO-01/03-22/XX09</t>
  </si>
  <si>
    <t>PT. Mahameru Putra Harmonis</t>
  </si>
  <si>
    <t>21 Mar 2022 - 20 Mar 2024</t>
  </si>
  <si>
    <t>KLM09-26CBR-DUDPD-NGGUO-MX9A4-1MJG4</t>
  </si>
  <si>
    <t>PD-22030071/001</t>
  </si>
  <si>
    <t>CV. Garindo</t>
  </si>
  <si>
    <t>KLM09-2SX8R-GCL6L-IYMIP-Z5JEG-TWMTO</t>
  </si>
  <si>
    <t>PD-22030074/001</t>
  </si>
  <si>
    <t>PO/BS/0322/0073</t>
  </si>
  <si>
    <t>26 Mar 2022 - 25 Mar 2024</t>
  </si>
  <si>
    <t>KLM09-UIS63-FXJZE-688J6-IENO0-XDCSC</t>
  </si>
  <si>
    <t>PD-22030101/001</t>
  </si>
  <si>
    <t>PO-01/03-22/XX15</t>
  </si>
  <si>
    <t>CV. Sumber Untung Lamongan</t>
  </si>
  <si>
    <t>24 Mar 2022 - 23 Mar 2024</t>
  </si>
  <si>
    <t>KLM09-FGYQD-BFY8W-VUSRS-8GZD6-CXBRA</t>
  </si>
  <si>
    <t>PD-22030102/001</t>
  </si>
  <si>
    <t>PT. Prima Bintang Permata</t>
  </si>
  <si>
    <t>KLM09-69YEG-L7QVH-NIUQP-5GSQM-I2U6A</t>
  </si>
  <si>
    <t>PD-22030103/001</t>
  </si>
  <si>
    <t>KLM09-2RR16-PRQXI-X9YM6-IY8MP-JDSHX</t>
  </si>
  <si>
    <t>PD-22030106/001</t>
  </si>
  <si>
    <t>PO-01/03-22/XX16</t>
  </si>
  <si>
    <t>PT. Panamas Dwitama Distrindo</t>
  </si>
  <si>
    <t>30 Mar 2022 - 29 Mar 2024</t>
  </si>
  <si>
    <t>KLM09-LN1UQ-YNN4P-EV9X5-Q39TE-VT7YK</t>
  </si>
  <si>
    <t>PD-22030107/001</t>
  </si>
  <si>
    <t>PT. Sinarmas Distribusi Nusantara Solo</t>
  </si>
  <si>
    <t>KLM09-7QJCY-WF6NY-1D8LV-LAGV3-SS5NU</t>
  </si>
  <si>
    <t>PD-22030108/001</t>
  </si>
  <si>
    <t>KLM09-2NNIT-MY57G-4W3S8-89BNF-Y2R0F</t>
  </si>
  <si>
    <t>PD-22030112/001</t>
  </si>
  <si>
    <t>PO-01/03-22/XX17</t>
  </si>
  <si>
    <t>31 Mar 2022 - 30 Mar 2024</t>
  </si>
  <si>
    <t>KLM09-0XUMN-210FT-OR3D2-5W7YG-SR4DX</t>
  </si>
  <si>
    <t>PD-22030113/001</t>
  </si>
  <si>
    <t>CV. Kiat Anugrah</t>
  </si>
  <si>
    <t>KLM09-FR8MR-SVO0X-CC33I-OQ661-SFUHR</t>
  </si>
  <si>
    <t>PD-22030114/001</t>
  </si>
  <si>
    <t>KLM09-I6L9F-RLBYF-4R9HR-F1O19-NS7KX</t>
  </si>
  <si>
    <t>PD-22030120/001</t>
  </si>
  <si>
    <t>PO-01/03-22/XX18</t>
  </si>
  <si>
    <t>5 Apr 2022 – 4 Apr 2024</t>
  </si>
  <si>
    <t>KLM09-0JUN1-R29FP-FS6BH-VJ0GY-Y23L2</t>
  </si>
  <si>
    <t>PD-22030121/001</t>
  </si>
  <si>
    <t>CV. Sinar Mekar Magelang</t>
  </si>
  <si>
    <t>KLM09-6ZRNM-U9YKK-3CIAT-QFN69-3SICA</t>
  </si>
  <si>
    <t>PD-22030122/001</t>
  </si>
  <si>
    <t>CV. Sinar Mekar Yogya</t>
  </si>
  <si>
    <t>KLM09-C5X67-SM42I-6FESV-K664B-SK92J</t>
  </si>
  <si>
    <t>PD-22030123/001</t>
  </si>
  <si>
    <t>KLM09-BNK8P-Q7L5G-GT25E-UOWHH-4QTUK</t>
  </si>
  <si>
    <t>PD-22030124/001</t>
  </si>
  <si>
    <t>KLM09-20EH1-NG572-9I0IR-S3EMN-2VKRU</t>
  </si>
  <si>
    <t>PD-22030125/001</t>
  </si>
  <si>
    <t>CV. Satrio Jaya Makmur</t>
  </si>
  <si>
    <t>KLM09-P6RUZ-K4Q6M-MLTKB-RTTQC-6YSNK</t>
  </si>
  <si>
    <t>PD-22030126/001</t>
  </si>
  <si>
    <t>PT. Inti Buana Raya</t>
  </si>
  <si>
    <t>KLM09-6XMG4-U7OE4-6B0X7-UX2IJ-ZEBM9</t>
  </si>
  <si>
    <t>PD-22030127/001</t>
  </si>
  <si>
    <t>PT. Plambo Jaya Santoso Tegal</t>
  </si>
  <si>
    <t>KLM09-CDH7S-RK7HV-CF8XI-VVXRK-LECZR</t>
  </si>
  <si>
    <t>PD-22030128/001</t>
  </si>
  <si>
    <t>PT. Padamatirta Wisesa Jember</t>
  </si>
  <si>
    <t>KLM09-AIAQB-6KWE2-O7RQT-LXDNQ-KF4P9</t>
  </si>
  <si>
    <t>PD-22030131/001</t>
  </si>
  <si>
    <t>PO-01/03-22/XX20</t>
  </si>
  <si>
    <t>6 Apr 2022 – 5 Apr 2024</t>
  </si>
  <si>
    <t>KLM09-NFK80-XNRFW-VPUGY-6F6BW-77U3D</t>
  </si>
  <si>
    <t>PD-22030132/001</t>
  </si>
  <si>
    <t>PT. K33 Distribusi</t>
  </si>
  <si>
    <t>KLM09-DUU6G-NLPNF-WZG2U-LA72V-UFMU7</t>
  </si>
  <si>
    <t>PD-22040003/001</t>
  </si>
  <si>
    <t>PO-02/04-22/XX03</t>
  </si>
  <si>
    <t>PT. Subur Lumintu Melak</t>
  </si>
  <si>
    <t>KLM09-ITBPW-1398S-85RWE-TD7QV-C3EMZ</t>
  </si>
  <si>
    <t>PD-22040004/001</t>
  </si>
  <si>
    <t>PT. Subur Lumintu 3</t>
  </si>
  <si>
    <t>KLM09-MLS6G-HKE6L-ODN7Z-NTQ8N-112IK</t>
  </si>
  <si>
    <t>PD-22040005/001</t>
  </si>
  <si>
    <t>PT. Subur Lumintu Bontang</t>
  </si>
  <si>
    <t>KLM09-70O9C-5E3FI-MJJMR-XHIZ2-M5F3M</t>
  </si>
  <si>
    <t>PD-22040006/001</t>
  </si>
  <si>
    <t>PT. K33 Palimanan</t>
  </si>
  <si>
    <t>KLM09-CVH1Q-SZNWZ-NET84-TMJHE-WW7UV</t>
  </si>
  <si>
    <t>PD-22040007/001</t>
  </si>
  <si>
    <t>PT. Subur Lumintu Sangatta</t>
  </si>
  <si>
    <t>KLM09-MOLD4-07SBJ-0MBJ4-CU9LS-2TMYQ</t>
  </si>
  <si>
    <t>PD-22040008/001</t>
  </si>
  <si>
    <t>PT. Subur Lumintu 2</t>
  </si>
  <si>
    <t>KLM09-CEU9X-TZV3N-LED8V-C3DMI-EJK0N</t>
  </si>
  <si>
    <t>PD-22040051/001</t>
  </si>
  <si>
    <t>PO-02/04-22/XX05</t>
  </si>
  <si>
    <t>PT. Rukun Mitra Sejati Gresik</t>
  </si>
  <si>
    <t>11 Apr 2022 – 10 Apr 2024</t>
  </si>
  <si>
    <t>KLM09-I87O8-H5JBQ-1VE0M-M87FN-AL68M</t>
  </si>
  <si>
    <t>PD-22040052/001</t>
  </si>
  <si>
    <t>PT. Segar Prima Laksana</t>
  </si>
  <si>
    <t>KLM09-F04OK-6PNR0-THT94-ORDC1-H81L5</t>
  </si>
  <si>
    <t>PD-22040053/001</t>
  </si>
  <si>
    <t>CV. Gemilang Artha Prima GT</t>
  </si>
  <si>
    <t>KLM09-C1ZN4-FN8ZR-N1637-231KA-MVBX9</t>
  </si>
  <si>
    <t>PD-22040054/001</t>
  </si>
  <si>
    <t>CV. Gemilang Artha Prima LMT</t>
  </si>
  <si>
    <t>KLM09-X9EXS-25QI3-1RJMC-EZQP5-KA0LK</t>
  </si>
  <si>
    <t>PD-22040055/001</t>
  </si>
  <si>
    <t>PT. Subur Lumintu LMT Samarinda</t>
  </si>
  <si>
    <t>KLM09-I4ICN-Z0GOG-DS5M0-O54HL-P45AZ</t>
  </si>
  <si>
    <t>PD-22040056/001</t>
  </si>
  <si>
    <t>PT. Adam Dani Lestari</t>
  </si>
  <si>
    <t>KLM09-B1Z78-T39VI-2MLFE-2G9QJ-0YJRK</t>
  </si>
  <si>
    <t>PD-22040057/001</t>
  </si>
  <si>
    <t>PT. Inti Sari Perkasa</t>
  </si>
  <si>
    <t>KLM09-DT7YG-R4PBK-02EF2-QIL5P-MAD6T</t>
  </si>
  <si>
    <t>PD-22040059/001</t>
  </si>
  <si>
    <t>PT. Padmatirta Wisesa Madiun</t>
  </si>
  <si>
    <t>KLM09-6HLBM-IXLRQ-EOO2Y-V8FSD-QF2RM</t>
  </si>
  <si>
    <t>PD-22040071/001</t>
  </si>
  <si>
    <t>PO/GDN2/2204/10006</t>
  </si>
  <si>
    <t>7 Apr 2022 – 6 Apr 2024</t>
  </si>
  <si>
    <t>KLM09-UAOZY-WQC44-YQ6NP-079K8-TFO99</t>
  </si>
  <si>
    <t>PD-22040075/001</t>
  </si>
  <si>
    <t>PO-02/04-22/XX08</t>
  </si>
  <si>
    <t>PD. Uni Primajaya</t>
  </si>
  <si>
    <t>KLM09-7CYPY-TK8IV-9HDJR-6III9-IMNJK</t>
  </si>
  <si>
    <t>PD-22040076/001</t>
  </si>
  <si>
    <t>PD. Andhika Primajaya</t>
  </si>
  <si>
    <t>KLM09-UBLSM-6ZBZQ-YR47I-5L1ZC-Z332K</t>
  </si>
  <si>
    <t>PD-22040077/001</t>
  </si>
  <si>
    <t>PT. Rukun Mitra Sejati Cibadak</t>
  </si>
  <si>
    <t>KLM09-II91J-RMTI0-8B675-HPFRG-K3X4Y</t>
  </si>
  <si>
    <t>PD-22040078/001</t>
  </si>
  <si>
    <t>PT. Cahaya Lestari Teguh Makmur</t>
  </si>
  <si>
    <t>KLM09-USH5G-9YLDO-WFE6E-LWILH-MAGRB</t>
  </si>
  <si>
    <t>PD-22040079/001</t>
  </si>
  <si>
    <t>PT. Plambopratama Joyosantoso Ajibarang</t>
  </si>
  <si>
    <t>KLM09-AAV7B-MMWIM-FEBLW-0Y69D-1UFMN</t>
  </si>
  <si>
    <t>PD-22040080/001</t>
  </si>
  <si>
    <t>KLM09-UQDVT-DAK8P-ZFVP2-QKUJC-BK9A9</t>
  </si>
  <si>
    <t>PD-22040088/001</t>
  </si>
  <si>
    <t>PO/GDN2/2204/10012</t>
  </si>
  <si>
    <t>Kalbe Farma</t>
  </si>
  <si>
    <t>KLM09-GII06-QR3ZV-WK8JS-G51QP-5OCPK</t>
  </si>
  <si>
    <t>26 Apr 2022 - 25 Apr 2024</t>
  </si>
  <si>
    <t>KLM09-GHXCU-Y8F5F-W3LSW-YAD5G-0FU2G</t>
  </si>
  <si>
    <t>12 Mei 2022 - 11 Mei 2024</t>
  </si>
  <si>
    <t>KLM09-APW16-EEOH9-FNXDO-IHQD0-T6DSX</t>
  </si>
  <si>
    <t>PD-22040092/001</t>
  </si>
  <si>
    <t>PO-02/04-22/XX11</t>
  </si>
  <si>
    <t>PT. Bintang Suryasindo Lahat</t>
  </si>
  <si>
    <t>19 Apr 2022 - 18 Apr 2024</t>
  </si>
  <si>
    <t>KLM09-CVGA2-N7EWS-UIS6F-9BGJY-UDC84</t>
  </si>
  <si>
    <t>PD-22040093/001</t>
  </si>
  <si>
    <t>KLM09-DRNQB-ZO1D5-WAS9Z-LWZVW-H1NRD</t>
  </si>
  <si>
    <t>PD-22040099/001</t>
  </si>
  <si>
    <t>PO-02/04-22/XX15</t>
  </si>
  <si>
    <t>PT. Cahaya Mahakam Samarinda</t>
  </si>
  <si>
    <t>22 Apr 2022 - 21 Apr 2024</t>
  </si>
  <si>
    <t>KLM09-GVPU0-Z39MC-VIGGJ-T54LE-46UMJ</t>
  </si>
  <si>
    <t>PD-22040101/001</t>
  </si>
  <si>
    <t>CV. Sumber Jitu Tuban</t>
  </si>
  <si>
    <t>KLM09-CU83R-0JOMC-BPVRB-3GBLD-OWAMP</t>
  </si>
  <si>
    <t>PD-22040103/001</t>
  </si>
  <si>
    <t>CV. Sumber Jitu Tuban LMT</t>
  </si>
  <si>
    <t>KLM09-28UOW-49ZVZ-U5SW5-YDJBC-18A5T</t>
  </si>
  <si>
    <t>PD-22040158/001</t>
  </si>
  <si>
    <t>PO-02/04-22/XX18</t>
  </si>
  <si>
    <t>CV. Teman Jaya Abadi GT</t>
  </si>
  <si>
    <t>28 Apr 2022 – 27 Apr 2024</t>
  </si>
  <si>
    <t>KLM09-ISLYJ-EV1W6-57SIC-63OPZ-2X62H</t>
  </si>
  <si>
    <t>PD-22040159/001</t>
  </si>
  <si>
    <t>CV. Teman Jaya Abadi LMT</t>
  </si>
  <si>
    <t>KLM09-FB3EI-XIQZ4-0EP9H-MGUWK-8BPVN</t>
  </si>
  <si>
    <t>PD-22040160/001</t>
  </si>
  <si>
    <t>26 Jun 2022 – 25 Jun 2024</t>
  </si>
  <si>
    <t>KLM09-USBPT-5H2GJ-MGBA2-XV9HO-PWIXA</t>
  </si>
  <si>
    <t>PD-22050002/001</t>
  </si>
  <si>
    <t>PO-02/04-22/XX21</t>
  </si>
  <si>
    <t>20 May 2022 – 19 May 2024</t>
  </si>
  <si>
    <t>KLM09-GQ9PX-01Z3N-AVUR0-EV6YB-LJZPS</t>
  </si>
  <si>
    <t>PD-22050003/001</t>
  </si>
  <si>
    <t>PT. Uni Primajaya Pontianak</t>
  </si>
  <si>
    <t>KLM09-I444S-3LYTX-KPHKI-GESYA-YS0F1</t>
  </si>
  <si>
    <t>PD-22050004/001</t>
  </si>
  <si>
    <t>PO/GDN2/2204/10029</t>
  </si>
  <si>
    <t>10 May 2022 - 9 May 2024</t>
  </si>
  <si>
    <t>KLM10-MA1MN-FK3C2-4WI6Q-ZM1WP-6G435</t>
  </si>
  <si>
    <t>PD-22050048/001</t>
  </si>
  <si>
    <t>PO-02/05-22/XX02</t>
  </si>
  <si>
    <t>18 May 2022 - 17 May 2024</t>
  </si>
  <si>
    <t>KLM09-HQ5TM-EXALJ-67XIL-8CNKU-2JJ1Z</t>
  </si>
  <si>
    <t>PD-22050049/001</t>
  </si>
  <si>
    <t>KLM09-H3E9R-9I5ZC-MA4C0-DZN7G-692NF</t>
  </si>
  <si>
    <t>PD-22050054/001</t>
  </si>
  <si>
    <t>PO-02/05-22/XX05</t>
  </si>
  <si>
    <t>CV. Cahaya Angkasa Timur</t>
  </si>
  <si>
    <t>20 May 2022 - 19 May 2024</t>
  </si>
  <si>
    <t>KLM09-DAEKD-Q8IG7-SJUTK-JHIFJ-HADO2</t>
  </si>
  <si>
    <t>PD-22050055/001</t>
  </si>
  <si>
    <t>PT. Superita Mitrajaya Sukses</t>
  </si>
  <si>
    <t>4 Juni 2022 - 3 Juni 2024</t>
  </si>
  <si>
    <t>KLM09-M0ZOV-4ISNM-ZNVNW-4ZJLE-8P1HE</t>
  </si>
  <si>
    <t>PD-22050059/001</t>
  </si>
  <si>
    <t>PO-02/05-22/XX10</t>
  </si>
  <si>
    <t>PT. Padmatirta Wisesa Kediri</t>
  </si>
  <si>
    <t>25 May 2022 - 24 May 2024</t>
  </si>
  <si>
    <t>KLM09-7A5VG-IXA51-5QLDI-YKNVU-499UN</t>
  </si>
  <si>
    <t>PD-22050060/001</t>
  </si>
  <si>
    <t>PD. Indah Permai Group Mataram</t>
  </si>
  <si>
    <t>KLM09-CGVPB-E9AJO-C7HHI-2R146-ASD2V</t>
  </si>
  <si>
    <t>PD-22050062/001</t>
  </si>
  <si>
    <t>999-22-00304</t>
  </si>
  <si>
    <t>24 May 2022 - 23 May 2023</t>
  </si>
  <si>
    <t>KLM09-M6CN4-6IVDZ-MYOG5-QYLEI-OD95R</t>
  </si>
  <si>
    <t>PD-22050065/001</t>
  </si>
  <si>
    <t>PO-02/05-22/XX16</t>
  </si>
  <si>
    <t>PT. Rukun Mitra Sejati Bekasi</t>
  </si>
  <si>
    <t>31 May 2022 - 30 May 2024</t>
  </si>
  <si>
    <t>KLM09-7OAOK-51X00-ICKIF-799FA-SYERG</t>
  </si>
  <si>
    <t>PD-22060032/001</t>
  </si>
  <si>
    <t>PO-02/06-22/XX01</t>
  </si>
  <si>
    <t>30 Juni 2022 - 29 Juni 2024</t>
  </si>
  <si>
    <t>KLM09-0O9PN-NM29K-86ADG-50CSQ-P9CH9</t>
  </si>
  <si>
    <t>PD-22060033/001</t>
  </si>
  <si>
    <t>CV. Naicom Mandiri Sentani</t>
  </si>
  <si>
    <t>29 Juni 2022 - 28 Juni 2024</t>
  </si>
  <si>
    <t>KLM09-EF6J2-3Q31W-JMIVN-I7PDB-Z1CTK</t>
  </si>
  <si>
    <t>PD-22060035/001</t>
  </si>
  <si>
    <t>PD-22050011/0011</t>
  </si>
  <si>
    <t>PT. Bahtera Wiraniaga Internusa</t>
  </si>
  <si>
    <t>7 Juni 2022 - 6 Juni 2023</t>
  </si>
  <si>
    <t>KLM09-NWAZE-2361E-Y8YGO-76CSD-C1JCE</t>
  </si>
  <si>
    <t>PD-22060036/001</t>
  </si>
  <si>
    <t>PO-02/06-22/XX08</t>
  </si>
  <si>
    <t>CV. Jembar Rahayu Putera</t>
  </si>
  <si>
    <t>15 Juni 2022 - 14 Juni 2024</t>
  </si>
  <si>
    <t>KLM09-6UZ7B-L8UAM-MI4D2-OBSJJ-5LMW5</t>
  </si>
  <si>
    <t>PD-22060037/001</t>
  </si>
  <si>
    <t>CV. Jembar Rahayu Putra</t>
  </si>
  <si>
    <t>6 Aug 2022 - 5 Aug 2024</t>
  </si>
  <si>
    <t>KLM09-CITCL-DVI17-4YZRS-P5SJ7-PN73R</t>
  </si>
  <si>
    <t>PD-22060039/001</t>
  </si>
  <si>
    <t>PO/GDN2/2206/10004</t>
  </si>
  <si>
    <t>9 Juni 2022 - 8 Juni 2023</t>
  </si>
  <si>
    <t>KLM09-I0DKS-OZ6ZS-Z4YZC-64VVK-7PG40</t>
  </si>
  <si>
    <t>PD-22060041/001</t>
  </si>
  <si>
    <t>KLM09-IZ7G0-EPJKU-K9RAL-8VOTC-SEK49</t>
  </si>
  <si>
    <t>PD-22060054/001</t>
  </si>
  <si>
    <t>PO/GDN2/2206/10033</t>
  </si>
  <si>
    <t>PT. Buana Sukses Pratama</t>
  </si>
  <si>
    <t>PT. Berlian Abadi Korpora</t>
  </si>
  <si>
    <t>28 Juni 2022 - 27 Juni 2023</t>
  </si>
  <si>
    <t>KLM09-22H1R-Q9EHY-FMSSU-6LZA3-OG02V</t>
  </si>
  <si>
    <t>PD-22060118/001</t>
  </si>
  <si>
    <t>KLM09-GYDXC-CHLVB-0J4DX-8V4U1-QYLNO</t>
  </si>
  <si>
    <t>PD-22060076/001</t>
  </si>
  <si>
    <t>PO/GDN2/2206/10032</t>
  </si>
  <si>
    <t>25 Juni 2022 - 24 Juni 2024</t>
  </si>
  <si>
    <t>KLM09-A6E9E-BVH60-21FOL-44SSP-F6UDO</t>
  </si>
  <si>
    <t>PD-22060087/001</t>
  </si>
  <si>
    <t>PO-02/06-22/XX19</t>
  </si>
  <si>
    <t>CV. Cahaya Anugerah Abadi</t>
  </si>
  <si>
    <t>20 Juni 2022 - 19 Juni 2024</t>
  </si>
  <si>
    <t>KLM09-Y82ZH-48R8J-VI2AJ-M6WCA-WQU4K</t>
  </si>
  <si>
    <t>PD-22060088/001</t>
  </si>
  <si>
    <t>CV. Jaya</t>
  </si>
  <si>
    <t>KLM09-IUQOS-8LNV2-UJ8EY-TH1N6-LETDV</t>
  </si>
  <si>
    <t>PD-22060089/001</t>
  </si>
  <si>
    <t>KLM09-G2RV8-SPIJA-N8JDL-TBIN0-WTP2R</t>
  </si>
  <si>
    <t>PD-22060093/001</t>
  </si>
  <si>
    <t>PO-02/06-22/XX21</t>
  </si>
  <si>
    <t>21 Juni 2022 - 20 Juni 2024</t>
  </si>
  <si>
    <t>KLM09-11DQC-ZLCC7-SJQET-HQNOJ-TNRCK</t>
  </si>
  <si>
    <t>PD-22060097/001</t>
  </si>
  <si>
    <t>20 Juni 2022 – 19 Juni 2023</t>
  </si>
  <si>
    <t>PD-22060098/001</t>
  </si>
  <si>
    <t>PD-22060099/001</t>
  </si>
  <si>
    <t>19 Juli 2022 – 18 Juli 2023</t>
  </si>
  <si>
    <t>PD-22060100/001</t>
  </si>
  <si>
    <t>PD-22060101/001</t>
  </si>
  <si>
    <t>17 Aug 2022 – 16 Aug 2023</t>
  </si>
  <si>
    <t>PD-22060102/001</t>
  </si>
  <si>
    <t>PD-22060105/001</t>
  </si>
  <si>
    <t>PD-22060016/001</t>
  </si>
  <si>
    <t>29 Juni 2022 - 28 Juni 2023</t>
  </si>
  <si>
    <t>PD-22060115/001</t>
  </si>
  <si>
    <t>PO-02/06-22/XX28</t>
  </si>
  <si>
    <t>PT. Rukun Mitra Sejati Kalianda</t>
  </si>
  <si>
    <t>KLM09-H4K9O-W9G6U-2JIJF-R5LLY-BL53W</t>
  </si>
  <si>
    <t>PD-22060119/001</t>
  </si>
  <si>
    <t>PO/BS/0622/0186</t>
  </si>
  <si>
    <t>KLM09-PK32Y-Z01WF-LMWT5-JK87O-SLUPK</t>
  </si>
  <si>
    <t>PD-22060123/001</t>
  </si>
  <si>
    <t>PD-22060017/001</t>
  </si>
  <si>
    <t>1 Juli 2022 - 30 Juni 2023</t>
  </si>
  <si>
    <t>PD-22060124/001</t>
  </si>
  <si>
    <t>PO-02/06-22/XX35</t>
  </si>
  <si>
    <t>PT. Rahmat Lie Utama</t>
  </si>
  <si>
    <t>6 Juli 2022 - 5 Juli 2024</t>
  </si>
  <si>
    <t>KLM09-IF47N-0VQYL-DUNUK-CJ5LA-IO0AV</t>
  </si>
  <si>
    <t>PD-22070040/001</t>
  </si>
  <si>
    <t>PO-03/07-22/XX01</t>
  </si>
  <si>
    <t>PT. Belmonte Alam Anugerah Ternate</t>
  </si>
  <si>
    <t>29 Juli 2022 - 28 Juli 2024</t>
  </si>
  <si>
    <t>KLM09-HQT96-H6DKS-AW46A-QACEH-CED6M</t>
  </si>
  <si>
    <t>PD-22070044/001</t>
  </si>
  <si>
    <t>PT. Graha Seribusatu Jaya</t>
  </si>
  <si>
    <t>21 Juli 2022 - 20 Juli 2023</t>
  </si>
  <si>
    <t>PD-22070045/001</t>
  </si>
  <si>
    <t>PD-22070046/001</t>
  </si>
  <si>
    <t>PO/BS/0722/0043</t>
  </si>
  <si>
    <t>14 Juli 2022 - 13 Juli 2023</t>
  </si>
  <si>
    <t>KLM09-LG6FX-VBHN0-6ORTE-GU6U9-VQU1K</t>
  </si>
  <si>
    <t>05-22-0209</t>
  </si>
  <si>
    <t>1 Aug 2022 - 31 Juli 2023</t>
  </si>
  <si>
    <t>KLM09-IT1N7-4HDRQ-X0GST-GTVDQ-KHDR9</t>
  </si>
  <si>
    <t>PD-22070065/001</t>
  </si>
  <si>
    <t>PO-03/07-22/XX11</t>
  </si>
  <si>
    <t>CV. Aneka Makmur Sejati Gorontalo</t>
  </si>
  <si>
    <t>20 Juli 2022 - 19 Juli 2024</t>
  </si>
  <si>
    <t>KLM09-894BI-FNELF-8YWH8-7JU6S-5BZZK</t>
  </si>
  <si>
    <t>PD-22070066/001</t>
  </si>
  <si>
    <t>CV. Binyang Pratama</t>
  </si>
  <si>
    <t>KLM09-6F9T6-7W539-NJVBK-PLQFA-CI7U1</t>
  </si>
  <si>
    <t>PD-22070080/001</t>
  </si>
  <si>
    <t>PO/GDN2/2207/10017</t>
  </si>
  <si>
    <t>19 Juli 2022 - 18 Juli 2023</t>
  </si>
  <si>
    <t>KLM09-DYCU9-15JEK-6JXIO-OYJF1-N563P</t>
  </si>
  <si>
    <t>PD-22070097/001</t>
  </si>
  <si>
    <t>PO/GDN2/2207/10023</t>
  </si>
  <si>
    <t>7 Aug 2022 - 6 Aug 2024</t>
  </si>
  <si>
    <t>KLM09-GM65M-4NV3E-3IR6M-LCDAJ-TMXPI</t>
  </si>
  <si>
    <t>PD-22070098/001</t>
  </si>
  <si>
    <t>3 Aug 2022 - 2 Aug 2024</t>
  </si>
  <si>
    <t>KLM09-70FB0-TQZ2D-JHGH3-NTLD0-P78OR</t>
  </si>
  <si>
    <t>PD-22070100/001</t>
  </si>
  <si>
    <t>21 Juli 2022 - 21 Aug 2022</t>
  </si>
  <si>
    <t>KLM09-C6DBJ-N4TAG-PGTBO-NFXEF-0B7IT</t>
  </si>
  <si>
    <t>PD-22070114/001</t>
  </si>
  <si>
    <t>PO-03/07-22/XX16</t>
  </si>
  <si>
    <t>PT. Sinarmas Distribusi Nusantara Serpong</t>
  </si>
  <si>
    <t>4 Aug 2022 - 3 Aug 2024</t>
  </si>
  <si>
    <t>KLM09-6LRU4-BCQLZ-U6E5G-AGNP8-2ZITX</t>
  </si>
  <si>
    <t>PD-22070115/001</t>
  </si>
  <si>
    <t>PT. Sinarmas Distribusi Nusantara Jonggol</t>
  </si>
  <si>
    <t>KLM09-A00TZ-LR0L6-IE29R-GL9XB-RZKR6</t>
  </si>
  <si>
    <t>PD-22070116/001</t>
  </si>
  <si>
    <t>PT. Sinarmas Distribusi Nusantara Pulogadung</t>
  </si>
  <si>
    <t>9 Aug 2022 - 8 Aug 2024</t>
  </si>
  <si>
    <t>KLM09-0YL8N-XKEPD-G08H5-N2GE4-93E93</t>
  </si>
  <si>
    <t>PD-22070117/001</t>
  </si>
  <si>
    <t>PO/GDN2/2207/10033</t>
  </si>
  <si>
    <t>26 Juli 2022 - 25 Juli 2023</t>
  </si>
  <si>
    <t>KLM09-69G78-R0H19-PBF33-6KVDD-JOYT4</t>
  </si>
  <si>
    <t>PD-22070119/001</t>
  </si>
  <si>
    <t>PO-03/07-22/XX21</t>
  </si>
  <si>
    <t>PT. Cakrawala Distribusi Indonesia Merauke</t>
  </si>
  <si>
    <t>2 Aug 2022 - 1 Aug 2024</t>
  </si>
  <si>
    <t>KLM09-F96II-FERO0-EXTLP-MS800-PE105</t>
  </si>
  <si>
    <t>PD-22070120/001</t>
  </si>
  <si>
    <t>PT. Agung Maluku Sofifi</t>
  </si>
  <si>
    <t>5 Aug 2022 - 4 Aug 2024</t>
  </si>
  <si>
    <t>KLM09-6Z8VF-IK6WN-MWXN6-H8HBA-VNN6Q</t>
  </si>
  <si>
    <t>PD-22070125/001</t>
  </si>
  <si>
    <t>PO/GDN2/2207/10045</t>
  </si>
  <si>
    <t>PT. Home Center Indonesia</t>
  </si>
  <si>
    <t>Extended Warranty 1 Year (Tablet) Mass Mid</t>
  </si>
  <si>
    <t>KLM10-MDS7H-1P9TK-E4A3H-MXU4D-QV3IV</t>
  </si>
  <si>
    <t>PD-22080022/001</t>
  </si>
  <si>
    <t>PO-03/08-22/XX04</t>
  </si>
  <si>
    <t>CV. Sukses Utama</t>
  </si>
  <si>
    <t>8 Aug 2022 - 7 Aug 2024</t>
  </si>
  <si>
    <t>KLM09-HRF2O-Y222F-3JPZD-8P28L-7LTFM</t>
  </si>
  <si>
    <t>PD-22080104/001</t>
  </si>
  <si>
    <t>181/PO/SMPPA.YPA/VIII/2022</t>
  </si>
  <si>
    <t>22 Aug 2022 - 21 Aug 2024</t>
  </si>
  <si>
    <t>KLM09-NA44V-WGLRO-JF1O0-0URSO-FPCHD</t>
  </si>
  <si>
    <t>PD-22080110/001</t>
  </si>
  <si>
    <t>PO202200347</t>
  </si>
  <si>
    <t>09 Sep 2022 - 08 Sep 2023</t>
  </si>
  <si>
    <t>KLM09-MAW8T-9D9G9-2XB95-N5WPK-XQGG1</t>
  </si>
  <si>
    <t>PD-22080114/001</t>
  </si>
  <si>
    <t>PO/GDN2/2208/10044</t>
  </si>
  <si>
    <t>KLM09-MT95U-LEE8E-AJ19R-7Z572-R37WM</t>
  </si>
  <si>
    <t>PD-22080119/001</t>
  </si>
  <si>
    <t>PO/GDN2/2208/10049</t>
  </si>
  <si>
    <t>29 Aug 2022 - 28 Aug 2023</t>
  </si>
  <si>
    <t>KLM09-6ZE42-6NP28-83SMJ-XYVTA-2OK9J</t>
  </si>
  <si>
    <t>PD-22080125/001</t>
  </si>
  <si>
    <t>001/B2B-PO-SUB/08/2022</t>
  </si>
  <si>
    <t>Buminet</t>
  </si>
  <si>
    <t>Pondok Pesantren Darul Falaj</t>
  </si>
  <si>
    <t>31 Aug 2022 - 30 Aug 2023</t>
  </si>
  <si>
    <t>KLM09-2H6G7-82QOG-EJLZS-PWMPI-JXPNZ</t>
  </si>
  <si>
    <t>PD-22080056/001</t>
  </si>
  <si>
    <t>21 Aug 2022 - 21 Sep 2022</t>
  </si>
  <si>
    <t>PD-22090032/001</t>
  </si>
  <si>
    <t>999-22-00529</t>
  </si>
  <si>
    <t>7 Sep 2022 - 6 Sep 2023</t>
  </si>
  <si>
    <t>KLM09-GAJML-1OWJ1-XIU1V-O2QID-8JVI0</t>
  </si>
  <si>
    <t>PD-22090046/001</t>
  </si>
  <si>
    <t>8 Oct 2022 – 7 Oct 2023</t>
  </si>
  <si>
    <t>KLM09-U1J9V-EQF2O-TER0E-OCD54-XNYXU</t>
  </si>
  <si>
    <t>PD-22090047/001</t>
  </si>
  <si>
    <t>23 Nov 2022 – 22 Nov 2023</t>
  </si>
  <si>
    <t>PD-22090048/001</t>
  </si>
  <si>
    <t>KLM09-20YQ6-TR6EQ-8HZUV-APFFY-QWS6I</t>
  </si>
  <si>
    <t>PD-22090049/001</t>
  </si>
  <si>
    <t>PD-22090050/001</t>
  </si>
  <si>
    <t>7 Dec 2022 – 6 Dec 2023</t>
  </si>
  <si>
    <t>Knox Suite 1 Year</t>
  </si>
  <si>
    <t>KLM11-22DN1-D4SDO-G7TOB-Q9B6T-ZZDM8</t>
  </si>
  <si>
    <t>PD-22090051/001</t>
  </si>
  <si>
    <t>8 Sep 2022 – 7 Sep 2023</t>
  </si>
  <si>
    <t>KLM09-JDQV5-QFLWC-17FC3-57DM2-KPWO0</t>
  </si>
  <si>
    <t>PD-22090059/001</t>
  </si>
  <si>
    <t>PO/GDN2/2209/10011</t>
  </si>
  <si>
    <t>9 Sep 2022 - 8 Sep 2023</t>
  </si>
  <si>
    <t>KLM10-IUC5J-XI1YM-TKUY3-QJDVI-WE9FM</t>
  </si>
  <si>
    <t>PD-22090065/001</t>
  </si>
  <si>
    <t>PD-22090001/001</t>
  </si>
  <si>
    <t>Nusa Prima Cipta</t>
  </si>
  <si>
    <t>12 Sep 2022 - 11 Sep 2023</t>
  </si>
  <si>
    <t>KLM09-FZIW7-EWSRM-26EU5-OLK31-SDSCC</t>
  </si>
  <si>
    <t>PD-22090098/001</t>
  </si>
  <si>
    <t>PT. Binausaha Karta Arkasa</t>
  </si>
  <si>
    <t>22 Sep 2022 – 21 Sep 2024</t>
  </si>
  <si>
    <t>KLM09-IY3YW-ZO6A2-G43ZZ-Q1BUI-AD7KU</t>
  </si>
  <si>
    <t>PD-22090107/001</t>
  </si>
  <si>
    <t>PO-03/09-22/XX24</t>
  </si>
  <si>
    <t>30 Sep 2022 - 29 Sep 2024</t>
  </si>
  <si>
    <t>KLM09-6B3X2-UPHMI-NK014-K0YJJ-KOQIP</t>
  </si>
  <si>
    <t>PD-22090109/001</t>
  </si>
  <si>
    <t>999-22-00580</t>
  </si>
  <si>
    <t>29 Sep 2022 – 28 Sep 2023</t>
  </si>
  <si>
    <t>KLM09-2ZJ5X-0BUVO-04LJ3-AHWG5-V0YQ1</t>
  </si>
  <si>
    <t>PD-22090099/001</t>
  </si>
  <si>
    <t>22 Sep 2022 - 21 Oct 2022</t>
  </si>
  <si>
    <t>PD-22100104/001</t>
  </si>
  <si>
    <t>28 Oct 2022 - 27 Oct 2023</t>
  </si>
  <si>
    <t>KLM09-MDIT2-KN0W7-YMB2H-XA5AS-S3ZU2</t>
  </si>
  <si>
    <t>PD-22100085/001</t>
  </si>
  <si>
    <t>22 Oct 2022 - 21 Nov 2022</t>
  </si>
  <si>
    <t>PD-22100088/001</t>
  </si>
  <si>
    <t>14 Oct 2022 - 14 Nov 2022</t>
  </si>
  <si>
    <t>KLM09-C0WOW-DGJJ8-36LLZ-V2P58-9ST8D</t>
  </si>
  <si>
    <t>PD-22110087/001</t>
  </si>
  <si>
    <t>096/PO/SI/PT/XI/2022</t>
  </si>
  <si>
    <t>PT. Sugyo Indonesia</t>
  </si>
  <si>
    <t>21 Nov 2022 - 20 Nov 2023</t>
  </si>
  <si>
    <t>KLM09-GU371-XZB5D-H79R2-BRP2Q-P1WX4</t>
  </si>
  <si>
    <t>PD-22110119/001</t>
  </si>
  <si>
    <t>999-22-00719</t>
  </si>
  <si>
    <t>22 Nov 2022 - 21 Nov 2023</t>
  </si>
  <si>
    <t>KLM09-AK1ZG-PRMYW-I3J8R-NLADL-DZV3Y</t>
  </si>
  <si>
    <t>PD-22110048/001</t>
  </si>
  <si>
    <t>Hartono Istana Teknologi</t>
  </si>
  <si>
    <t>15 Nov 2022 - 15 Dec 202</t>
  </si>
  <si>
    <t>KLM09-L9RY3-D9K4O-0AQ1N-QFW7Y-VZAJK</t>
  </si>
  <si>
    <t>PD-22110121/001</t>
  </si>
  <si>
    <t>PO/GDN2/2211/10047</t>
  </si>
  <si>
    <t>31 Jan 2023 - 30 Jan 2025</t>
  </si>
  <si>
    <t>KLM09-IQF0A-0ZTR1-YC4WH-I4G1F-V43PJ</t>
  </si>
  <si>
    <t>PD-22110122/001</t>
  </si>
  <si>
    <t>001/B2B-PO-SUB/11/2022</t>
  </si>
  <si>
    <t>Kasih Ibu Hospital</t>
  </si>
  <si>
    <t>28 Nov 2022 - 27 Nov 2023</t>
  </si>
  <si>
    <t>KLM09-DMI66-NKYHV-45NOD-NAE3I-75L3O</t>
  </si>
  <si>
    <t>PD-22120033/001</t>
  </si>
  <si>
    <t>PO/GDN2/2211/10073</t>
  </si>
  <si>
    <t>PT. XL Axiata Tbk</t>
  </si>
  <si>
    <t>1 Dec 2022 - 30 Nov 2023</t>
  </si>
  <si>
    <t>Knox Guard 1 Year</t>
  </si>
  <si>
    <t>KLM08-60W9A-XM7I8-5EGZN-ZPMH6-ETYQL</t>
  </si>
  <si>
    <t>PD-22120038/001</t>
  </si>
  <si>
    <t>PO/GDN2/2212/10010</t>
  </si>
  <si>
    <t>5 Dec 2022 - 4 Dec 2023</t>
  </si>
  <si>
    <t>KLM08-6UQVF-3RCHE-6BI83-BUB3N-E2I7W</t>
  </si>
  <si>
    <t>PD-22120083/001</t>
  </si>
  <si>
    <t>SRIN</t>
  </si>
  <si>
    <t>8 Dec 2022 - 7 Jan 2023</t>
  </si>
  <si>
    <t>Knox Suite Monthly</t>
  </si>
  <si>
    <t>KLM11-AQE6G-E2HQT-0TLOX-RVUUR-36VY7</t>
  </si>
  <si>
    <t>PD-22120084/001</t>
  </si>
  <si>
    <t>KLM11-M7O0F-NGO6M-BKMOE-3LGAI-NWOEG</t>
  </si>
  <si>
    <t>PD-22120087/001</t>
  </si>
  <si>
    <t>PO/GDN2/2212/10039</t>
  </si>
  <si>
    <t>10 Dec 2022 - 9 Dec 2023</t>
  </si>
  <si>
    <t>KLM08-6IUYY-AJ1WX-20TSK-MNVCN-IXBZX</t>
  </si>
  <si>
    <t>PD-22120089/001</t>
  </si>
  <si>
    <t>29 Jan 2023 - 28 Jan 2024</t>
  </si>
  <si>
    <t>KLM09-GWCEZ-C5VBH-HZWSI-5J9I8-JTCP6</t>
  </si>
  <si>
    <t>PD-22120090/001</t>
  </si>
  <si>
    <t>PD-22120091/001</t>
  </si>
  <si>
    <t>2 Mar 2023 - 1 Mar 2024</t>
  </si>
  <si>
    <t>KLM09-DLD3V-4EDIM-5C85W-AFQWX-CZVS8</t>
  </si>
  <si>
    <t>PD-22120092/001</t>
  </si>
  <si>
    <t>PD-22120093/001</t>
  </si>
  <si>
    <t>15 Feb 2023 – 14 Feb 2024</t>
  </si>
  <si>
    <t>KLM11-6XHY2-RP17Y-69ILS-82WA1-4MV6I</t>
  </si>
  <si>
    <t>PD-22120094/001</t>
  </si>
  <si>
    <t>PO/GDN2/2212/10043</t>
  </si>
  <si>
    <t>13 Dec 2022 - 12 Dec 2023</t>
  </si>
  <si>
    <t>KLM08-IGJSH-HHBCR-ON67H-6CL7D-GXG4B</t>
  </si>
  <si>
    <t>PD-22120099/001</t>
  </si>
  <si>
    <t>PO/GDN2/2212/10054</t>
  </si>
  <si>
    <t>15 Dec 2022 - 14 Dec 2023</t>
  </si>
  <si>
    <t>KLM09-CT4OL-8GS5G-DYWVR-IXWPW-WZE6W</t>
  </si>
  <si>
    <t>PD-22120103/001</t>
  </si>
  <si>
    <t>16 Dec 2022 - 15 Dec 2023</t>
  </si>
  <si>
    <t>KLM11-GVHAG-B7VZE-6Y6K0-A68NB-9ZM08</t>
  </si>
  <si>
    <t>PD-22120105/001</t>
  </si>
  <si>
    <t>KLM11-0JM21-QPR77-2NBLT-DLX4H-MYRQ6</t>
  </si>
  <si>
    <t>PD-22120111/001</t>
  </si>
  <si>
    <t>PO-04/12-22/XX15</t>
  </si>
  <si>
    <t>PT. Sinar Distribusi Nusantara</t>
  </si>
  <si>
    <t>21 Dec 2022 - 20 Dec 2024</t>
  </si>
  <si>
    <t>KLM09-U37DS-KWGU9-T2WIZ-69I6D-0MQPB</t>
  </si>
  <si>
    <t>PD-22120114/001</t>
  </si>
  <si>
    <t>PT. Makassar Raya Motor</t>
  </si>
  <si>
    <t>21 Dec 2022 - 20 Dec 2023</t>
  </si>
  <si>
    <t>KLM09-AJC0O-I09CS-7HCKF-LF3SJ-L3QIW</t>
  </si>
  <si>
    <t>PD-23010018/001</t>
  </si>
  <si>
    <t>PO GDN :2500036852</t>
  </si>
  <si>
    <t>06 Jan 2023 – 05 Feb 2023</t>
  </si>
  <si>
    <t>KLM09-MTUGL-M0IHU-BZC79-HM8Y0-YBPQ2</t>
  </si>
  <si>
    <t>PD-23010049/001</t>
  </si>
  <si>
    <t>Po GDN : 2500034525</t>
  </si>
  <si>
    <t>15 Jan 2023- 15 Feb 2023</t>
  </si>
  <si>
    <t>KLM09-GJOXL-HETIK-PQCF5-BHG2Z-8QQUC</t>
  </si>
  <si>
    <t>PD-23010050/001</t>
  </si>
  <si>
    <t>16 Jan 2023– 15 Feb 2023</t>
  </si>
  <si>
    <t>PD-23010014/001</t>
  </si>
  <si>
    <t>PO/GDN2/2301/10005</t>
  </si>
  <si>
    <t>Berlian Abadi Korpora</t>
  </si>
  <si>
    <t>4 jan 2023 - 3 Jan 2024</t>
  </si>
  <si>
    <t>KLM09-HLP5Z-VQI0I-YAODW-C5H1I-7RZYB</t>
  </si>
  <si>
    <t>PD-23010020/001</t>
  </si>
  <si>
    <t>PO/GDN2/2301/10019</t>
  </si>
  <si>
    <t>PT Galenoum Pharmasia Laboratories</t>
  </si>
  <si>
    <t>10 jan 2023 - 09 Jan 2024</t>
  </si>
  <si>
    <t>CARE+ 1 YEAR</t>
  </si>
  <si>
    <t>KLM10-0U2AF-BPMNQ-L56RC-A77II-LD7B5</t>
  </si>
  <si>
    <t>PD-23010040/001</t>
  </si>
  <si>
    <t>0 0 4 6 / I / S P K - M U / 2 3</t>
  </si>
  <si>
    <t>PT. Mata Utama Indonesia</t>
  </si>
  <si>
    <t>Madrasah Aliyah Negeri 11 Jakarta</t>
  </si>
  <si>
    <t>11 jan 2023 - 10 Jan 2024</t>
  </si>
  <si>
    <t>KLM09-IZ1K5-SI1FZ-QD8JK-WFM4W-UG1VP</t>
  </si>
  <si>
    <t>PD-23010051/001</t>
  </si>
  <si>
    <t>PO Number : PE - Malifax.090123.0001</t>
  </si>
  <si>
    <t>PT. Parastar Echorindo</t>
  </si>
  <si>
    <t>PT. BMW Indonesia</t>
  </si>
  <si>
    <t>12 jan 2023 - 11 Jan 2024</t>
  </si>
  <si>
    <t>KLM09-GYR50-DDN7K-6VSU4-IRA3C-5A05E</t>
  </si>
  <si>
    <t>PD-23010052/001</t>
  </si>
  <si>
    <t>KLM09-0CDGC-0P1KH-AZSKV-O2G70-CXK4K</t>
  </si>
  <si>
    <t>PD-23010106/001</t>
  </si>
  <si>
    <t>No:4800480680</t>
  </si>
  <si>
    <t>Indosat</t>
  </si>
  <si>
    <t xml:space="preserve">BPD Bali </t>
  </si>
  <si>
    <t>19 jan 2023 - 18 Jan 2024</t>
  </si>
  <si>
    <t>KLM09-HOMB6-EKS4D-06MPX-H0EFG-TZLVW</t>
  </si>
  <si>
    <t>PD-23010111/001</t>
  </si>
  <si>
    <t>PO Number : PE - Malifax.250123.0002</t>
  </si>
  <si>
    <t>Ext Warranty 1 Year for Tablet A7 Lite</t>
  </si>
  <si>
    <t>26 jan 2023 - 25 Jan 2025</t>
  </si>
  <si>
    <t>Samsung Extended Warranty 1-Year (Tablet) Mass Low</t>
  </si>
  <si>
    <t>KLM10-2KVFU-4MDZV-YF5HK-CBEDP-5WBFC</t>
  </si>
  <si>
    <t>PD-23010117/001</t>
  </si>
  <si>
    <t>No:4800481599</t>
  </si>
  <si>
    <t>01 Feb 2023 - 29 Feb 2024</t>
  </si>
  <si>
    <t>KLM09-FL82H-5OB00-GRYDR-XOQWN-Z89L9</t>
  </si>
  <si>
    <t>PD-23020026/001</t>
  </si>
  <si>
    <t>06 Feb 2023 – 05 Mar 2023</t>
  </si>
  <si>
    <t>PD-23020067/001</t>
  </si>
  <si>
    <t>17 Feb 2023 – 17 Mar 2023</t>
  </si>
  <si>
    <t>KLM09-M7QK3-URD83-13GB8-TXI4H-H2R1Q</t>
  </si>
  <si>
    <t>PD-23020027/001</t>
  </si>
  <si>
    <t>PO/GDN2/2302/10015</t>
  </si>
  <si>
    <t>PT. Isuzu Astra Motor Indonesia</t>
  </si>
  <si>
    <t>06 Feb 2023 – 05 Feb 2024</t>
  </si>
  <si>
    <t>KLM09-FI5QS-MIYAK-U6C6W-3BJG3-X74BL</t>
  </si>
  <si>
    <t>PD-23020070/001</t>
  </si>
  <si>
    <t>01 Mar 2023 – 29 Feb 2024</t>
  </si>
  <si>
    <t>KLM09-NAAAM-YKRKA-62D7T-2UUCJ-IFHXT</t>
  </si>
  <si>
    <t>PD-23020085/001</t>
  </si>
  <si>
    <t>999-23-00048</t>
  </si>
  <si>
    <t>24 Feb 2023 – 23 Feb 2024</t>
  </si>
  <si>
    <t>KLM09-0W1DH-Z9FPZ-4DQ8H-I2CUP-HPSJK</t>
  </si>
  <si>
    <t>PD-23030040/001</t>
  </si>
  <si>
    <t>PO/GDN2/2303/10023</t>
  </si>
  <si>
    <t>13 Mar 2023  - 12 Mar 2024</t>
  </si>
  <si>
    <t>KLM09-M4YXG-JSC4J-WFNV7-4VBQJ-2F3LR</t>
  </si>
  <si>
    <t>PD-23030057/001</t>
  </si>
  <si>
    <t>001/B2B-PO-SUB/03/2023</t>
  </si>
  <si>
    <t>CV. Buminet Prakarsa</t>
  </si>
  <si>
    <t>PT. Digital Mediatama Maxima</t>
  </si>
  <si>
    <t>14 Mar 2023  - 13 Mar 2024</t>
  </si>
  <si>
    <t>KLM09-2V3XJ-UCS9Q-CTZA7-R6DNY-P3IMK</t>
  </si>
  <si>
    <t>PD-23030082/001</t>
  </si>
  <si>
    <t>PO/GDN2/2303/10036</t>
  </si>
  <si>
    <t>Passion Abadi Korpora</t>
  </si>
  <si>
    <t>16 Mar 2023  - 15 Mar 2024</t>
  </si>
  <si>
    <t>KLM09-7WSMY-56VX5-J8ST4-511CJ-Y193O</t>
  </si>
  <si>
    <t>PD-23030093/001</t>
  </si>
  <si>
    <t>No:4800486931</t>
  </si>
  <si>
    <t>G4S Security Services</t>
  </si>
  <si>
    <t>17 Mar 2023  - 16 Mar 2024</t>
  </si>
  <si>
    <t>KLM09-CXKYT-2C2E3-F3NE0-ZRQB0-B4PS0</t>
  </si>
  <si>
    <t>PD-23030104/001</t>
  </si>
  <si>
    <t>No. 953</t>
  </si>
  <si>
    <t>04 Mar 2023 - 04 Mar 2024</t>
  </si>
  <si>
    <t>KLM11-NIEZV-J09SB-K0O1E-F4ZUX-QSGPY</t>
  </si>
  <si>
    <t>PD-23030105/001</t>
  </si>
  <si>
    <t>20 Jun 2023 - 19 Jun 2024</t>
  </si>
  <si>
    <t>PD-23030106/001</t>
  </si>
  <si>
    <t>19 Jul 2023 - 18 Jul 2024</t>
  </si>
  <si>
    <t>PD-23040022/001</t>
  </si>
  <si>
    <t>P137920</t>
  </si>
  <si>
    <t>Nusa Prima Cipta (NPC)</t>
  </si>
  <si>
    <t>PT AKR CORPORINDO TBK(AKR)</t>
  </si>
  <si>
    <t>09 Apr 2023 - 08 Apr 2024</t>
  </si>
  <si>
    <t>PD-23040033/001</t>
  </si>
  <si>
    <t>No: 4800489477</t>
  </si>
  <si>
    <t>Farasindo</t>
  </si>
  <si>
    <t>10 Apr 2023 - 09 Apr 2024</t>
  </si>
  <si>
    <t>KLM12-7I894-VCE1S-8VVBX-LD6YU-RUQI7</t>
  </si>
  <si>
    <t>PD-23040039/001</t>
  </si>
  <si>
    <t>PO-02/04-23/XX02</t>
  </si>
  <si>
    <t>28 Apr 2023 - 27 Apr 2025</t>
  </si>
  <si>
    <t>KLM12-ULTOT-33YQJ-R05OM-F8QNX-K9Y18</t>
  </si>
  <si>
    <t>PD-23040042/001</t>
  </si>
  <si>
    <t>Quotation: MI-Q-23-04/049</t>
  </si>
  <si>
    <t>Pak Erwin</t>
  </si>
  <si>
    <t>11 Apr 2023 - 10 Apr 2025</t>
  </si>
  <si>
    <t>Extended Warranty 1 Year (Smartphone) flagship</t>
  </si>
  <si>
    <t>KLM10-J6AQQ-72U4R-JH97H-VIZI8-3T3MX</t>
  </si>
  <si>
    <t>PD-23040085/001</t>
  </si>
  <si>
    <t>001/B2B-PO-SUB/04/2023</t>
  </si>
  <si>
    <t>CV. Buminet Prakarsa Sby</t>
  </si>
  <si>
    <t>27 Apr 2023 - 26 Apr 2024</t>
  </si>
  <si>
    <t>KLM12-6PP3T-XNQL2-TCRF9-H87RA-RWW0W</t>
  </si>
  <si>
    <t>Email</t>
  </si>
  <si>
    <t>PIC</t>
  </si>
  <si>
    <t>fransisca.desyanti@faasri.com</t>
  </si>
  <si>
    <t>Ibu Sisca</t>
  </si>
  <si>
    <t>siska@bhaktisolusindo.com</t>
  </si>
  <si>
    <t>Ibu Siska</t>
  </si>
  <si>
    <t>asrida.djuwita@gdnusantara.com</t>
  </si>
  <si>
    <t>Ibu Chacha</t>
  </si>
  <si>
    <t>made_indra@datascrip.co.id</t>
  </si>
  <si>
    <t>Pak Made</t>
  </si>
  <si>
    <t>miftah.agustini@ioh.co.id</t>
  </si>
  <si>
    <t>Ibu Miftah</t>
  </si>
  <si>
    <t>frilla.triyanditama@gdn-commerce.com</t>
  </si>
  <si>
    <t>Ibu Frilla</t>
  </si>
  <si>
    <t>admin.mkt@sima.id</t>
  </si>
  <si>
    <t>Ibu Aya</t>
  </si>
  <si>
    <t>mohamad.cholil@circlekindonesia.com</t>
  </si>
  <si>
    <t>Pak Cholil</t>
  </si>
  <si>
    <t>susan@pancaputra.co.id</t>
  </si>
  <si>
    <t>Ibu Susan</t>
  </si>
  <si>
    <t>rudi@central.id</t>
  </si>
  <si>
    <t>Pak Rudi</t>
  </si>
  <si>
    <t>cecep.gaos@gmail.com</t>
  </si>
  <si>
    <t>Pak Gaos</t>
  </si>
  <si>
    <t>intan.raharni@obf.id</t>
  </si>
  <si>
    <t>Ibu Intan</t>
  </si>
  <si>
    <t>Galih.b2b@buminet.co.id</t>
  </si>
  <si>
    <t>Pak Galih</t>
  </si>
  <si>
    <t>pt.buka@gmail.com</t>
  </si>
  <si>
    <t>Ibu Merry</t>
  </si>
  <si>
    <t>zulakhyar90@gmail.com</t>
  </si>
  <si>
    <t>Pak Zulakhyar</t>
  </si>
  <si>
    <t>siera@matautama.com</t>
  </si>
  <si>
    <t>Ibu Siera</t>
  </si>
  <si>
    <t>Marthen.elias@para-star.com</t>
  </si>
  <si>
    <t>Pak Elias</t>
  </si>
  <si>
    <t>ratih.prabandari@akr.co.id</t>
  </si>
  <si>
    <t>Ibu Ratih</t>
  </si>
  <si>
    <t>PD-23050045/001</t>
  </si>
  <si>
    <t>PO-02/05-23/XX03</t>
  </si>
  <si>
    <t>10 May 2023 - 09 May 2025</t>
  </si>
  <si>
    <t>KLM12-NE1HL-M1JZP-HDW8Z-6L627-LL8TC</t>
  </si>
  <si>
    <t>PD-23050046/001</t>
  </si>
  <si>
    <t>PO/23/05/00028</t>
  </si>
  <si>
    <t>CV. ANUGRAH PRATAMA</t>
  </si>
  <si>
    <t>masih menunggu info dari pak galih, buminet</t>
  </si>
  <si>
    <t>masih nunggu dr pak galih</t>
  </si>
  <si>
    <t>masih nunggu</t>
  </si>
  <si>
    <t>PD-23050051/001</t>
  </si>
  <si>
    <t>P138109</t>
  </si>
  <si>
    <t>NPC</t>
  </si>
  <si>
    <t>AKR Corporindo Tbk</t>
  </si>
  <si>
    <t>28 May 2023 - 27 May 2024</t>
  </si>
  <si>
    <t>KLM09-Y2AZM-G4DBL-CQZ25-JHZLQ-YPWUK</t>
  </si>
  <si>
    <t>PD-23050074/001</t>
  </si>
  <si>
    <t>PO/BS/0523/0128</t>
  </si>
  <si>
    <t>29 Jun 2023 - 28 Jun 2024</t>
  </si>
  <si>
    <t>KLM09-2GMSZ-BZBCE-IPI15-4CIEP-37DXG</t>
  </si>
  <si>
    <t>PD-23050104/001</t>
  </si>
  <si>
    <t>999-23-00217</t>
  </si>
  <si>
    <t>Datascrip</t>
  </si>
  <si>
    <t>23 May 2023 - 22 May 2024</t>
  </si>
  <si>
    <t>KLM12-0J5X2-WLSI8-UP6ZL-NF8P2-WP5IC</t>
  </si>
  <si>
    <t>PD-23050108/001</t>
  </si>
  <si>
    <t>PR230000742</t>
  </si>
  <si>
    <t xml:space="preserve">PT. Circleka Indonesia Utama </t>
  </si>
  <si>
    <t>PD-23050111/001</t>
  </si>
  <si>
    <t>PO/GDN2/2305/10075</t>
  </si>
  <si>
    <t>PT. Digital Globalindo</t>
  </si>
  <si>
    <t>fannia.fellialnyoo@gdnusantara.com</t>
  </si>
  <si>
    <t>Ibu Fannia</t>
  </si>
  <si>
    <t>Hartono</t>
  </si>
  <si>
    <t>27 May 2023 - 26 May 2025</t>
  </si>
  <si>
    <t>Care+ 2 Years (Tablet) Flagship (S Series)</t>
  </si>
  <si>
    <t>KLM10-7RO6C-5GOT9-AX7KK-390IR-LDVLY</t>
  </si>
  <si>
    <t>PD-23050114/001</t>
  </si>
  <si>
    <t>PO23100011</t>
  </si>
  <si>
    <t>07 Juni 2023 – 06 Juni 2024</t>
  </si>
  <si>
    <t>KLM09-GG9O5-9DA7E-2EEZP-WX4RX-H1TER</t>
  </si>
  <si>
    <t>PD-23050115/001</t>
  </si>
  <si>
    <t>01 Juli 2023 – 30 Juni 2024</t>
  </si>
  <si>
    <t>PD-23060039/001</t>
  </si>
  <si>
    <t>PO/GDN2/2306/10014</t>
  </si>
  <si>
    <t>Buana Sukses Pratama</t>
  </si>
  <si>
    <t>08 Jun 2023 - 07 Jun 2024</t>
  </si>
  <si>
    <t>KLM12-2YMHQ-LP4F5-SANOB-95KAI-AIAM3</t>
  </si>
  <si>
    <t>PD-23060070/001</t>
  </si>
  <si>
    <t>BMU - Malifax.160623.0001</t>
  </si>
  <si>
    <t>PT. Bintang Mahameru Utama</t>
  </si>
  <si>
    <t>hadi.gunawan@bintangmahameruutama.com</t>
  </si>
  <si>
    <t>Pak Hadi</t>
  </si>
  <si>
    <t>PT. Nufarindo</t>
  </si>
  <si>
    <t>19 Jun 2023 ~ 18 Jun 2024</t>
  </si>
  <si>
    <t>KLM11-FFCOQ-Y302X-RXQFP-HDDHT-2FS4J</t>
  </si>
  <si>
    <t>PD-23070040/001</t>
  </si>
  <si>
    <t>PO.4010022954</t>
  </si>
  <si>
    <t>cisilia_purchasing@yahoo.com</t>
  </si>
  <si>
    <t>Cynthia</t>
  </si>
  <si>
    <t>PT.Graha Seribusatu Jaya</t>
  </si>
  <si>
    <t>21 Juli 2021 - 20 Juli 2024</t>
  </si>
  <si>
    <t>PD-23070041/001</t>
  </si>
  <si>
    <t>PD-23070097/001</t>
  </si>
  <si>
    <t>PO/GDN2/2307/10040</t>
  </si>
  <si>
    <t>debby.suparta@fonel.com</t>
  </si>
  <si>
    <t>DEBBY SUPARTA</t>
  </si>
  <si>
    <t>14 Juli 2023 - 13 Juli 2024</t>
  </si>
  <si>
    <t>KLM12-288KT-JX0MY-RVUFW-YJRG8-JLSFQ</t>
  </si>
  <si>
    <t>PD-23070113/001</t>
  </si>
  <si>
    <t>PO. 2064</t>
  </si>
  <si>
    <t>17 Aug 2023 - 16 Aug 2024</t>
  </si>
  <si>
    <t>PD-23070114/001</t>
  </si>
  <si>
    <t>Knox Setup 1 Year</t>
  </si>
  <si>
    <t>PD-23070115/001</t>
  </si>
  <si>
    <t>16 Sep 2023 - 15 Sep 2024</t>
  </si>
  <si>
    <t>KLM11-N3AJ1-8C028-W9CL4-9UQBR-3BYEP</t>
  </si>
  <si>
    <t>PD-23070116/001</t>
  </si>
  <si>
    <t>08 Oct 2023- 07 Oct 2024</t>
  </si>
  <si>
    <t>PD-23070118/001</t>
  </si>
  <si>
    <t>PO/GDN2/2307/10063</t>
  </si>
  <si>
    <t>Telkomsel</t>
  </si>
  <si>
    <t>PT. Adira Dinamika Multifinance</t>
  </si>
  <si>
    <t>31 Jul 2023 - 30 Jul 2025</t>
  </si>
  <si>
    <t>Warranty Smartphone 2 Year Mass Mid</t>
  </si>
  <si>
    <t>KLM10-HLHFF-HMZRD-8UMYA-3KDR4-69FS5</t>
  </si>
  <si>
    <t>PD-23070119/001</t>
  </si>
  <si>
    <t>23/CP/VII/V2/0190</t>
  </si>
  <si>
    <t>jannah@v2indonesia.com</t>
  </si>
  <si>
    <t>Ibu Jannah</t>
  </si>
  <si>
    <t>PT. V2 Indonesia</t>
  </si>
  <si>
    <t>25 Juli 2023 - 24 Juli 2024</t>
  </si>
  <si>
    <t>KLM12-7E3GV-UGSNU-C6ZJR-PTIF1-7ZR8X</t>
  </si>
  <si>
    <t>PD-23070120/001</t>
  </si>
  <si>
    <t>P138723</t>
  </si>
  <si>
    <t>stephi.melissa@akr.co.id</t>
  </si>
  <si>
    <t>Ibu Stephi Melissa</t>
  </si>
  <si>
    <t>PT. AKR Corporindo Tbk</t>
  </si>
  <si>
    <t>26 Juli 2023 - 25 Juli 2024</t>
  </si>
  <si>
    <t>KLM09-2HYR5-8OONM-85XMQ-IV6YL-IT9LJ</t>
  </si>
  <si>
    <t>PD-23070123/001</t>
  </si>
  <si>
    <t>PT Global Digital Niaga</t>
  </si>
  <si>
    <t>annisa.subroto@gdn-commerce.com</t>
  </si>
  <si>
    <t>Annisa Azzahrah Subroto</t>
  </si>
  <si>
    <t>PT. Saka Farma Laboratories</t>
  </si>
  <si>
    <t>01 Aug 2023 - 31 Jul 2025</t>
  </si>
  <si>
    <t>KLM12-MSTI1-DH85W-L5MLR-6EV32-0SQ3B</t>
  </si>
  <si>
    <t>PD-23070127/001</t>
  </si>
  <si>
    <t>PO/GDN2/2307/10076</t>
  </si>
  <si>
    <t>PT BUANA SUKSES PRATAMA</t>
  </si>
  <si>
    <t>PT Passion Abadi Korpora</t>
  </si>
  <si>
    <t>27 Jul 2023 - 26 Jul 2024</t>
  </si>
  <si>
    <t>KLM12-G8ACI-0Z0EU-MBMH1-APJW9-L8U0O</t>
  </si>
  <si>
    <t>PD-23070128/001</t>
  </si>
  <si>
    <t>PE - Malifax.260723.0003</t>
  </si>
  <si>
    <t>PT. Perkom Indah Murni</t>
  </si>
  <si>
    <t xml:space="preserve">PT. Merapi Utama Pharma </t>
  </si>
  <si>
    <t>Knox Suite 2 Years</t>
  </si>
  <si>
    <t>KLM11-DXG4P-G37NW-A5LLR-Z7B54-NS798</t>
  </si>
  <si>
    <t>PD-23070129/001</t>
  </si>
  <si>
    <t>Care+ 2 Years Mid (Tablet)</t>
  </si>
  <si>
    <t>KLM10-G7W8S-1LX1N-AQ891-ST5J5-8CIQV</t>
  </si>
  <si>
    <t>PD-23070138/001</t>
  </si>
  <si>
    <t>PE - Malifax.270723.0004</t>
  </si>
  <si>
    <t>CV. Omni Solusindo</t>
  </si>
  <si>
    <t xml:space="preserve">PT. Sumber Hijau Permai </t>
  </si>
  <si>
    <t>29 Jul 2023 - 28 Jul 2025</t>
  </si>
  <si>
    <t>Care+ 1-Year High [Tablet]</t>
  </si>
  <si>
    <t>KLM10-2JM6Q-944GF-R9YKY-429T6-0Z0HA</t>
  </si>
  <si>
    <t>PD-23070139/001</t>
  </si>
  <si>
    <t>PE - Malifax.270723.0005</t>
  </si>
  <si>
    <t>PT. Tri Pupa Jaya</t>
  </si>
  <si>
    <t>KLM10-FN53X-MO8SJ-8Q353-SQTN1-56IJX</t>
  </si>
  <si>
    <t>PD-23070140/001</t>
  </si>
  <si>
    <t>PE - Malifax.270723.0006</t>
  </si>
  <si>
    <t>PT. Rimba Hutani Mas</t>
  </si>
  <si>
    <t>KLM10-HPM2T-JL5W5-E9GIC-RLD43-Q0K17</t>
  </si>
  <si>
    <t>PD-23070141/001</t>
  </si>
  <si>
    <t>PO/GDN2/2307/10082</t>
  </si>
  <si>
    <t>Extended Warranty 2-Year (smartphone) Mass Mid</t>
  </si>
  <si>
    <t>KLM10-8FVZU-LKB78-FSAGW-5JNXQ-NW21K</t>
  </si>
  <si>
    <t>PD-23070142/001</t>
  </si>
  <si>
    <t>334/PO/SMPPA.YPA/VII/2023</t>
  </si>
  <si>
    <t>Pak Cecep Gaos</t>
  </si>
  <si>
    <t>01 Aug 2023 - 31 Jul 2024</t>
  </si>
  <si>
    <t>KLM12-CGGNO-LY35F-LQ8IX-EA3Q1-M2TSW</t>
  </si>
  <si>
    <t>PD-23080029/001</t>
  </si>
  <si>
    <t>PE - Malifax.020823.0007</t>
  </si>
  <si>
    <t>PT BUMI PERSADA PERMAI</t>
  </si>
  <si>
    <t>04 Aug 2023 - 03 Aug 2025</t>
  </si>
  <si>
    <t>KLM10-5HHTX-0V50H-6M0BA-PD2OF-TAKPK</t>
  </si>
  <si>
    <t>PD-23080030/001</t>
  </si>
  <si>
    <t>PO/GDN2/2308/10013</t>
  </si>
  <si>
    <t>08 Aug 2023 - 07 Aug 2025</t>
  </si>
  <si>
    <t>KLM10-CHSRX-W5JI1-5JXWJ-E80A3-2EWMY</t>
  </si>
  <si>
    <t>PD-23080039/001</t>
  </si>
  <si>
    <t>PO/GDN2/2307/10095</t>
  </si>
  <si>
    <t>PT Bhinneka Mentaridimensi</t>
  </si>
  <si>
    <t>Astra Isuzu</t>
  </si>
  <si>
    <t>07 Aug 2023 - 06 Aug 2024</t>
  </si>
  <si>
    <t>KLM12-MZYU9-IMQHS-718V6-IDE81-56J66</t>
  </si>
  <si>
    <t>PD-23080040/001</t>
  </si>
  <si>
    <t>PE - Malifax.040823.0008</t>
  </si>
  <si>
    <t>PT PESONA BELANTARA PERSADA</t>
  </si>
  <si>
    <t>KLM10-HFNZ2-6PGGV-Y1OVC-EPMCA-7XS0A</t>
  </si>
  <si>
    <t>PD-23080041/001</t>
  </si>
  <si>
    <t>PO/9210/23/08/0019</t>
  </si>
  <si>
    <t>asuryanto@ho.otsuka.co.id</t>
  </si>
  <si>
    <t>Andy K. Suryanto</t>
  </si>
  <si>
    <t>PT. Otsuka Indonesia</t>
  </si>
  <si>
    <t>Manage Service L2 (Local maintenance)</t>
  </si>
  <si>
    <t>KM configuration</t>
  </si>
  <si>
    <t>PD-23080061/001</t>
  </si>
  <si>
    <t>PO/GDN2/2308/10031</t>
  </si>
  <si>
    <t>11 Aug 2023 - 10 Aug 2025</t>
  </si>
  <si>
    <t>KLM10-NFO0V-V3T6J-1ZL52-YLBS3-KZ9BS</t>
  </si>
  <si>
    <t>PD-23080110/001</t>
  </si>
  <si>
    <t>PO/GDN2/2308/10056</t>
  </si>
  <si>
    <t>PD-23080112/001</t>
  </si>
  <si>
    <t>rosma.a@partner.samsung.com</t>
  </si>
  <si>
    <t>Rosma Aliah</t>
  </si>
  <si>
    <t>PT. Samsung</t>
  </si>
  <si>
    <t>14/08/2023 ~ 13/08/2024</t>
  </si>
  <si>
    <t xml:space="preserve">KLM09-0CC7J-AXJ3I-ZUIYU-2MI8C-93029 </t>
  </si>
  <si>
    <t>PD-23080119/001</t>
  </si>
  <si>
    <t>PE - Malifax.160823.0009</t>
  </si>
  <si>
    <t>PT. Putraduta Indah Wood</t>
  </si>
  <si>
    <t>17/08/2023 ~ 16/08/2025</t>
  </si>
  <si>
    <t>KLM10-GLT1R-VNL4A-V1ABE-WXFVB-7IFPL</t>
  </si>
  <si>
    <t xml:space="preserve">KLM12-GK10R-6YH2S-QY8CV-Z2U8V-N4A2O </t>
  </si>
  <si>
    <t xml:space="preserve">01 Oct 2023 - 30 Sep 2024 </t>
  </si>
  <si>
    <t xml:space="preserve">PE - Malifax.220823.0010 </t>
  </si>
  <si>
    <t xml:space="preserve">KLM10-7SVO0-YX5IK-934ST-NP9Z0-XJBYL </t>
  </si>
  <si>
    <t>22 Aug 2023 - 21 Aug 2025</t>
  </si>
  <si>
    <t>PT. Wirakarya Sakti</t>
  </si>
  <si>
    <t>PD-23080125/001</t>
  </si>
  <si>
    <t xml:space="preserve">KLM10-WUNTU-CA4ZO-T105J-XLGLM-EVU7K </t>
  </si>
  <si>
    <t xml:space="preserve">24/08/2023 ~ 23/08/2025 </t>
  </si>
  <si>
    <t xml:space="preserve">PO/GDN2/2308/10086 </t>
  </si>
  <si>
    <t xml:space="preserve">KLM12-21GY8-PWRFL-9EAED-C3Z4T-4F9O9 </t>
  </si>
  <si>
    <t xml:space="preserve">23/08/2023 ~ 22/08/2025 </t>
  </si>
  <si>
    <t>PD-23080126/001</t>
  </si>
  <si>
    <t>PD-23080132/001</t>
  </si>
  <si>
    <t>PO/GDN2/2308/10097</t>
  </si>
  <si>
    <t xml:space="preserve">KLM10-HNYJP-7T83A-FSFHD-8VLZJ-4TEZP </t>
  </si>
  <si>
    <t xml:space="preserve">04/09/2023 ~ 03/09/2025 </t>
  </si>
  <si>
    <t>PD-23080135/001</t>
  </si>
  <si>
    <t>09/09/2023 ~ 08/09/2024</t>
  </si>
  <si>
    <t>PO202300576</t>
  </si>
  <si>
    <t xml:space="preserve">Fitri Luciana Indriani </t>
  </si>
  <si>
    <t>fitri.luciana@obf.id</t>
  </si>
  <si>
    <t>PT Orico Balimor Finance </t>
  </si>
  <si>
    <t xml:space="preserve">PO/GDN2/2308/10103 </t>
  </si>
  <si>
    <t>PD-23080142/001</t>
  </si>
  <si>
    <t xml:space="preserve">KLM12-JD155-CNH1S-6YWXI-ZK3XU-UBBQE </t>
  </si>
  <si>
    <t>30/08/2023 ~ 29/08/2025</t>
  </si>
  <si>
    <t xml:space="preserve">ISPI2302792 </t>
  </si>
  <si>
    <t>PD-23090031/001</t>
  </si>
  <si>
    <t>PD-23090032/001</t>
  </si>
  <si>
    <t>PD-23090035/001</t>
  </si>
  <si>
    <t>PD-23090087/001</t>
  </si>
  <si>
    <t>PD-23090091/001</t>
  </si>
  <si>
    <t>PD-23090106/001</t>
  </si>
  <si>
    <t>PD-23090113/001</t>
  </si>
  <si>
    <t>PD-23090115/001</t>
  </si>
  <si>
    <t>PD-23090116/001</t>
  </si>
  <si>
    <t>PO23100018</t>
  </si>
  <si>
    <t>12/09/2023 ~ 11/09/2024</t>
  </si>
  <si>
    <t>Kasih Ibu hospital</t>
  </si>
  <si>
    <t>001/B2B-PO-SUB/09/2023</t>
  </si>
  <si>
    <t>KLM12-2SIN2-O9UYQ-I3IQB-K6XLI-1MM5P</t>
  </si>
  <si>
    <t>05/09/2023 ~ 04/09/2024</t>
  </si>
  <si>
    <t>PO/GDN2/2309/10015</t>
  </si>
  <si>
    <t xml:space="preserve">debby.suparta@fonel.com </t>
  </si>
  <si>
    <t>Exp On</t>
  </si>
  <si>
    <t>15 Nov 2022 - 15 Dec 2022</t>
  </si>
  <si>
    <t>r pak galih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</si>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</sst>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[$-409]dd\-mmm\-yy;@"/>
  </numFmts>
  <fonts count="3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 Light"/>
      <charset val="134"/>
      <scheme val="major"/>
    </font>
    <font>
      <sz val="10"/>
      <name val="Calibri Light"/>
      <charset val="134"/>
      <scheme val="major"/>
    </font>
    <font>
      <u/>
      <sz val="10"/>
      <color theme="10"/>
      <name val="Calibri Light"/>
      <charset val="134"/>
      <scheme val="major"/>
    </font>
    <font>
      <sz val="10"/>
      <color rgb="FF000000"/>
      <name val="Calibri Light"/>
      <charset val="134"/>
      <scheme val="major"/>
    </font>
    <font>
      <u/>
      <sz val="11"/>
      <color theme="10"/>
      <name val="Calibri"/>
      <charset val="134"/>
      <scheme val="minor"/>
    </font>
    <font>
      <sz val="10"/>
      <color indexed="8"/>
      <name val="Calibri Light"/>
      <charset val="134"/>
      <scheme val="major"/>
    </font>
    <font>
      <u/>
      <sz val="10"/>
      <color theme="10"/>
      <name val="Calibri Light"/>
      <charset val="134"/>
    </font>
    <font>
      <sz val="10"/>
      <color theme="1"/>
      <name val="Calibri Light"/>
      <charset val="134"/>
    </font>
    <font>
      <sz val="10"/>
      <name val="Calibri Light"/>
      <charset val="134"/>
    </font>
    <font>
      <sz val="10"/>
      <color theme="1"/>
      <name val="Calibri Light"/>
      <charset val="134"/>
    </font>
    <font>
      <sz val="10"/>
      <name val="Calibri Light"/>
      <charset val="134"/>
    </font>
    <font>
      <sz val="10"/>
      <color rgb="FF000000"/>
      <name val="Calibri Light"/>
      <charset val="134"/>
    </font>
    <font>
      <sz val="10"/>
      <color rgb="FF000000"/>
      <name val="Calibri Light"/>
      <charset val="134"/>
    </font>
    <font>
      <sz val="10"/>
      <name val="Calibri"/>
      <charset val="134"/>
    </font>
    <font>
      <sz val="10"/>
      <color rgb="FF000000"/>
      <name val="Calibri"/>
      <charset val="134"/>
    </font>
    <font>
      <sz val="10"/>
      <color rgb="FF000000"/>
      <name val="Calibri"/>
      <charset val="134"/>
      <scheme val="minor"/>
    </font>
    <font>
      <sz val="8"/>
      <color rgb="FF000000"/>
      <name val="Tahoma"/>
      <charset val="134"/>
    </font>
    <font>
      <sz val="10"/>
      <color rgb="FFFF0000"/>
      <name val="Calibri"/>
      <charset val="134"/>
    </font>
    <font>
      <u/>
      <sz val="11"/>
      <color theme="10"/>
      <name val="Calibri"/>
      <charset val="1"/>
      <scheme val="minor"/>
    </font>
    <font>
      <u/>
      <sz val="11"/>
      <color theme="10"/>
      <name val="Calibri"/>
      <charset val="134"/>
    </font>
    <font>
      <sz val="11"/>
      <color theme="1"/>
      <name val="Calibri"/>
      <charset val="1"/>
      <scheme val="minor"/>
    </font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theme="1"/>
      <name val="Calibri Light"/>
      <family val="2"/>
    </font>
    <font>
      <sz val="10"/>
      <name val="Calibri Light"/>
      <family val="2"/>
    </font>
    <font>
      <sz val="10"/>
      <color rgb="FF000000"/>
      <name val="Calibri Light"/>
      <family val="2"/>
    </font>
    <font>
      <u/>
      <sz val="10"/>
      <color theme="10"/>
      <name val="Calibri Light"/>
      <family val="2"/>
    </font>
    <font>
      <sz val="10"/>
      <name val="Calibri Light"/>
      <family val="2"/>
      <scheme val="major"/>
    </font>
    <font>
      <u/>
      <sz val="10"/>
      <color theme="10"/>
      <name val="Calibri Light"/>
      <family val="2"/>
      <scheme val="major"/>
    </font>
    <font>
      <sz val="10"/>
      <color rgb="FF1F497D"/>
      <name val="Calibri Light"/>
      <family val="2"/>
      <scheme val="maj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4BAF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CC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44" fontId="28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/>
    <xf numFmtId="0" fontId="28" fillId="0" borderId="0"/>
    <xf numFmtId="0" fontId="27" fillId="0" borderId="0"/>
    <xf numFmtId="0" fontId="28" fillId="0" borderId="0"/>
    <xf numFmtId="0" fontId="28" fillId="0" borderId="0"/>
    <xf numFmtId="0" fontId="28" fillId="0" borderId="0"/>
  </cellStyleXfs>
  <cellXfs count="378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/>
    <xf numFmtId="0" fontId="7" fillId="2" borderId="3" xfId="0" applyFont="1" applyFill="1" applyBorder="1" applyAlignment="1">
      <alignment horizontal="right" vertical="center"/>
    </xf>
    <xf numFmtId="0" fontId="6" fillId="3" borderId="3" xfId="0" applyFont="1" applyFill="1" applyBorder="1"/>
    <xf numFmtId="0" fontId="6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4" borderId="3" xfId="0" applyFont="1" applyFill="1" applyBorder="1"/>
    <xf numFmtId="0" fontId="6" fillId="4" borderId="3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center" vertical="center"/>
    </xf>
    <xf numFmtId="0" fontId="8" fillId="4" borderId="3" xfId="2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7" fillId="4" borderId="3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164" fontId="4" fillId="0" borderId="2" xfId="0" applyNumberFormat="1" applyFont="1" applyBorder="1" applyAlignment="1">
      <alignment horizontal="center"/>
    </xf>
    <xf numFmtId="164" fontId="6" fillId="3" borderId="3" xfId="0" applyNumberFormat="1" applyFont="1" applyFill="1" applyBorder="1"/>
    <xf numFmtId="2" fontId="6" fillId="3" borderId="3" xfId="0" applyNumberFormat="1" applyFont="1" applyFill="1" applyBorder="1"/>
    <xf numFmtId="164" fontId="6" fillId="4" borderId="3" xfId="0" applyNumberFormat="1" applyFont="1" applyFill="1" applyBorder="1"/>
    <xf numFmtId="2" fontId="6" fillId="4" borderId="3" xfId="0" applyNumberFormat="1" applyFont="1" applyFill="1" applyBorder="1"/>
    <xf numFmtId="4" fontId="6" fillId="3" borderId="3" xfId="0" applyNumberFormat="1" applyFont="1" applyFill="1" applyBorder="1"/>
    <xf numFmtId="4" fontId="6" fillId="4" borderId="3" xfId="0" applyNumberFormat="1" applyFont="1" applyFill="1" applyBorder="1"/>
    <xf numFmtId="16" fontId="6" fillId="3" borderId="3" xfId="0" applyNumberFormat="1" applyFont="1" applyFill="1" applyBorder="1"/>
    <xf numFmtId="0" fontId="7" fillId="3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6" fillId="5" borderId="3" xfId="0" applyFont="1" applyFill="1" applyBorder="1"/>
    <xf numFmtId="0" fontId="6" fillId="5" borderId="3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/>
    </xf>
    <xf numFmtId="0" fontId="8" fillId="5" borderId="3" xfId="2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right" vertical="center"/>
    </xf>
    <xf numFmtId="0" fontId="7" fillId="6" borderId="3" xfId="0" applyFont="1" applyFill="1" applyBorder="1" applyAlignment="1">
      <alignment horizontal="center"/>
    </xf>
    <xf numFmtId="0" fontId="7" fillId="7" borderId="1" xfId="0" applyFont="1" applyFill="1" applyBorder="1" applyAlignment="1">
      <alignment vertical="center"/>
    </xf>
    <xf numFmtId="0" fontId="6" fillId="7" borderId="1" xfId="0" applyFont="1" applyFill="1" applyBorder="1"/>
    <xf numFmtId="0" fontId="6" fillId="7" borderId="1" xfId="0" applyFont="1" applyFill="1" applyBorder="1" applyAlignment="1">
      <alignment horizontal="center" vertical="center"/>
    </xf>
    <xf numFmtId="0" fontId="8" fillId="7" borderId="1" xfId="2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/>
    </xf>
    <xf numFmtId="0" fontId="9" fillId="7" borderId="3" xfId="0" applyFont="1" applyFill="1" applyBorder="1" applyAlignment="1">
      <alignment horizontal="left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6" fillId="7" borderId="3" xfId="0" applyFont="1" applyFill="1" applyBorder="1" applyAlignment="1">
      <alignment horizontal="left"/>
    </xf>
    <xf numFmtId="0" fontId="9" fillId="7" borderId="3" xfId="0" applyFont="1" applyFill="1" applyBorder="1" applyAlignment="1">
      <alignment horizontal="center"/>
    </xf>
    <xf numFmtId="0" fontId="8" fillId="7" borderId="3" xfId="2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6" fillId="7" borderId="3" xfId="0" applyFont="1" applyFill="1" applyBorder="1"/>
    <xf numFmtId="0" fontId="9" fillId="7" borderId="3" xfId="0" applyFont="1" applyFill="1" applyBorder="1" applyAlignment="1">
      <alignment horizontal="center" vertical="center"/>
    </xf>
    <xf numFmtId="0" fontId="8" fillId="7" borderId="3" xfId="2" applyFont="1" applyFill="1" applyBorder="1" applyAlignment="1">
      <alignment horizontal="center" vertical="center"/>
    </xf>
    <xf numFmtId="0" fontId="7" fillId="7" borderId="3" xfId="2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7" fillId="7" borderId="3" xfId="2" applyFont="1" applyFill="1" applyBorder="1" applyAlignment="1">
      <alignment horizontal="center"/>
    </xf>
    <xf numFmtId="0" fontId="7" fillId="3" borderId="3" xfId="0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 vertical="center"/>
    </xf>
    <xf numFmtId="0" fontId="10" fillId="3" borderId="3" xfId="2" applyFill="1" applyBorder="1" applyAlignment="1">
      <alignment horizontal="center" vertical="center"/>
    </xf>
    <xf numFmtId="0" fontId="7" fillId="6" borderId="3" xfId="0" applyFont="1" applyFill="1" applyBorder="1" applyAlignment="1">
      <alignment horizontal="right" vertical="center"/>
    </xf>
    <xf numFmtId="0" fontId="7" fillId="6" borderId="3" xfId="0" applyFont="1" applyFill="1" applyBorder="1" applyAlignment="1">
      <alignment horizontal="left" vertical="center"/>
    </xf>
    <xf numFmtId="0" fontId="6" fillId="6" borderId="3" xfId="0" applyFont="1" applyFill="1" applyBorder="1"/>
    <xf numFmtId="0" fontId="6" fillId="6" borderId="3" xfId="0" applyFont="1" applyFill="1" applyBorder="1" applyAlignment="1">
      <alignment horizontal="center"/>
    </xf>
    <xf numFmtId="0" fontId="8" fillId="6" borderId="3" xfId="2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 vertical="center"/>
    </xf>
    <xf numFmtId="0" fontId="8" fillId="6" borderId="3" xfId="2" applyFont="1" applyFill="1" applyBorder="1" applyAlignment="1">
      <alignment horizontal="center" vertical="center"/>
    </xf>
    <xf numFmtId="0" fontId="7" fillId="6" borderId="3" xfId="2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left"/>
    </xf>
    <xf numFmtId="0" fontId="7" fillId="6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right" vertical="center"/>
    </xf>
    <xf numFmtId="0" fontId="7" fillId="8" borderId="3" xfId="0" applyFont="1" applyFill="1" applyBorder="1" applyAlignment="1">
      <alignment horizontal="left" vertical="center"/>
    </xf>
    <xf numFmtId="0" fontId="6" fillId="8" borderId="3" xfId="0" applyFont="1" applyFill="1" applyBorder="1" applyAlignment="1">
      <alignment horizontal="left"/>
    </xf>
    <xf numFmtId="0" fontId="6" fillId="8" borderId="3" xfId="0" applyFont="1" applyFill="1" applyBorder="1" applyAlignment="1">
      <alignment horizontal="center" vertical="center"/>
    </xf>
    <xf numFmtId="0" fontId="8" fillId="8" borderId="3" xfId="2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/>
    </xf>
    <xf numFmtId="0" fontId="6" fillId="8" borderId="3" xfId="0" applyFont="1" applyFill="1" applyBorder="1"/>
    <xf numFmtId="0" fontId="8" fillId="8" borderId="3" xfId="2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 vertical="center"/>
    </xf>
    <xf numFmtId="0" fontId="7" fillId="8" borderId="3" xfId="2" applyFont="1" applyFill="1" applyBorder="1" applyAlignment="1">
      <alignment horizontal="center" vertical="center"/>
    </xf>
    <xf numFmtId="164" fontId="6" fillId="5" borderId="3" xfId="0" applyNumberFormat="1" applyFont="1" applyFill="1" applyBorder="1"/>
    <xf numFmtId="2" fontId="6" fillId="5" borderId="3" xfId="0" applyNumberFormat="1" applyFont="1" applyFill="1" applyBorder="1"/>
    <xf numFmtId="0" fontId="9" fillId="7" borderId="0" xfId="0" applyFont="1" applyFill="1" applyAlignment="1">
      <alignment horizontal="left"/>
    </xf>
    <xf numFmtId="0" fontId="6" fillId="7" borderId="3" xfId="0" applyFont="1" applyFill="1" applyBorder="1" applyAlignment="1">
      <alignment horizontal="center"/>
    </xf>
    <xf numFmtId="0" fontId="6" fillId="7" borderId="3" xfId="0" applyFont="1" applyFill="1" applyBorder="1" applyAlignment="1">
      <alignment vertical="center"/>
    </xf>
    <xf numFmtId="164" fontId="6" fillId="7" borderId="3" xfId="0" applyNumberFormat="1" applyFont="1" applyFill="1" applyBorder="1"/>
    <xf numFmtId="2" fontId="6" fillId="7" borderId="3" xfId="0" applyNumberFormat="1" applyFont="1" applyFill="1" applyBorder="1"/>
    <xf numFmtId="0" fontId="9" fillId="7" borderId="3" xfId="0" applyFont="1" applyFill="1" applyBorder="1" applyAlignment="1">
      <alignment horizontal="left"/>
    </xf>
    <xf numFmtId="0" fontId="9" fillId="7" borderId="3" xfId="0" applyFont="1" applyFill="1" applyBorder="1" applyAlignment="1">
      <alignment horizontal="left" vertical="center" wrapText="1"/>
    </xf>
    <xf numFmtId="15" fontId="9" fillId="7" borderId="3" xfId="0" applyNumberFormat="1" applyFont="1" applyFill="1" applyBorder="1" applyAlignment="1">
      <alignment vertical="center" wrapText="1"/>
    </xf>
    <xf numFmtId="0" fontId="9" fillId="7" borderId="3" xfId="0" applyFont="1" applyFill="1" applyBorder="1" applyAlignment="1">
      <alignment vertical="center"/>
    </xf>
    <xf numFmtId="15" fontId="9" fillId="7" borderId="3" xfId="0" applyNumberFormat="1" applyFont="1" applyFill="1" applyBorder="1" applyAlignment="1">
      <alignment vertical="center"/>
    </xf>
    <xf numFmtId="164" fontId="6" fillId="6" borderId="3" xfId="0" applyNumberFormat="1" applyFont="1" applyFill="1" applyBorder="1"/>
    <xf numFmtId="2" fontId="6" fillId="6" borderId="3" xfId="0" applyNumberFormat="1" applyFont="1" applyFill="1" applyBorder="1"/>
    <xf numFmtId="0" fontId="6" fillId="6" borderId="0" xfId="0" applyFont="1" applyFill="1"/>
    <xf numFmtId="164" fontId="6" fillId="8" borderId="3" xfId="0" applyNumberFormat="1" applyFont="1" applyFill="1" applyBorder="1"/>
    <xf numFmtId="2" fontId="6" fillId="8" borderId="3" xfId="0" applyNumberFormat="1" applyFont="1" applyFill="1" applyBorder="1"/>
    <xf numFmtId="0" fontId="6" fillId="9" borderId="3" xfId="0" applyFont="1" applyFill="1" applyBorder="1"/>
    <xf numFmtId="4" fontId="6" fillId="5" borderId="3" xfId="0" applyNumberFormat="1" applyFont="1" applyFill="1" applyBorder="1"/>
    <xf numFmtId="4" fontId="6" fillId="7" borderId="3" xfId="0" applyNumberFormat="1" applyFont="1" applyFill="1" applyBorder="1"/>
    <xf numFmtId="3" fontId="6" fillId="7" borderId="3" xfId="0" applyNumberFormat="1" applyFont="1" applyFill="1" applyBorder="1"/>
    <xf numFmtId="4" fontId="6" fillId="6" borderId="3" xfId="0" applyNumberFormat="1" applyFont="1" applyFill="1" applyBorder="1"/>
    <xf numFmtId="4" fontId="6" fillId="8" borderId="3" xfId="0" applyNumberFormat="1" applyFont="1" applyFill="1" applyBorder="1"/>
    <xf numFmtId="0" fontId="7" fillId="10" borderId="3" xfId="0" applyFont="1" applyFill="1" applyBorder="1" applyAlignment="1">
      <alignment horizontal="right" vertical="center"/>
    </xf>
    <xf numFmtId="0" fontId="7" fillId="10" borderId="3" xfId="0" applyFont="1" applyFill="1" applyBorder="1" applyAlignment="1">
      <alignment horizontal="left" vertical="center"/>
    </xf>
    <xf numFmtId="0" fontId="6" fillId="10" borderId="3" xfId="0" applyFont="1" applyFill="1" applyBorder="1"/>
    <xf numFmtId="0" fontId="9" fillId="10" borderId="3" xfId="0" applyFont="1" applyFill="1" applyBorder="1" applyAlignment="1">
      <alignment horizontal="center"/>
    </xf>
    <xf numFmtId="0" fontId="8" fillId="10" borderId="3" xfId="2" applyFont="1" applyFill="1" applyBorder="1" applyAlignment="1">
      <alignment horizontal="center"/>
    </xf>
    <xf numFmtId="0" fontId="7" fillId="10" borderId="3" xfId="2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/>
    </xf>
    <xf numFmtId="0" fontId="6" fillId="11" borderId="3" xfId="0" applyFont="1" applyFill="1" applyBorder="1"/>
    <xf numFmtId="0" fontId="7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/>
    </xf>
    <xf numFmtId="0" fontId="6" fillId="11" borderId="3" xfId="0" applyFont="1" applyFill="1" applyBorder="1" applyAlignment="1">
      <alignment horizontal="center" vertical="center"/>
    </xf>
    <xf numFmtId="0" fontId="8" fillId="11" borderId="3" xfId="2" applyFont="1" applyFill="1" applyBorder="1" applyAlignment="1" applyProtection="1">
      <alignment horizontal="center" vertical="center"/>
    </xf>
    <xf numFmtId="0" fontId="6" fillId="11" borderId="3" xfId="0" applyFont="1" applyFill="1" applyBorder="1" applyAlignment="1">
      <alignment horizontal="center"/>
    </xf>
    <xf numFmtId="0" fontId="8" fillId="11" borderId="3" xfId="4" applyFont="1" applyFill="1" applyBorder="1" applyAlignment="1" applyProtection="1">
      <alignment horizontal="center" vertical="center"/>
    </xf>
    <xf numFmtId="0" fontId="7" fillId="11" borderId="3" xfId="6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/>
    </xf>
    <xf numFmtId="0" fontId="7" fillId="11" borderId="3" xfId="2" applyFont="1" applyFill="1" applyBorder="1" applyAlignment="1">
      <alignment horizontal="center" vertical="center"/>
    </xf>
    <xf numFmtId="0" fontId="8" fillId="11" borderId="3" xfId="2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11" fillId="11" borderId="3" xfId="7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6" fillId="11" borderId="3" xfId="8" applyFont="1" applyFill="1" applyBorder="1" applyAlignment="1">
      <alignment horizontal="center"/>
    </xf>
    <xf numFmtId="0" fontId="6" fillId="11" borderId="3" xfId="9" applyFont="1" applyFill="1" applyBorder="1" applyAlignment="1">
      <alignment horizontal="center"/>
    </xf>
    <xf numFmtId="0" fontId="8" fillId="11" borderId="3" xfId="2" applyFont="1" applyFill="1" applyBorder="1" applyAlignment="1">
      <alignment horizontal="center"/>
    </xf>
    <xf numFmtId="0" fontId="7" fillId="11" borderId="3" xfId="0" applyFont="1" applyFill="1" applyBorder="1" applyAlignment="1">
      <alignment horizontal="center"/>
    </xf>
    <xf numFmtId="0" fontId="12" fillId="11" borderId="3" xfId="4" applyFont="1" applyFill="1" applyBorder="1" applyAlignment="1" applyProtection="1">
      <alignment horizontal="center" vertical="center"/>
    </xf>
    <xf numFmtId="0" fontId="6" fillId="12" borderId="3" xfId="0" applyFont="1" applyFill="1" applyBorder="1"/>
    <xf numFmtId="0" fontId="7" fillId="12" borderId="3" xfId="0" applyFont="1" applyFill="1" applyBorder="1" applyAlignment="1">
      <alignment horizontal="left" vertical="center"/>
    </xf>
    <xf numFmtId="0" fontId="9" fillId="12" borderId="3" xfId="0" applyFont="1" applyFill="1" applyBorder="1" applyAlignment="1">
      <alignment horizontal="center"/>
    </xf>
    <xf numFmtId="0" fontId="8" fillId="12" borderId="3" xfId="2" applyFont="1" applyFill="1" applyBorder="1" applyAlignment="1">
      <alignment horizontal="center"/>
    </xf>
    <xf numFmtId="0" fontId="7" fillId="12" borderId="3" xfId="0" applyFont="1" applyFill="1" applyBorder="1" applyAlignment="1">
      <alignment horizontal="center"/>
    </xf>
    <xf numFmtId="0" fontId="6" fillId="12" borderId="3" xfId="10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 vertical="center"/>
    </xf>
    <xf numFmtId="0" fontId="8" fillId="12" borderId="3" xfId="2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/>
    </xf>
    <xf numFmtId="0" fontId="6" fillId="12" borderId="3" xfId="0" applyFont="1" applyFill="1" applyBorder="1" applyAlignment="1">
      <alignment horizontal="left"/>
    </xf>
    <xf numFmtId="0" fontId="12" fillId="12" borderId="3" xfId="4" applyFont="1" applyFill="1" applyBorder="1" applyAlignment="1" applyProtection="1">
      <alignment horizontal="center" vertical="center"/>
    </xf>
    <xf numFmtId="0" fontId="8" fillId="12" borderId="3" xfId="4" applyFont="1" applyFill="1" applyBorder="1" applyAlignment="1" applyProtection="1">
      <alignment horizontal="center" vertical="center"/>
    </xf>
    <xf numFmtId="0" fontId="13" fillId="13" borderId="3" xfId="0" applyFont="1" applyFill="1" applyBorder="1"/>
    <xf numFmtId="0" fontId="14" fillId="13" borderId="3" xfId="0" applyFont="1" applyFill="1" applyBorder="1" applyAlignment="1">
      <alignment horizontal="left" vertical="center"/>
    </xf>
    <xf numFmtId="0" fontId="13" fillId="13" borderId="3" xfId="0" applyFont="1" applyFill="1" applyBorder="1" applyAlignment="1">
      <alignment horizontal="center" vertical="center"/>
    </xf>
    <xf numFmtId="0" fontId="12" fillId="13" borderId="3" xfId="2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0" fontId="13" fillId="13" borderId="3" xfId="0" applyFont="1" applyFill="1" applyBorder="1" applyAlignment="1">
      <alignment horizontal="center"/>
    </xf>
    <xf numFmtId="0" fontId="12" fillId="13" borderId="3" xfId="2" applyNumberFormat="1" applyFont="1" applyFill="1" applyBorder="1" applyAlignment="1" applyProtection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/>
    </xf>
    <xf numFmtId="0" fontId="17" fillId="14" borderId="3" xfId="0" applyFont="1" applyFill="1" applyBorder="1"/>
    <xf numFmtId="0" fontId="6" fillId="10" borderId="3" xfId="0" applyFont="1" applyFill="1" applyBorder="1" applyAlignment="1">
      <alignment horizontal="center"/>
    </xf>
    <xf numFmtId="164" fontId="6" fillId="10" borderId="3" xfId="0" applyNumberFormat="1" applyFont="1" applyFill="1" applyBorder="1"/>
    <xf numFmtId="2" fontId="6" fillId="10" borderId="3" xfId="0" applyNumberFormat="1" applyFont="1" applyFill="1" applyBorder="1"/>
    <xf numFmtId="164" fontId="6" fillId="11" borderId="3" xfId="0" applyNumberFormat="1" applyFont="1" applyFill="1" applyBorder="1"/>
    <xf numFmtId="2" fontId="6" fillId="11" borderId="3" xfId="0" applyNumberFormat="1" applyFont="1" applyFill="1" applyBorder="1"/>
    <xf numFmtId="4" fontId="6" fillId="11" borderId="3" xfId="0" applyNumberFormat="1" applyFont="1" applyFill="1" applyBorder="1"/>
    <xf numFmtId="0" fontId="6" fillId="11" borderId="0" xfId="0" applyFont="1" applyFill="1"/>
    <xf numFmtId="0" fontId="9" fillId="11" borderId="3" xfId="0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left"/>
    </xf>
    <xf numFmtId="0" fontId="9" fillId="12" borderId="3" xfId="0" applyFont="1" applyFill="1" applyBorder="1" applyAlignment="1">
      <alignment horizontal="center" vertical="center" wrapText="1"/>
    </xf>
    <xf numFmtId="164" fontId="6" fillId="12" borderId="3" xfId="0" applyNumberFormat="1" applyFont="1" applyFill="1" applyBorder="1"/>
    <xf numFmtId="4" fontId="6" fillId="12" borderId="3" xfId="0" applyNumberFormat="1" applyFont="1" applyFill="1" applyBorder="1"/>
    <xf numFmtId="0" fontId="6" fillId="12" borderId="0" xfId="0" applyFont="1" applyFill="1"/>
    <xf numFmtId="164" fontId="13" fillId="13" borderId="3" xfId="0" applyNumberFormat="1" applyFont="1" applyFill="1" applyBorder="1"/>
    <xf numFmtId="4" fontId="13" fillId="13" borderId="3" xfId="0" applyNumberFormat="1" applyFont="1" applyFill="1" applyBorder="1"/>
    <xf numFmtId="0" fontId="18" fillId="13" borderId="3" xfId="0" applyFont="1" applyFill="1" applyBorder="1"/>
    <xf numFmtId="0" fontId="17" fillId="13" borderId="3" xfId="0" applyFont="1" applyFill="1" applyBorder="1" applyAlignment="1">
      <alignment horizontal="center" vertical="center" wrapText="1"/>
    </xf>
    <xf numFmtId="4" fontId="6" fillId="10" borderId="3" xfId="0" applyNumberFormat="1" applyFont="1" applyFill="1" applyBorder="1"/>
    <xf numFmtId="0" fontId="0" fillId="10" borderId="3" xfId="0" applyFill="1" applyBorder="1"/>
    <xf numFmtId="0" fontId="0" fillId="10" borderId="3" xfId="0" applyFill="1" applyBorder="1" applyAlignment="1">
      <alignment horizontal="left"/>
    </xf>
    <xf numFmtId="0" fontId="0" fillId="10" borderId="3" xfId="0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/>
    </xf>
    <xf numFmtId="164" fontId="0" fillId="10" borderId="3" xfId="0" applyNumberFormat="1" applyFill="1" applyBorder="1"/>
    <xf numFmtId="0" fontId="9" fillId="7" borderId="3" xfId="0" applyFont="1" applyFill="1" applyBorder="1"/>
    <xf numFmtId="0" fontId="7" fillId="7" borderId="3" xfId="0" applyFont="1" applyFill="1" applyBorder="1"/>
    <xf numFmtId="0" fontId="3" fillId="2" borderId="3" xfId="0" applyFont="1" applyFill="1" applyBorder="1" applyAlignment="1">
      <alignment horizontal="right" vertical="center"/>
    </xf>
    <xf numFmtId="0" fontId="3" fillId="11" borderId="3" xfId="0" applyFont="1" applyFill="1" applyBorder="1"/>
    <xf numFmtId="0" fontId="2" fillId="11" borderId="3" xfId="0" applyFont="1" applyFill="1" applyBorder="1" applyAlignment="1">
      <alignment horizontal="left"/>
    </xf>
    <xf numFmtId="0" fontId="3" fillId="11" borderId="3" xfId="0" applyFont="1" applyFill="1" applyBorder="1" applyAlignment="1">
      <alignment horizontal="center" vertical="center"/>
    </xf>
    <xf numFmtId="0" fontId="3" fillId="15" borderId="3" xfId="0" applyFont="1" applyFill="1" applyBorder="1"/>
    <xf numFmtId="0" fontId="2" fillId="15" borderId="3" xfId="0" applyFont="1" applyFill="1" applyBorder="1" applyAlignment="1">
      <alignment horizontal="left"/>
    </xf>
    <xf numFmtId="0" fontId="3" fillId="15" borderId="3" xfId="0" applyFont="1" applyFill="1" applyBorder="1" applyAlignment="1">
      <alignment horizontal="center" vertical="center"/>
    </xf>
    <xf numFmtId="0" fontId="3" fillId="16" borderId="3" xfId="0" applyFont="1" applyFill="1" applyBorder="1"/>
    <xf numFmtId="0" fontId="2" fillId="16" borderId="3" xfId="0" applyFont="1" applyFill="1" applyBorder="1" applyAlignment="1">
      <alignment horizontal="left"/>
    </xf>
    <xf numFmtId="0" fontId="3" fillId="16" borderId="3" xfId="0" applyFont="1" applyFill="1" applyBorder="1" applyAlignment="1">
      <alignment horizontal="center" vertical="center"/>
    </xf>
    <xf numFmtId="0" fontId="2" fillId="10" borderId="3" xfId="0" applyFont="1" applyFill="1" applyBorder="1"/>
    <xf numFmtId="0" fontId="2" fillId="10" borderId="3" xfId="0" applyFont="1" applyFill="1" applyBorder="1" applyAlignment="1">
      <alignment horizontal="left"/>
    </xf>
    <xf numFmtId="0" fontId="2" fillId="10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/>
    </xf>
    <xf numFmtId="0" fontId="2" fillId="6" borderId="3" xfId="0" applyFont="1" applyFill="1" applyBorder="1"/>
    <xf numFmtId="0" fontId="2" fillId="6" borderId="3" xfId="0" applyFont="1" applyFill="1" applyBorder="1" applyAlignment="1">
      <alignment horizontal="left"/>
    </xf>
    <xf numFmtId="0" fontId="2" fillId="6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/>
    </xf>
    <xf numFmtId="164" fontId="3" fillId="11" borderId="3" xfId="0" applyNumberFormat="1" applyFont="1" applyFill="1" applyBorder="1" applyAlignment="1">
      <alignment horizontal="right"/>
    </xf>
    <xf numFmtId="43" fontId="3" fillId="11" borderId="3" xfId="1" applyNumberFormat="1" applyFont="1" applyFill="1" applyBorder="1"/>
    <xf numFmtId="165" fontId="3" fillId="11" borderId="3" xfId="0" applyNumberFormat="1" applyFont="1" applyFill="1" applyBorder="1"/>
    <xf numFmtId="164" fontId="3" fillId="15" borderId="3" xfId="0" applyNumberFormat="1" applyFont="1" applyFill="1" applyBorder="1" applyAlignment="1">
      <alignment horizontal="right"/>
    </xf>
    <xf numFmtId="43" fontId="3" fillId="15" borderId="3" xfId="1" applyNumberFormat="1" applyFont="1" applyFill="1" applyBorder="1"/>
    <xf numFmtId="165" fontId="3" fillId="15" borderId="3" xfId="0" applyNumberFormat="1" applyFont="1" applyFill="1" applyBorder="1"/>
    <xf numFmtId="164" fontId="3" fillId="16" borderId="3" xfId="0" applyNumberFormat="1" applyFont="1" applyFill="1" applyBorder="1" applyAlignment="1">
      <alignment horizontal="right"/>
    </xf>
    <xf numFmtId="43" fontId="3" fillId="16" borderId="3" xfId="1" applyNumberFormat="1" applyFont="1" applyFill="1" applyBorder="1"/>
    <xf numFmtId="165" fontId="3" fillId="16" borderId="3" xfId="0" applyNumberFormat="1" applyFont="1" applyFill="1" applyBorder="1"/>
    <xf numFmtId="164" fontId="2" fillId="10" borderId="3" xfId="0" applyNumberFormat="1" applyFont="1" applyFill="1" applyBorder="1"/>
    <xf numFmtId="2" fontId="2" fillId="10" borderId="3" xfId="0" applyNumberFormat="1" applyFont="1" applyFill="1" applyBorder="1"/>
    <xf numFmtId="4" fontId="2" fillId="10" borderId="3" xfId="0" applyNumberFormat="1" applyFont="1" applyFill="1" applyBorder="1"/>
    <xf numFmtId="164" fontId="2" fillId="6" borderId="3" xfId="0" applyNumberFormat="1" applyFont="1" applyFill="1" applyBorder="1"/>
    <xf numFmtId="2" fontId="2" fillId="6" borderId="3" xfId="0" applyNumberFormat="1" applyFont="1" applyFill="1" applyBorder="1"/>
    <xf numFmtId="4" fontId="2" fillId="6" borderId="3" xfId="0" applyNumberFormat="1" applyFont="1" applyFill="1" applyBorder="1"/>
    <xf numFmtId="0" fontId="2" fillId="17" borderId="3" xfId="0" applyFont="1" applyFill="1" applyBorder="1"/>
    <xf numFmtId="0" fontId="2" fillId="17" borderId="3" xfId="0" applyFont="1" applyFill="1" applyBorder="1" applyAlignment="1">
      <alignment horizontal="left"/>
    </xf>
    <xf numFmtId="0" fontId="2" fillId="17" borderId="3" xfId="0" applyFont="1" applyFill="1" applyBorder="1" applyAlignment="1">
      <alignment horizontal="center" vertical="center"/>
    </xf>
    <xf numFmtId="0" fontId="2" fillId="17" borderId="3" xfId="0" applyFont="1" applyFill="1" applyBorder="1" applyAlignment="1">
      <alignment horizontal="center"/>
    </xf>
    <xf numFmtId="0" fontId="2" fillId="3" borderId="3" xfId="0" applyFont="1" applyFill="1" applyBorder="1"/>
    <xf numFmtId="0" fontId="2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/>
    <xf numFmtId="0" fontId="2" fillId="4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164" fontId="2" fillId="17" borderId="3" xfId="0" applyNumberFormat="1" applyFont="1" applyFill="1" applyBorder="1"/>
    <xf numFmtId="2" fontId="2" fillId="17" borderId="3" xfId="0" applyNumberFormat="1" applyFont="1" applyFill="1" applyBorder="1"/>
    <xf numFmtId="4" fontId="2" fillId="17" borderId="3" xfId="0" applyNumberFormat="1" applyFont="1" applyFill="1" applyBorder="1"/>
    <xf numFmtId="164" fontId="2" fillId="3" borderId="3" xfId="0" applyNumberFormat="1" applyFont="1" applyFill="1" applyBorder="1"/>
    <xf numFmtId="2" fontId="2" fillId="3" borderId="3" xfId="0" applyNumberFormat="1" applyFont="1" applyFill="1" applyBorder="1"/>
    <xf numFmtId="4" fontId="2" fillId="3" borderId="3" xfId="0" applyNumberFormat="1" applyFont="1" applyFill="1" applyBorder="1"/>
    <xf numFmtId="164" fontId="2" fillId="4" borderId="3" xfId="0" applyNumberFormat="1" applyFont="1" applyFill="1" applyBorder="1"/>
    <xf numFmtId="2" fontId="2" fillId="4" borderId="3" xfId="0" applyNumberFormat="1" applyFont="1" applyFill="1" applyBorder="1"/>
    <xf numFmtId="4" fontId="2" fillId="4" borderId="3" xfId="0" applyNumberFormat="1" applyFont="1" applyFill="1" applyBorder="1"/>
    <xf numFmtId="16" fontId="2" fillId="3" borderId="3" xfId="0" applyNumberFormat="1" applyFont="1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/>
    <xf numFmtId="43" fontId="3" fillId="3" borderId="3" xfId="1" applyNumberFormat="1" applyFont="1" applyFill="1" applyBorder="1"/>
    <xf numFmtId="165" fontId="3" fillId="3" borderId="3" xfId="0" applyNumberFormat="1" applyFont="1" applyFill="1" applyBorder="1"/>
    <xf numFmtId="0" fontId="3" fillId="0" borderId="4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19" fillId="7" borderId="3" xfId="0" applyFont="1" applyFill="1" applyBorder="1" applyAlignment="1">
      <alignment horizontal="left" vertical="center"/>
    </xf>
    <xf numFmtId="0" fontId="20" fillId="7" borderId="3" xfId="0" applyFont="1" applyFill="1" applyBorder="1" applyAlignment="1">
      <alignment horizontal="left" vertical="center"/>
    </xf>
    <xf numFmtId="0" fontId="19" fillId="7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/>
    </xf>
    <xf numFmtId="0" fontId="20" fillId="7" borderId="3" xfId="0" applyFont="1" applyFill="1" applyBorder="1" applyAlignment="1">
      <alignment horizontal="left" vertical="center" wrapText="1"/>
    </xf>
    <xf numFmtId="0" fontId="2" fillId="7" borderId="3" xfId="0" applyFont="1" applyFill="1" applyBorder="1"/>
    <xf numFmtId="15" fontId="20" fillId="7" borderId="3" xfId="0" applyNumberFormat="1" applyFont="1" applyFill="1" applyBorder="1" applyAlignment="1">
      <alignment vertical="center" wrapText="1"/>
    </xf>
    <xf numFmtId="0" fontId="21" fillId="7" borderId="3" xfId="0" applyFont="1" applyFill="1" applyBorder="1" applyAlignment="1">
      <alignment horizontal="left"/>
    </xf>
    <xf numFmtId="2" fontId="2" fillId="7" borderId="3" xfId="0" applyNumberFormat="1" applyFont="1" applyFill="1" applyBorder="1"/>
    <xf numFmtId="4" fontId="2" fillId="7" borderId="3" xfId="0" applyNumberFormat="1" applyFont="1" applyFill="1" applyBorder="1"/>
    <xf numFmtId="0" fontId="22" fillId="7" borderId="3" xfId="0" applyFont="1" applyFill="1" applyBorder="1" applyAlignment="1">
      <alignment horizontal="center"/>
    </xf>
    <xf numFmtId="0" fontId="0" fillId="7" borderId="3" xfId="0" applyFill="1" applyBorder="1"/>
    <xf numFmtId="164" fontId="0" fillId="7" borderId="3" xfId="0" applyNumberFormat="1" applyFill="1" applyBorder="1"/>
    <xf numFmtId="3" fontId="2" fillId="7" borderId="3" xfId="0" applyNumberFormat="1" applyFont="1" applyFill="1" applyBorder="1"/>
    <xf numFmtId="0" fontId="22" fillId="7" borderId="3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left"/>
    </xf>
    <xf numFmtId="0" fontId="20" fillId="7" borderId="3" xfId="0" applyFont="1" applyFill="1" applyBorder="1" applyAlignment="1">
      <alignment vertical="center"/>
    </xf>
    <xf numFmtId="15" fontId="20" fillId="7" borderId="3" xfId="0" applyNumberFormat="1" applyFont="1" applyFill="1" applyBorder="1" applyAlignment="1">
      <alignment vertical="center"/>
    </xf>
    <xf numFmtId="3" fontId="0" fillId="7" borderId="3" xfId="0" applyNumberFormat="1" applyFill="1" applyBorder="1"/>
    <xf numFmtId="0" fontId="2" fillId="7" borderId="3" xfId="0" applyFont="1" applyFill="1" applyBorder="1" applyAlignment="1">
      <alignment horizontal="center"/>
    </xf>
    <xf numFmtId="0" fontId="22" fillId="7" borderId="3" xfId="0" applyFont="1" applyFill="1" applyBorder="1" applyAlignment="1">
      <alignment horizontal="left" vertical="center" wrapText="1"/>
    </xf>
    <xf numFmtId="4" fontId="6" fillId="0" borderId="0" xfId="0" applyNumberFormat="1" applyFont="1"/>
    <xf numFmtId="4" fontId="2" fillId="0" borderId="0" xfId="0" applyNumberFormat="1" applyFont="1"/>
    <xf numFmtId="0" fontId="7" fillId="5" borderId="3" xfId="0" applyFont="1" applyFill="1" applyBorder="1" applyAlignment="1">
      <alignment vertical="center"/>
    </xf>
    <xf numFmtId="0" fontId="6" fillId="5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left"/>
    </xf>
    <xf numFmtId="0" fontId="19" fillId="5" borderId="3" xfId="0" applyFont="1" applyFill="1" applyBorder="1" applyAlignment="1">
      <alignment horizontal="left" vertical="center"/>
    </xf>
    <xf numFmtId="0" fontId="20" fillId="5" borderId="3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/>
    </xf>
    <xf numFmtId="0" fontId="9" fillId="5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center"/>
    </xf>
    <xf numFmtId="0" fontId="9" fillId="5" borderId="3" xfId="0" applyFont="1" applyFill="1" applyBorder="1"/>
    <xf numFmtId="0" fontId="9" fillId="5" borderId="3" xfId="0" applyFont="1" applyFill="1" applyBorder="1" applyAlignment="1">
      <alignment vertical="center"/>
    </xf>
    <xf numFmtId="0" fontId="9" fillId="5" borderId="3" xfId="0" applyFont="1" applyFill="1" applyBorder="1" applyAlignment="1">
      <alignment horizontal="center" vertical="center"/>
    </xf>
    <xf numFmtId="0" fontId="0" fillId="5" borderId="3" xfId="0" applyFill="1" applyBorder="1"/>
    <xf numFmtId="0" fontId="22" fillId="5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5" borderId="3" xfId="0" applyFont="1" applyFill="1" applyBorder="1" applyAlignment="1">
      <alignment vertical="center"/>
    </xf>
    <xf numFmtId="0" fontId="20" fillId="5" borderId="3" xfId="0" applyFont="1" applyFill="1" applyBorder="1" applyAlignment="1">
      <alignment horizontal="left" vertical="center" wrapText="1"/>
    </xf>
    <xf numFmtId="0" fontId="2" fillId="5" borderId="3" xfId="0" applyFont="1" applyFill="1" applyBorder="1"/>
    <xf numFmtId="15" fontId="20" fillId="5" borderId="3" xfId="0" applyNumberFormat="1" applyFont="1" applyFill="1" applyBorder="1" applyAlignment="1">
      <alignment vertical="center" wrapText="1"/>
    </xf>
    <xf numFmtId="0" fontId="21" fillId="5" borderId="3" xfId="0" applyFont="1" applyFill="1" applyBorder="1" applyAlignment="1">
      <alignment horizontal="left"/>
    </xf>
    <xf numFmtId="2" fontId="2" fillId="5" borderId="3" xfId="0" applyNumberFormat="1" applyFont="1" applyFill="1" applyBorder="1"/>
    <xf numFmtId="4" fontId="2" fillId="5" borderId="3" xfId="0" applyNumberFormat="1" applyFont="1" applyFill="1" applyBorder="1"/>
    <xf numFmtId="0" fontId="22" fillId="5" borderId="3" xfId="0" applyFont="1" applyFill="1" applyBorder="1" applyAlignment="1">
      <alignment horizontal="center"/>
    </xf>
    <xf numFmtId="164" fontId="0" fillId="5" borderId="3" xfId="0" applyNumberFormat="1" applyFill="1" applyBorder="1"/>
    <xf numFmtId="3" fontId="2" fillId="5" borderId="3" xfId="0" applyNumberFormat="1" applyFont="1" applyFill="1" applyBorder="1"/>
    <xf numFmtId="15" fontId="20" fillId="5" borderId="3" xfId="0" applyNumberFormat="1" applyFont="1" applyFill="1" applyBorder="1" applyAlignment="1">
      <alignment vertical="center"/>
    </xf>
    <xf numFmtId="3" fontId="0" fillId="5" borderId="3" xfId="0" applyNumberFormat="1" applyFill="1" applyBorder="1"/>
    <xf numFmtId="0" fontId="2" fillId="5" borderId="3" xfId="0" applyFont="1" applyFill="1" applyBorder="1" applyAlignment="1">
      <alignment horizontal="center"/>
    </xf>
    <xf numFmtId="0" fontId="22" fillId="5" borderId="3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3" fontId="20" fillId="0" borderId="0" xfId="0" applyNumberFormat="1" applyFont="1" applyAlignment="1">
      <alignment vertical="center"/>
    </xf>
    <xf numFmtId="0" fontId="2" fillId="3" borderId="3" xfId="0" quotePrefix="1" applyFont="1" applyFill="1" applyBorder="1" applyAlignment="1">
      <alignment horizontal="left"/>
    </xf>
    <xf numFmtId="0" fontId="29" fillId="14" borderId="3" xfId="0" applyFont="1" applyFill="1" applyBorder="1"/>
    <xf numFmtId="1" fontId="30" fillId="12" borderId="3" xfId="0" applyNumberFormat="1" applyFont="1" applyFill="1" applyBorder="1"/>
    <xf numFmtId="0" fontId="29" fillId="14" borderId="3" xfId="0" applyFont="1" applyFill="1" applyBorder="1" applyAlignment="1">
      <alignment horizontal="center" vertical="center"/>
    </xf>
    <xf numFmtId="0" fontId="29" fillId="14" borderId="3" xfId="0" applyFont="1" applyFill="1" applyBorder="1" applyAlignment="1">
      <alignment horizontal="center" vertical="center" wrapText="1"/>
    </xf>
    <xf numFmtId="164" fontId="30" fillId="14" borderId="3" xfId="0" applyNumberFormat="1" applyFont="1" applyFill="1" applyBorder="1"/>
    <xf numFmtId="4" fontId="30" fillId="14" borderId="3" xfId="0" applyNumberFormat="1" applyFont="1" applyFill="1" applyBorder="1"/>
    <xf numFmtId="0" fontId="30" fillId="14" borderId="3" xfId="0" applyFont="1" applyFill="1" applyBorder="1"/>
    <xf numFmtId="0" fontId="30" fillId="14" borderId="3" xfId="0" applyFont="1" applyFill="1" applyBorder="1" applyAlignment="1">
      <alignment horizontal="center"/>
    </xf>
    <xf numFmtId="0" fontId="32" fillId="14" borderId="3" xfId="0" applyFont="1" applyFill="1" applyBorder="1" applyAlignment="1">
      <alignment horizontal="left" vertical="center"/>
    </xf>
    <xf numFmtId="0" fontId="31" fillId="14" borderId="3" xfId="0" applyFont="1" applyFill="1" applyBorder="1" applyAlignment="1">
      <alignment horizontal="center"/>
    </xf>
    <xf numFmtId="0" fontId="13" fillId="13" borderId="5" xfId="0" applyFont="1" applyFill="1" applyBorder="1"/>
    <xf numFmtId="0" fontId="33" fillId="14" borderId="3" xfId="0" applyFont="1" applyFill="1" applyBorder="1"/>
    <xf numFmtId="0" fontId="33" fillId="14" borderId="3" xfId="0" applyFont="1" applyFill="1" applyBorder="1" applyAlignment="1">
      <alignment horizontal="center"/>
    </xf>
    <xf numFmtId="0" fontId="34" fillId="14" borderId="3" xfId="2" applyFont="1" applyFill="1" applyBorder="1" applyAlignment="1">
      <alignment horizontal="center"/>
    </xf>
    <xf numFmtId="0" fontId="32" fillId="14" borderId="3" xfId="0" applyFont="1" applyFill="1" applyBorder="1" applyAlignment="1">
      <alignment horizontal="center"/>
    </xf>
    <xf numFmtId="0" fontId="30" fillId="14" borderId="3" xfId="0" applyFont="1" applyFill="1" applyBorder="1" applyAlignment="1">
      <alignment horizontal="center" vertical="center"/>
    </xf>
    <xf numFmtId="0" fontId="35" fillId="14" borderId="3" xfId="0" applyFont="1" applyFill="1" applyBorder="1" applyAlignment="1">
      <alignment horizontal="left" vertical="center"/>
    </xf>
    <xf numFmtId="0" fontId="29" fillId="14" borderId="3" xfId="0" applyFont="1" applyFill="1" applyBorder="1" applyAlignment="1">
      <alignment horizontal="center"/>
    </xf>
    <xf numFmtId="0" fontId="36" fillId="14" borderId="3" xfId="2" applyFont="1" applyFill="1" applyBorder="1" applyAlignment="1">
      <alignment horizontal="center"/>
    </xf>
    <xf numFmtId="0" fontId="35" fillId="14" borderId="3" xfId="0" applyFont="1" applyFill="1" applyBorder="1" applyAlignment="1">
      <alignment horizontal="center"/>
    </xf>
    <xf numFmtId="0" fontId="36" fillId="14" borderId="3" xfId="2" applyFont="1" applyFill="1" applyBorder="1" applyAlignment="1">
      <alignment horizontal="center" vertical="center"/>
    </xf>
    <xf numFmtId="0" fontId="35" fillId="14" borderId="3" xfId="0" applyFont="1" applyFill="1" applyBorder="1" applyAlignment="1">
      <alignment horizontal="center" vertical="center"/>
    </xf>
    <xf numFmtId="0" fontId="30" fillId="14" borderId="3" xfId="0" applyFont="1" applyFill="1" applyBorder="1" applyAlignment="1">
      <alignment horizontal="left"/>
    </xf>
    <xf numFmtId="0" fontId="37" fillId="14" borderId="3" xfId="0" applyFont="1" applyFill="1" applyBorder="1" applyAlignment="1">
      <alignment horizontal="center" vertical="center"/>
    </xf>
    <xf numFmtId="0" fontId="0" fillId="6" borderId="3" xfId="0" applyFill="1" applyBorder="1"/>
    <xf numFmtId="0" fontId="35" fillId="6" borderId="3" xfId="0" applyFont="1" applyFill="1" applyBorder="1" applyAlignment="1">
      <alignment horizontal="left" vertical="center"/>
    </xf>
    <xf numFmtId="0" fontId="0" fillId="6" borderId="3" xfId="0" applyFill="1" applyBorder="1" applyAlignment="1">
      <alignment horizontal="left"/>
    </xf>
    <xf numFmtId="0" fontId="30" fillId="6" borderId="3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164" fontId="0" fillId="6" borderId="3" xfId="0" applyNumberFormat="1" applyFill="1" applyBorder="1"/>
    <xf numFmtId="0" fontId="30" fillId="6" borderId="3" xfId="0" applyFont="1" applyFill="1" applyBorder="1"/>
    <xf numFmtId="4" fontId="30" fillId="6" borderId="3" xfId="0" applyNumberFormat="1" applyFont="1" applyFill="1" applyBorder="1"/>
    <xf numFmtId="0" fontId="0" fillId="6" borderId="3" xfId="0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/>
    </xf>
    <xf numFmtId="0" fontId="36" fillId="6" borderId="3" xfId="2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164" fontId="30" fillId="6" borderId="3" xfId="0" applyNumberFormat="1" applyFont="1" applyFill="1" applyBorder="1"/>
    <xf numFmtId="0" fontId="1" fillId="0" borderId="0" xfId="0" applyFont="1"/>
    <xf numFmtId="0" fontId="10" fillId="11" borderId="3" xfId="2" applyFill="1" applyBorder="1" applyAlignment="1" applyProtection="1">
      <alignment horizontal="center" vertical="center"/>
    </xf>
    <xf numFmtId="0" fontId="10" fillId="11" borderId="3" xfId="2" applyFill="1" applyBorder="1" applyAlignment="1">
      <alignment horizontal="center" vertical="center"/>
    </xf>
    <xf numFmtId="0" fontId="10" fillId="11" borderId="3" xfId="2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166" fontId="4" fillId="0" borderId="2" xfId="0" applyNumberFormat="1" applyFont="1" applyBorder="1" applyAlignment="1">
      <alignment horizontal="center"/>
    </xf>
    <xf numFmtId="166" fontId="30" fillId="4" borderId="3" xfId="0" applyNumberFormat="1" applyFont="1" applyFill="1" applyBorder="1"/>
    <xf numFmtId="166" fontId="6" fillId="4" borderId="3" xfId="0" applyNumberFormat="1" applyFont="1" applyFill="1" applyBorder="1"/>
    <xf numFmtId="166" fontId="0" fillId="6" borderId="3" xfId="0" applyNumberFormat="1" applyFill="1" applyBorder="1"/>
    <xf numFmtId="166" fontId="0" fillId="0" borderId="0" xfId="0" applyNumberFormat="1"/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1">
    <cellStyle name="Currency" xfId="1" builtinId="4"/>
    <cellStyle name="Hyperlink" xfId="2" builtinId="8"/>
    <cellStyle name="Hyperlink 2" xfId="3" xr:uid="{00000000-0005-0000-0000-000031000000}"/>
    <cellStyle name="Hyperlink 3" xfId="4" xr:uid="{00000000-0005-0000-0000-000032000000}"/>
    <cellStyle name="Normal" xfId="0" builtinId="0"/>
    <cellStyle name="Normal 2" xfId="5" xr:uid="{00000000-0005-0000-0000-000033000000}"/>
    <cellStyle name="Normal 3" xfId="6" xr:uid="{00000000-0005-0000-0000-000034000000}"/>
    <cellStyle name="Normal 4" xfId="7" xr:uid="{00000000-0005-0000-0000-000035000000}"/>
    <cellStyle name="Normal 5" xfId="8" xr:uid="{00000000-0005-0000-0000-000036000000}"/>
    <cellStyle name="Normal 6" xfId="9" xr:uid="{00000000-0005-0000-0000-000037000000}"/>
    <cellStyle name="Normal 7" xfId="10" xr:uid="{00000000-0005-0000-0000-000038000000}"/>
  </cellStyles>
  <dxfs count="0"/>
  <tableStyles count="0" defaultTableStyle="TableStyleMedium2" defaultPivotStyle="PivotStyleLight16"/>
  <colors>
    <mruColors>
      <color rgb="FFFFCCFF"/>
      <color rgb="FF66FF99"/>
      <color rgb="FFFF99CC"/>
      <color rgb="FFEB99E5"/>
      <color rgb="FFEDDBEE"/>
      <color rgb="FFC6E0B4"/>
      <color rgb="FF9371C1"/>
      <color rgb="FFFFFFFF"/>
      <color rgb="FFF4BAF1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Staff\TIO\Titip%20Jual\Laporan%20Knox%20per%20Februari%202019%20-%202022\Sheet2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ifax Indonesia" refreshedDate="44699.403044907398" createdVersion="7" refreshedVersion="7" minRefreshableVersion="3" recordCount="374" xr:uid="{00000000-000A-0000-FFFF-FFFF00000000}">
  <cacheSource type="worksheet">
    <worksheetSource ref="A1:O375" sheet="Sheet2" r:id="rId2"/>
  </cacheSource>
  <cacheFields count="15">
    <cacheField name="no" numFmtId="0">
      <sharedItems containsSemiMixedTypes="0" containsNonDate="0" containsString="0"/>
    </cacheField>
    <cacheField name="PO No (Malifax)" numFmtId="0">
      <sharedItems containsSemiMixedTypes="0" containsNonDate="0" containsString="0"/>
    </cacheField>
    <cacheField name="PO No (customer)" numFmtId="0">
      <sharedItems containsSemiMixedTypes="0" containsNonDate="0" containsString="0"/>
    </cacheField>
    <cacheField name="Reseller" numFmtId="0">
      <sharedItems containsBlank="1" count="22">
        <s v="CV Duta Bisindo Sejahtera"/>
        <s v="PT. Erafone Artha Retailindo"/>
        <s v="PT. Setia Utama Distrindo"/>
        <s v="PT. Panca Putra Solusindo"/>
        <s v="PT. Faasri Utama Sakti"/>
        <s v="PT. Autojaya Idetech"/>
        <s v="PT. Zoom Infotek Telesindo"/>
        <m/>
        <s v="PT. Datascrip"/>
        <s v="PT. Bhakti Solusindo"/>
        <s v="PT. Mobile Sarana Sentosa"/>
        <s v="PT. Global Distribusi Nusantara"/>
        <s v="PT. Trisakti Mustika Graphika"/>
        <s v="Mata Utama"/>
        <s v="PT. Noer Cipta Nusantara"/>
        <s v="PT. Indosat Ooredoo"/>
        <s v="PT. Krisnawan Mitra Karya"/>
        <s v="-"/>
        <s v="PT. Global Digital Niaga"/>
        <s v="PT. SInar Inti Maju"/>
        <s v="PT. Nusa Prima Cipta"/>
        <s v="PT. Data Scrip" u="1"/>
      </sharedItems>
    </cacheField>
    <cacheField name="End User/End Customer" numFmtId="0">
      <sharedItems containsSemiMixedTypes="0" containsNonDate="0" containsString="0"/>
    </cacheField>
    <cacheField name="Periode Monthly" numFmtId="0">
      <sharedItems containsSemiMixedTypes="0" containsNonDate="0" containsString="0"/>
    </cacheField>
    <cacheField name="Periode Yearly" numFmtId="0">
      <sharedItems containsSemiMixedTypes="0" containsNonDate="0" containsString="0"/>
    </cacheField>
    <cacheField name="Type Knox" numFmtId="0">
      <sharedItems containsSemiMixedTypes="0" containsNonDate="0" containsString="0"/>
    </cacheField>
    <cacheField name="License Key" numFmtId="0">
      <sharedItems containsSemiMixedTypes="0" containsNonDate="0" containsString="0"/>
    </cacheField>
    <cacheField name="PO Date" numFmtId="164">
      <sharedItems containsSemiMixedTypes="0" containsNonDate="0" containsString="0"/>
    </cacheField>
    <cacheField name="Unit Price exclude tax (Internal)" numFmtId="0">
      <sharedItems containsSemiMixedTypes="0" containsNonDate="0" containsString="0"/>
    </cacheField>
    <cacheField name="Quantity" numFmtId="0">
      <sharedItems containsSemiMixedTypes="0" containsNonDate="0" containsString="0"/>
    </cacheField>
    <cacheField name="Total Price exclud tax (internal)" numFmtId="0">
      <sharedItems containsSemiMixedTypes="0" containsNonDate="0" containsString="0"/>
    </cacheField>
    <cacheField name="Unit Price exclude tax (po customer)" numFmtId="0">
      <sharedItems containsSemiMixedTypes="0" containsNonDate="0" containsString="0"/>
    </cacheField>
    <cacheField name="Total Price exclud tax (po customer)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4">
  <r>
    <n v="1"/>
    <s v="PD-19090036/001"/>
    <s v="02/PO-DUBIS/IX/2019"/>
    <x v="0"/>
    <s v="Direktorat Kelaikudaraan dan Pengoperasian Pesawat Udara"/>
    <s v="26 Jan 2020 - 25 Feb 2020"/>
    <s v="26 Sept 2019 - 25 Sept 2022"/>
    <s v="Knox Configure Setup 3 Years"/>
    <s v="KLM09-63F7D-0EO2B-HDHWQ-MD4VL-KVQED"/>
    <s v="24 Sept 19"/>
    <n v="46363.64"/>
    <n v="240"/>
    <n v="11127273.6"/>
    <m/>
    <m/>
  </r>
  <r>
    <n v="2"/>
    <s v="PD-20030008/001"/>
    <s v="PO/EAR.EAR/20/03/0018"/>
    <x v="1"/>
    <s v="PT. Teknologi Pengangkutan Indonesia"/>
    <m/>
    <s v="9 Mar 2020 - 8 Mar 2023"/>
    <s v="Knox Guard 3 Year"/>
    <s v="KLM08-IO9IA-DDGE1-8HR1B-CRRTC-RTVHY"/>
    <d v="2020-03-03T00:00:00"/>
    <n v="41205"/>
    <n v="200"/>
    <n v="8241000"/>
    <n v="45000"/>
    <n v="9000000"/>
  </r>
  <r>
    <n v="3"/>
    <s v="PD-20050005/001"/>
    <s v="POC-1001-2005-004"/>
    <x v="2"/>
    <s v="PT. Kalbe Farma Tbk"/>
    <m/>
    <s v="12 Mei 2020 - 11 Mei 2022"/>
    <s v="Knox Manage 2 Years "/>
    <s v="KLM09-APW16-EEOH9-FNXDO-IHQD0-T6DSX"/>
    <d v="2020-05-06T00:00:00"/>
    <n v="444545"/>
    <n v="5"/>
    <n v="2222725"/>
    <n v="556363.63"/>
    <n v="2781818.15"/>
  </r>
  <r>
    <n v="4"/>
    <s v="PD-20050009/001 - Rev"/>
    <n v="76320"/>
    <x v="3"/>
    <s v="PT. BCA Insurance"/>
    <m/>
    <s v="28 Mei 2020 - 27 Mei 2022"/>
    <s v="Knox Configure Setup 2 Years"/>
    <s v="KLM03-NZ396-35IQ4-TUPY5-BDHLP-I8TG6"/>
    <d v="2020-05-06T00:00:00"/>
    <n v="81818"/>
    <n v="6"/>
    <n v="490908"/>
    <n v="116363.64"/>
    <n v="698181.84"/>
  </r>
  <r>
    <n v="5"/>
    <s v="PD-20050014/001"/>
    <s v="PO-02/05-20/XX06"/>
    <x v="4"/>
    <s v="PT. Wicaksana Overseas International Amurang"/>
    <m/>
    <s v="19 Mei 2020 - 18 Mei 2022"/>
    <s v="Knox Manage 2 Years "/>
    <s v="KLM09-FF7HM-FMME3-JXPNW-6O6JD-3XR2A"/>
    <d v="2020-05-13T00:00:00"/>
    <n v="254545"/>
    <n v="6"/>
    <n v="1527270"/>
    <n v="275000"/>
    <n v="1650000"/>
  </r>
  <r>
    <n v="6"/>
    <s v="PD-20050028/001"/>
    <s v="PO-02/05-20/XX08"/>
    <x v="4"/>
    <s v="PT. Cahaya Agung Cemerlang"/>
    <m/>
    <s v="29 Mei 2020 - 28 Mei 2022"/>
    <s v="Knox Manage 2 Years "/>
    <s v="KLM09-CT2QL-RA0M3-SDXDN-09CH2-N182S"/>
    <d v="2020-05-20T00:00:00"/>
    <n v="254545"/>
    <n v="1"/>
    <n v="254545"/>
    <n v="275000"/>
    <n v="275000"/>
  </r>
  <r>
    <n v="7"/>
    <s v="PD-20050035/001"/>
    <s v="PO-02/05-20/XX13"/>
    <x v="4"/>
    <s v="PT. Superita Mitrajaya Sukses"/>
    <m/>
    <s v="4 Juni 2020 - 3 Juni 2022"/>
    <s v="Knox Manage 2 Years "/>
    <s v="KLM09-M0ZOV-4ISNM-ZNVNW-4ZJLE-8P1HE"/>
    <d v="2020-05-28T00:00:00"/>
    <n v="254545"/>
    <n v="1"/>
    <n v="254545"/>
    <n v="275000"/>
    <n v="275000"/>
  </r>
  <r>
    <n v="8"/>
    <s v="PD-20050036/001"/>
    <s v="PO-02/05-20/XX13"/>
    <x v="4"/>
    <s v="PD. Indah Permai Group"/>
    <m/>
    <s v="4 Juni 2020 - 3 Juni 2022"/>
    <s v="Knox Manage 2 Years "/>
    <s v="KLM09-CGVPB-E9AJO-C7HHI-2R146-ASD2V"/>
    <d v="2020-05-28T00:00:00"/>
    <n v="254545"/>
    <n v="3"/>
    <n v="763635"/>
    <n v="275000"/>
    <n v="825000"/>
  </r>
  <r>
    <n v="9"/>
    <s v="PD-20050037/001"/>
    <s v="PO-02/05-20/XX13"/>
    <x v="4"/>
    <s v="PD. Indah Permai Group Lotim"/>
    <m/>
    <s v="4 Juni 2020 - 3 Juni 2022"/>
    <s v="Knox Manage 2 Years "/>
    <s v="KLM09-6OO7Y-FQ2GU-KGZ2B-1Q9N6-WW447"/>
    <d v="2020-05-28T00:00:00"/>
    <n v="254545"/>
    <n v="1"/>
    <n v="254545"/>
    <n v="275000"/>
    <n v="275000"/>
  </r>
  <r>
    <n v="10"/>
    <s v="PD-20060011/001"/>
    <s v="PO-02/06-20/XX07"/>
    <x v="4"/>
    <s v="CV. Karya Sari Utama"/>
    <m/>
    <s v="15 Juni 2020 - 14 Juni 2022"/>
    <s v="Knox Manage 2 Years "/>
    <s v="KLM09-FBRDY-II6RC-9TLH7-PAQWE-E0YPR"/>
    <d v="2020-06-09T00:00:00"/>
    <n v="254545"/>
    <n v="1"/>
    <n v="254545"/>
    <n v="275000"/>
    <n v="275000"/>
  </r>
  <r>
    <n v="11"/>
    <s v="PD-20060013/001"/>
    <s v="PO-02/06-20/XX08"/>
    <x v="4"/>
    <s v="CV. Jembar Rahayu Putra"/>
    <m/>
    <s v="15 Juni 2020 - 14 Juni 2022"/>
    <s v="Knox Manage 2 Years "/>
    <s v="KLM09-6UZ7B-L8UAM-MI4D2-OBSJJ-5LMW5"/>
    <d v="2020-06-10T00:00:00"/>
    <n v="254545"/>
    <n v="3"/>
    <n v="763635"/>
    <n v="275000"/>
    <n v="825000"/>
  </r>
  <r>
    <n v="12"/>
    <s v="PD-20060028/001"/>
    <s v="PC-1001-2006-009"/>
    <x v="2"/>
    <s v="PT. Kalbe Farma Tbk"/>
    <m/>
    <s v="25 Juni 2020 - 24 Juni 2022"/>
    <s v="Knox Manage 2 Years "/>
    <s v="KLM09-H4756-4MU9F-J705E-KISR9-33HZK"/>
    <d v="2020-06-22T00:00:00"/>
    <n v="444545"/>
    <n v="36"/>
    <n v="16003620"/>
    <n v="556363.63600000006"/>
    <n v="20029090.896000002"/>
  </r>
  <r>
    <n v="13"/>
    <s v="PD-20060030/001"/>
    <s v="PO-02/06-20/XX14"/>
    <x v="4"/>
    <s v="CV. Heksa Gemilang"/>
    <m/>
    <s v="26 Juni 2020 - 25 Juni 2022"/>
    <s v="Knox Manage 2 Years "/>
    <s v="KLM09-USBPT-5H2GJ-MGBA2-XV9HO-PWIXA"/>
    <d v="2020-06-22T00:00:00"/>
    <n v="254545"/>
    <n v="1"/>
    <n v="254545"/>
    <n v="275000"/>
    <n v="275000"/>
  </r>
  <r>
    <n v="14"/>
    <s v="PD-20060031/001"/>
    <s v="PO-02/06-20/XX14"/>
    <x v="4"/>
    <s v="CV. Okase Lbajo"/>
    <m/>
    <s v="26 Juni 2020 - 25 Juni 2022"/>
    <s v="Knox Manage 2 Years "/>
    <s v="KLM09-FOMDE-IVFX8-0SCJC-1P1H9-W6AXK"/>
    <d v="2020-06-22T00:00:00"/>
    <n v="254545"/>
    <n v="2"/>
    <n v="509090"/>
    <n v="275000"/>
    <n v="550000"/>
  </r>
  <r>
    <n v="15"/>
    <s v="PD-20060035/001"/>
    <s v="PO-02/06-20/XX17"/>
    <x v="4"/>
    <s v="CV. Naicom Mandiri Sentani"/>
    <m/>
    <s v="29 Juni 2020 - 28 Juni 2022"/>
    <s v="Knox Manage 2 Years "/>
    <s v="KLM09-EF6J2-3Q31W-JMIVN-I7PDB-Z1CTK"/>
    <d v="2020-06-23T00:00:00"/>
    <n v="254545"/>
    <n v="3"/>
    <n v="763635"/>
    <n v="275000"/>
    <n v="825000"/>
  </r>
  <r>
    <n v="16"/>
    <s v="PD-20060036/001"/>
    <s v="PO-02/06-20/XX17"/>
    <x v="4"/>
    <s v="CV. Karya Sari Utama Selong"/>
    <m/>
    <s v="29 Juni 2020 - 28 Juni 2022"/>
    <s v="Knox Manage 2 Years "/>
    <s v="KLM09-U3A58-0DU7R-921G4-YQKQX-XB0JP"/>
    <d v="2020-06-23T00:00:00"/>
    <n v="254545"/>
    <n v="1"/>
    <n v="254545"/>
    <n v="275000"/>
    <n v="275000"/>
  </r>
  <r>
    <n v="17"/>
    <s v="PD-20060039/001"/>
    <s v="PO-02/06-20/XX18"/>
    <x v="4"/>
    <s v="CV. Aneka Pangan Mitra Nusantara"/>
    <m/>
    <s v="30 Juni 2020 - 29 Juni 2022"/>
    <s v="Knox Manage 2 Years "/>
    <s v="KLM09-0O9PN-NM29K-86ADG-50CSQ-P9CH9"/>
    <d v="2020-06-25T00:00:00"/>
    <n v="254545"/>
    <n v="1"/>
    <n v="254545"/>
    <n v="275000"/>
    <n v="275000"/>
  </r>
  <r>
    <n v="18"/>
    <s v="PD-20060045/001"/>
    <s v="PO-02/06-20/XX21"/>
    <x v="4"/>
    <s v="PT. Fajar Pangan Lestari"/>
    <m/>
    <s v="6 Juli 2020 - 5 Juli 2022"/>
    <s v="Knox Manage 2 Years "/>
    <s v="KLM09-NWTEJ-4KE15-BHPIX-YM7II-34OX0"/>
    <d v="2020-06-30T00:00:00"/>
    <n v="254545"/>
    <n v="7"/>
    <n v="1781815"/>
    <n v="275000"/>
    <n v="1925000"/>
  </r>
  <r>
    <n v="19"/>
    <s v="PD-20070017/001"/>
    <s v="PO-03/07-20/XX06"/>
    <x v="4"/>
    <s v="CV. Mitra Niaga Cemerlang"/>
    <m/>
    <s v="20 Juli 2020 - 19 Juli 2022"/>
    <s v="Knox Manage 2 Years "/>
    <s v="KLM09-7DRTJ-SFE88-JX3B1-A5W8T-EP6Y2"/>
    <d v="2020-07-13T00:00:00"/>
    <n v="254545"/>
    <n v="4"/>
    <n v="1018180"/>
    <n v="275000"/>
    <n v="1100000"/>
  </r>
  <r>
    <n v="20"/>
    <s v="PD-20070018/001"/>
    <s v="PO-03/07-20/XX07"/>
    <x v="4"/>
    <s v="CV. Karya Sari Utama Mataram"/>
    <m/>
    <s v="21 Juli 2020 - 20 Juli 2022"/>
    <s v="Knox Manage 2 Years "/>
    <s v="KLM09-7HPJD-RF1AM-GXTK5-XGE72-4QA4E"/>
    <d v="2020-07-14T00:00:00"/>
    <n v="254545"/>
    <n v="1"/>
    <n v="254545"/>
    <n v="275000"/>
    <n v="275000"/>
  </r>
  <r>
    <n v="21"/>
    <s v="PD-20070019/001"/>
    <s v="PO-03/07-20/XX07"/>
    <x v="4"/>
    <s v="CV. Cakrawala"/>
    <m/>
    <s v="21 Juli 2020 - 20 Juli 2022"/>
    <s v="Knox Manage 2 Years "/>
    <s v="KLM09-CL92D-6B7OE-ZHSS5-WA0GT-NH4WP"/>
    <d v="2020-07-14T00:00:00"/>
    <n v="254545"/>
    <n v="1"/>
    <n v="254545"/>
    <n v="275000"/>
    <n v="275000"/>
  </r>
  <r>
    <n v="22"/>
    <s v="PD-20070020/001"/>
    <s v="PO-03/07-20/XX07"/>
    <x v="4"/>
    <s v="PT. Padmatirta Wisesa"/>
    <m/>
    <s v="21 Juli 2020 - 20 Juli 2022"/>
    <s v="Knox Manage 2 Years "/>
    <s v="KLM09-C3QIV-J8RTF-U9KMP-1G2QI-QVK06"/>
    <d v="2020-07-14T00:00:00"/>
    <n v="254545"/>
    <n v="1"/>
    <n v="254545"/>
    <n v="275000"/>
    <n v="275000"/>
  </r>
  <r>
    <n v="23"/>
    <s v="PD-20070023/001"/>
    <s v="PO-03/07-20/XX08"/>
    <x v="4"/>
    <s v="PT. Andi Nurhadi Nusantara"/>
    <m/>
    <s v="22 Juli 2020 - 21 Juli 2022"/>
    <s v="Knox Manage 2 Years "/>
    <s v="KLM09-GZ1LY-SBKMK-59B87-PO8RD-33O3F"/>
    <d v="2020-07-17T00:00:00"/>
    <n v="254545"/>
    <n v="1"/>
    <n v="254545"/>
    <n v="275000"/>
    <n v="275000"/>
  </r>
  <r>
    <n v="24"/>
    <s v="PD-20070026/001"/>
    <s v="PO-03/07-20/XX15"/>
    <x v="4"/>
    <s v="UD. Sanur Bojonegoro"/>
    <m/>
    <s v="28 Juli 2020 - 27 Juli 2022"/>
    <s v="Knox Manage 2 Years "/>
    <s v="KLM09-6TY3N-5ARHP-OSOEW-VOIRO-YD361"/>
    <d v="2020-07-22T00:00:00"/>
    <n v="254545"/>
    <n v="1"/>
    <n v="254545"/>
    <n v="275000"/>
    <n v="275000"/>
  </r>
  <r>
    <n v="25"/>
    <s v="PD-20070033/001"/>
    <s v="PO-03/07-20/XX20"/>
    <x v="4"/>
    <s v="PT. Belmonte Alam Anugerah Ternate"/>
    <m/>
    <s v="29 Juli 2020 - 28 Juli 2022"/>
    <s v="Knox Manage 2 Years "/>
    <s v="KLM09-HQT96-H6DKS-AW46A-QACEH-CED6M"/>
    <d v="2020-07-23T00:00:00"/>
    <n v="254545"/>
    <n v="1"/>
    <n v="254545"/>
    <n v="275000"/>
    <n v="275000"/>
  </r>
  <r>
    <n v="26"/>
    <s v="PD-20070043/001"/>
    <s v="PO-03/07-20/XX23"/>
    <x v="4"/>
    <s v="PT. Sinarmas Distribusi Nusantara Jonggol"/>
    <m/>
    <s v="4 Aug 2020 - 3 Aug 2022"/>
    <s v="Knox Manage 2 Years "/>
    <s v="KLM09-6LRU4-BCQLZ-U6E5G-AGNP8-2ZITX"/>
    <d v="2020-07-29T00:00:00"/>
    <n v="254545"/>
    <n v="6"/>
    <n v="1527270"/>
    <n v="275000"/>
    <n v="1650000"/>
  </r>
  <r>
    <n v="27"/>
    <s v="PD-20070044/001"/>
    <s v="PO-03/07-20/XX23"/>
    <x v="4"/>
    <s v="PT. Sinarmas Distribusi Nusantara Serpong"/>
    <m/>
    <s v="4 Aug 2020 - 3 Aug 2022"/>
    <s v="Knox Manage 2 Years "/>
    <s v="KLM09-A00TZ-LR0L6-IE29R-GL9XB-RZKR6"/>
    <d v="2020-07-29T00:00:00"/>
    <n v="254545"/>
    <n v="6"/>
    <n v="1527270"/>
    <n v="275000"/>
    <n v="1650000"/>
  </r>
  <r>
    <n v="28"/>
    <s v="PD-20070045/001"/>
    <s v="POC-10001-2007-0011"/>
    <x v="2"/>
    <s v="PT. Kalbe Farma Tbk"/>
    <m/>
    <s v="3 Aug 2020 - 2 Aug 2022"/>
    <s v="Knox Manage 2 Years "/>
    <s v="KLM09-70FB0-TQZ2D-JHGH3-NTLD0-P78OR"/>
    <d v="2020-07-29T00:00:00"/>
    <n v="444545"/>
    <n v="3"/>
    <n v="1333635"/>
    <n v="556363.63"/>
    <n v="1669090.8900000001"/>
  </r>
  <r>
    <n v="29"/>
    <s v="PD-20070051/001"/>
    <s v="PO-03/07-20/XX24"/>
    <x v="4"/>
    <s v="PT. Bintang Mas Pusaka Bungo"/>
    <m/>
    <s v="5 Aug 2020 - 4 Aug 2022"/>
    <s v="Knox Manage 2 Years "/>
    <s v="KLM09-MRC8Q-X4DUU-1LDLU-W6QT1-DV1EE "/>
    <d v="2020-07-30T00:00:00"/>
    <n v="254545"/>
    <n v="1"/>
    <n v="254545"/>
    <n v="275000"/>
    <n v="275000"/>
  </r>
  <r>
    <n v="30"/>
    <s v="PD-20070052/001"/>
    <s v="PO-03/07-20/XX24"/>
    <x v="4"/>
    <s v="PT. Agung Maluku Sofifi"/>
    <m/>
    <s v="5 Aug 2020 - 4 Aug 2022"/>
    <s v="Knox Manage 2 Years "/>
    <s v="KLM09-6Z8VF-IK6WN-MWXN6-H8HBA-VNN6Q"/>
    <d v="2020-07-30T00:00:00"/>
    <n v="254545"/>
    <n v="1"/>
    <n v="254545"/>
    <n v="275000"/>
    <n v="275000"/>
  </r>
  <r>
    <n v="31"/>
    <s v="PD-20080001/001"/>
    <s v="PO-03/07-20/XX26"/>
    <x v="4"/>
    <s v="CV. Jembar Rahayu Putra"/>
    <m/>
    <s v="6 Aug 2020 - 5 Aug 2022"/>
    <s v="Knox Manage 2 Years "/>
    <s v="KLM09-CITCL-DVI17-4YZRS-P5SJ7-PN73R"/>
    <d v="2020-08-03T00:00:00"/>
    <n v="254545"/>
    <n v="1"/>
    <n v="254545"/>
    <n v="275000"/>
    <n v="275000"/>
  </r>
  <r>
    <n v="32"/>
    <s v="PD-20080003/001"/>
    <s v="PO-03/08-20/XX01"/>
    <x v="4"/>
    <s v="PT. Panahmas Dwitama Distrindo"/>
    <m/>
    <s v="10 Aug 2020 - 9 Aug 2022"/>
    <s v="Knox Manage 2 Years "/>
    <s v="KLM09-2D5WA-V7O09-4NV5M-6F3PE-SLNS9"/>
    <d v="2020-08-04T00:00:00"/>
    <n v="254545"/>
    <n v="1"/>
    <n v="254545"/>
    <n v="275000"/>
    <n v="275000"/>
  </r>
  <r>
    <n v="33"/>
    <s v="PD-20080004/001"/>
    <s v="PO-03/08-20/XX01"/>
    <x v="4"/>
    <s v="PT. Tompotika Raya Wonomulyo"/>
    <m/>
    <s v="10 Aug 2020 - 9 Aug 2022"/>
    <s v="Knox Manage 2 Years "/>
    <s v="KLM09-IS6O5-M3EYS-4DRJQ-CIML8-L50HM"/>
    <d v="2020-08-04T00:00:00"/>
    <n v="254545"/>
    <n v="3"/>
    <n v="763635"/>
    <n v="275000"/>
    <n v="825000"/>
  </r>
  <r>
    <n v="34"/>
    <s v="PD-20080005/001"/>
    <s v="PO-03/08-20/XX01"/>
    <x v="4"/>
    <s v="PT. Bentoro Adisandi Duri"/>
    <m/>
    <s v="10 Aug 2020 - 9 Aug 2022"/>
    <s v="Knox Manage 2 Years "/>
    <s v="KLM09-7HCOW-8HB1P-MG8HJ-UI7WB-IUBW0"/>
    <d v="2020-08-04T00:00:00"/>
    <n v="254545"/>
    <n v="2"/>
    <n v="509090"/>
    <n v="275000"/>
    <n v="550000"/>
  </r>
  <r>
    <n v="35"/>
    <s v="PD-20080008/001"/>
    <s v="POC-10001-2008-0003"/>
    <x v="2"/>
    <s v="PT. Kalbe Farma Tbk"/>
    <m/>
    <s v="7 Aug 2020 - 6 Aug 2022"/>
    <s v="Knox Manage 2 Years "/>
    <s v="KLM09-GM65M-4NV3E-3IR6M-LCDAJ-TMXPI"/>
    <d v="2020-08-06T00:00:00"/>
    <n v="444545"/>
    <n v="28"/>
    <n v="12447260"/>
    <n v="556363.63"/>
    <n v="15578181.640000001"/>
  </r>
  <r>
    <n v="36"/>
    <s v="PD-20080015/001"/>
    <s v="PO-03/08-20/XX08"/>
    <x v="4"/>
    <s v="UD. Jaya Subur"/>
    <m/>
    <s v="18 Aug 2020 - 17 Aug 2022"/>
    <s v="Knox Manage 2 Years "/>
    <s v="KLM09-FSTR6-GLDLK-6PK7W-5UENX-TQOBK"/>
    <d v="2020-08-11T00:00:00"/>
    <n v="254545"/>
    <n v="1"/>
    <n v="254545"/>
    <n v="275000"/>
    <n v="275000"/>
  </r>
  <r>
    <n v="37"/>
    <s v="PD-20080031/001"/>
    <s v="PO-03/08-20/XX10"/>
    <x v="4"/>
    <s v="CV. Kujang Marinas Utama Cibadak"/>
    <m/>
    <s v="19 Aug 2020 - 18 Aug 2022"/>
    <s v="Knox Manage 2 Years "/>
    <s v="KLM09-27EKI-7UPU2-GJK9G-YMMPC-8RLJR"/>
    <d v="2020-08-13T00:00:00"/>
    <n v="254545"/>
    <n v="1"/>
    <n v="254545"/>
    <n v="275000"/>
    <n v="275000"/>
  </r>
  <r>
    <n v="38"/>
    <s v="PD-20080035/001"/>
    <s v="PO-03/08-20/XX11"/>
    <x v="4"/>
    <s v="PT. Mungil Sejahtera"/>
    <m/>
    <s v="21 Aug 2020 - 20 Aug 2022"/>
    <s v="Knox Manage 2 Years "/>
    <s v="KLM09-6UCJO-43VJ4-KKNI5-FJLIA-IL3CS"/>
    <d v="2020-08-14T00:00:00"/>
    <n v="254545"/>
    <n v="1"/>
    <n v="254545"/>
    <n v="275000"/>
    <n v="275000"/>
  </r>
  <r>
    <n v="39"/>
    <s v="PD-20080052/001"/>
    <s v="PO-03/08-20/XX17"/>
    <x v="4"/>
    <s v="PT. Tirta Prima Rasa Tulungagung"/>
    <m/>
    <s v="2 Sep 2020 - 1 Sep 2022"/>
    <s v="Knox Manage 2 Years "/>
    <s v="KLM09-HLE5D-FI09I-ZCKSR-F9YKK-0OIQ9"/>
    <d v="2020-08-27T00:00:00"/>
    <n v="254545"/>
    <n v="1"/>
    <n v="254545"/>
    <n v="275000"/>
    <n v="275000"/>
  </r>
  <r>
    <n v="40"/>
    <s v="PD-20080053/001"/>
    <s v="PO-03/08-20/XX17"/>
    <x v="4"/>
    <s v="PT. Tirta Prima Rasa Blora"/>
    <m/>
    <s v="2 Sep 2020 - 1 Sep 2022"/>
    <s v="Knox Manage 2 Years "/>
    <s v="KLM09-M8I44-9DYHY-1H9MY-IFMXW-YBMWP"/>
    <d v="2020-08-27T00:00:00"/>
    <n v="254545"/>
    <n v="1"/>
    <n v="254545"/>
    <n v="275000"/>
    <n v="275000"/>
  </r>
  <r>
    <n v="41"/>
    <s v="PD-20080054/001"/>
    <s v="PO-03/08-20/XX17"/>
    <x v="4"/>
    <s v="PT. Tirta Prima Rasa Blitar"/>
    <m/>
    <s v="2 Sep 2020 - 1 Sep 2022"/>
    <s v="Knox Manage 2 Years "/>
    <s v="KLM09-NJFI9-PEE0A-BMM1W-Q0J3B-PITYO"/>
    <d v="2020-08-27T00:00:00"/>
    <n v="254545"/>
    <n v="1"/>
    <n v="254545"/>
    <n v="275000"/>
    <n v="275000"/>
  </r>
  <r>
    <n v="42"/>
    <s v="PD-20090002/001"/>
    <s v="PO-003/09-20/XX03"/>
    <x v="4"/>
    <s v="CV. Berkah Niaga"/>
    <m/>
    <s v="9 Sept 2020 - 8 Sept 2022"/>
    <s v="Knox Manage 2 Years "/>
    <s v="KLM09-2ITQU-D6YQM-HRR9D-VQ6DU-79MH9"/>
    <d v="2020-09-03T00:00:00"/>
    <n v="254545"/>
    <n v="1"/>
    <n v="254545"/>
    <n v="275000"/>
    <n v="275000"/>
  </r>
  <r>
    <n v="43"/>
    <s v="PD-20090003/001"/>
    <s v="PO-003/09-20/XX03"/>
    <x v="4"/>
    <s v="PT. Sinarmas Distirbusi Nusantara Pulogadung"/>
    <m/>
    <s v="9 Sept 2020 - 8 Sept 2022"/>
    <s v="Knox Manage 2 Years "/>
    <s v="KLM09-0YL8N-XKEPD-G08H5-N2GE4-93E93"/>
    <d v="2020-09-03T00:00:00"/>
    <n v="254545"/>
    <n v="3"/>
    <n v="763635"/>
    <n v="275000"/>
    <n v="825000"/>
  </r>
  <r>
    <n v="44"/>
    <s v="PD-20090014/001"/>
    <s v="PO-03/09-20/XX04"/>
    <x v="4"/>
    <s v="PT. Cakrawala Abadi Sentosa"/>
    <m/>
    <s v="11 Sept 2020 - 10 Sept 2022"/>
    <s v="Knox Manage 2 Years "/>
    <s v="KLM09-AOIWX-Y33EW-O6MQM-ZRFBK-RHOHS"/>
    <d v="2020-09-08T00:00:00"/>
    <n v="254545"/>
    <n v="1"/>
    <n v="254545"/>
    <n v="275000"/>
    <n v="275000"/>
  </r>
  <r>
    <n v="45"/>
    <s v="PD-20090028/001"/>
    <s v="POC-10001-2009-0001"/>
    <x v="2"/>
    <s v="PT. Kalbe Farma Tbk"/>
    <m/>
    <s v="17 Sep 2020 - 16 Sep 2022"/>
    <s v="Knox Manage 2 Years "/>
    <s v="KLM09-6HLMW-OBT0E-IMHF7-T4WWX-RKAP2"/>
    <d v="2020-09-17T00:00:00"/>
    <n v="444545"/>
    <n v="1"/>
    <n v="444545"/>
    <n v="556363.64"/>
    <n v="556363.64"/>
  </r>
  <r>
    <n v="46"/>
    <s v="PD-20090018/001"/>
    <s v="PO-03/09-20/XX08"/>
    <x v="4"/>
    <s v="PT. Tompotika Raya Mamuju"/>
    <m/>
    <s v="16 Sep 2020 - 15 Sep 2022"/>
    <s v="Knox Manage 2 Years "/>
    <s v="KLM09-JCWIX-4NWIK-OEEOK-I13Y5-GYHR8"/>
    <d v="2020-09-10T00:00:00"/>
    <n v="254545"/>
    <n v="1"/>
    <n v="254545"/>
    <n v="275000"/>
    <n v="275000"/>
  </r>
  <r>
    <n v="47"/>
    <s v="PD-20090024/001"/>
    <s v="PO-03/09-20/XX10"/>
    <x v="4"/>
    <s v="CV. NAM"/>
    <m/>
    <s v="21 Sep 2020 - 20 Sep 2022"/>
    <s v="Knox Manage 2 Years "/>
    <s v="KLM09-6V1QO-AEUNP-FL9KK-TA58G-43KMW"/>
    <d v="2020-09-14T00:00:00"/>
    <n v="254545"/>
    <n v="2"/>
    <n v="509090"/>
    <n v="275000"/>
    <n v="550000"/>
  </r>
  <r>
    <n v="48"/>
    <s v="PD-20090031/001"/>
    <s v="PO-03/09-20/XX14"/>
    <x v="4"/>
    <s v="PT. Tirta Prima Rasa Lamongan"/>
    <m/>
    <s v="23 Sep 2020 - 22 Sep 2022"/>
    <s v="Knox Manage 2 Years "/>
    <s v="KLM09-0F3PI-4GFYZ-3IFV4-OS8B6-U02JZ"/>
    <d v="2020-09-17T00:00:00"/>
    <n v="254545"/>
    <n v="1"/>
    <n v="254545"/>
    <n v="275000"/>
    <n v="275000"/>
  </r>
  <r>
    <n v="49"/>
    <s v="PD-20090044/001"/>
    <s v="PO-03/09-20/XX18"/>
    <x v="4"/>
    <s v="PT. Belian Cahaya Lestari "/>
    <m/>
    <s v="30 Sep 2020 - 29 Sep 2022"/>
    <s v="Knox Manage 2 Years "/>
    <s v="KLM09-IWERM-KUGVT-8WTFF-XK5NN-ZG0QF"/>
    <d v="2020-09-25T00:00:00"/>
    <n v="254545"/>
    <n v="1"/>
    <n v="254545"/>
    <n v="275000"/>
    <n v="275000"/>
  </r>
  <r>
    <n v="50"/>
    <s v="PD-20090045/001"/>
    <s v="PO-03/09-20/XX18"/>
    <x v="4"/>
    <s v="CV. Aneka Makmur Sejati Gorontalo"/>
    <m/>
    <s v="30 Sep 2020 - 29 Sep 2022"/>
    <s v="Knox Manage 2 Years "/>
    <s v="KLM09-6B3X2-UPHMI-NK014-K0YJJ-KOQIP"/>
    <d v="2020-09-25T00:00:00"/>
    <n v="254545"/>
    <n v="2"/>
    <n v="509090"/>
    <n v="275000"/>
    <n v="550000"/>
  </r>
  <r>
    <n v="51"/>
    <s v="PD-20090057/001"/>
    <s v="POAN200405"/>
    <x v="5"/>
    <s v="PT. Autojaya Idetech"/>
    <m/>
    <s v="30 Sep 2020 - 29 Sep 2022"/>
    <s v="Knox Manage 1 Year"/>
    <s v="KLM09-6ZMBD-S646A-6ZB57-5JTTW-TJSU8"/>
    <d v="2020-09-30T00:00:00"/>
    <n v="222727"/>
    <n v="2"/>
    <n v="445454"/>
    <n v="279090.90999999997"/>
    <n v="558181.81999999995"/>
  </r>
  <r>
    <n v="52"/>
    <s v="PD-20100001/001"/>
    <s v="PO-04/10-20/XX01"/>
    <x v="4"/>
    <s v="PT. Wicaksana Overseas International Ancol"/>
    <m/>
    <s v="9 Oct 2020 - 8 Oct 2022"/>
    <s v="Knox Manage 2 Years "/>
    <s v="KLM09-UWI95-IIR15-FHKFV-YHC0I-GZ7NG"/>
    <d v="2020-10-01T00:00:00"/>
    <n v="254545"/>
    <n v="2"/>
    <n v="509090"/>
    <n v="275000"/>
    <n v="550000"/>
  </r>
  <r>
    <n v="53"/>
    <s v="PD-20100009/001"/>
    <s v="PO-04/10-20/XX04"/>
    <x v="4"/>
    <s v="PT. Cakrawala Abadi Sentosa"/>
    <m/>
    <s v="12 Oct 2020 - 11 Oct 2022"/>
    <s v="Knox Manage 2 Years "/>
    <s v="KLM09-MAMGM-4J5T0-ZG06Z-8PTGR-3VU8E"/>
    <d v="2020-10-07T00:00:00"/>
    <n v="254545"/>
    <n v="2"/>
    <n v="509090"/>
    <n v="275000"/>
    <n v="550000"/>
  </r>
  <r>
    <n v="54"/>
    <s v="PD-20100018/001"/>
    <s v="PO-04/10-20/XX17"/>
    <x v="4"/>
    <s v="PT. Expand Semesta Jaya 1 &amp; 2"/>
    <m/>
    <s v="20 Oct 2020 - 19 Oct 2022"/>
    <s v="Knox Manage 2 Years "/>
    <s v="KLM09-FGYVS-R6GXG-X9A27-W8GKK-XJO5S"/>
    <d v="2020-10-14T00:00:00"/>
    <n v="254545"/>
    <n v="6"/>
    <n v="1527270"/>
    <n v="275000"/>
    <n v="1650000"/>
  </r>
  <r>
    <n v="55"/>
    <s v="PD-20100022/001"/>
    <s v="PO-04/10-20/XX19"/>
    <x v="4"/>
    <s v="CV. Hero Sukses Makmur Poso"/>
    <m/>
    <s v="21 Oct 2020 - 20 Oct 2022"/>
    <s v="Knox Manage 2 Years "/>
    <s v="KLM09-IYZ46-V768G-OCYFE-FKVLZ-EQDYE"/>
    <d v="2020-10-16T00:00:00"/>
    <n v="254545"/>
    <n v="2"/>
    <n v="509090"/>
    <n v="275000"/>
    <n v="550000"/>
  </r>
  <r>
    <n v="56"/>
    <s v="PD-20100023/001"/>
    <s v="PO-04/10-20/XX19"/>
    <x v="4"/>
    <s v="PT. Cahaya Agung Cemerlang"/>
    <m/>
    <s v="21 Oct 2020 - 20 Oct 2022"/>
    <s v="Knox Manage 2 Years "/>
    <s v="KLM09-J05SL-MPU98-UR69C-IVBS3-UYZWA"/>
    <d v="2020-10-16T00:00:00"/>
    <n v="254545"/>
    <n v="1"/>
    <n v="254545"/>
    <n v="275000"/>
    <n v="275000"/>
  </r>
  <r>
    <n v="57"/>
    <s v="PD-20100024/001"/>
    <s v="PO-04/10-20/XX19"/>
    <x v="4"/>
    <s v="CV. Surya Global"/>
    <m/>
    <s v="21 Oct 2020 - 20 Oct 2022"/>
    <s v="Knox Manage 2 Years "/>
    <s v="KLM09-F4PNW-AVCHT-7687Y-93OYX-V48TW"/>
    <d v="2020-10-16T00:00:00"/>
    <n v="254545"/>
    <n v="1"/>
    <n v="254545"/>
    <n v="275000"/>
    <n v="275000"/>
  </r>
  <r>
    <n v="58"/>
    <s v="PD-20110004/001"/>
    <s v="POAT200930"/>
    <x v="5"/>
    <s v="PT. Sawit Sumbermas Sarana"/>
    <m/>
    <s v="16 Nov 2020 - 15 Nov 2022"/>
    <s v="Knox Manage 2 Years"/>
    <s v="KLM09-IRVU0-6DNWL-VPM5I-69YOB-KHP4D"/>
    <d v="2020-11-02T00:00:00"/>
    <n v="444545"/>
    <n v="116"/>
    <n v="51567220"/>
    <n v="545455"/>
    <n v="63272780"/>
  </r>
  <r>
    <n v="59"/>
    <s v="PD-20110009/001"/>
    <s v="POAT200941"/>
    <x v="5"/>
    <s v="PT. Sawit Sumbermas Sarana"/>
    <m/>
    <s v="16 Nov 2020 - 15 Nov 2022"/>
    <s v="Knox Manage 2 Years"/>
    <s v="KLM09-DVR08-KUGPK-JENMK-CRP17-T3A97"/>
    <d v="2020-11-04T00:00:00"/>
    <n v="444545"/>
    <n v="75"/>
    <n v="33340875"/>
    <n v="545455"/>
    <n v="40909125"/>
  </r>
  <r>
    <n v="60"/>
    <s v="PD-20110011/001"/>
    <s v="POC-10001-2011-0001"/>
    <x v="2"/>
    <s v="PT. Kalbe Farma Tbk"/>
    <m/>
    <s v="5 Nov 2020 - 4 Nov 2022"/>
    <s v="Knox Manage 2 Years"/>
    <s v="KLM09-GW2GI-PLXP8-KKTJA-7D2LS-C0CX6"/>
    <d v="2020-11-05T00:00:00"/>
    <n v="444545"/>
    <n v="5"/>
    <n v="2222725"/>
    <n v="556363.64"/>
    <n v="2781818.2"/>
  </r>
  <r>
    <n v="61"/>
    <s v="PD-20110029/001"/>
    <s v="POC-10001-2011-0002"/>
    <x v="2"/>
    <s v="PT. Kalbe Farma Tbk"/>
    <m/>
    <s v="16 Nov 2020 - 15 Nov 2022"/>
    <s v="Knox Manage 2 Years"/>
    <s v="KLM09-CX4BD-MHRYK-WO3EL-OJRUE-HVCSO"/>
    <d v="2020-11-16T00:00:00"/>
    <n v="444545"/>
    <n v="24"/>
    <n v="10669080"/>
    <n v="556363.63636363635"/>
    <n v="13352727.272727273"/>
  </r>
  <r>
    <n v="62"/>
    <s v="PD-20110034/001"/>
    <s v="PO-04/11-20/XX13"/>
    <x v="4"/>
    <s v="CV. Bumi Arta Blitar"/>
    <m/>
    <s v="23 Nov 2020 - 22 Nov 2022"/>
    <s v="Knox Manage 2 Years"/>
    <s v="KLM09-CP1YW-G9VOZ-YW036-SANUY-ORF7C"/>
    <d v="2020-11-18T00:00:00"/>
    <n v="254454"/>
    <n v="1"/>
    <n v="254454"/>
    <n v="275000"/>
    <n v="275000"/>
  </r>
  <r>
    <n v="63"/>
    <s v="PD-20110043/001"/>
    <s v="POAT201011"/>
    <x v="5"/>
    <s v="PT. Sawit Sumbermas Sarana"/>
    <m/>
    <s v="4 Dec 2020 - 3 Dec 2022"/>
    <s v="Knox Manage 2 Years"/>
    <s v="KLM09-JKEBN-RYVXC-IJRN0-F07M7-A3X9K"/>
    <d v="2020-11-24T00:00:00"/>
    <n v="444545"/>
    <n v="47"/>
    <n v="20893615"/>
    <n v="545455"/>
    <n v="25636385"/>
  </r>
  <r>
    <n v="64"/>
    <s v="PD-20110045/001"/>
    <s v="PO-04/11-20/XX23"/>
    <x v="4"/>
    <s v="PD. Indah Permai Group Lombok Timur"/>
    <m/>
    <s v="30 Nov 2020 - 29 Nov 2022"/>
    <s v="Knox Manage 2 Years"/>
    <s v="KLM09-FJLI1-M4ITN-NXFVR-IX8V3-BCO6Q"/>
    <d v="2020-11-25T00:00:00"/>
    <n v="254545"/>
    <n v="1"/>
    <n v="254545"/>
    <n v="275000"/>
    <n v="275000"/>
  </r>
  <r>
    <n v="65"/>
    <s v="PD-20120005/001"/>
    <s v="PO-04/12-20/XX03"/>
    <x v="4"/>
    <s v="CV. Mayang Taurai"/>
    <m/>
    <s v="7 Dec 2020 - 6 Dec 2022"/>
    <s v="Knox Manage 2 Years"/>
    <s v="KLM09-I11AG-8TJ8Z-SLQID-9EC1L-ZGIQA"/>
    <d v="2020-12-02T00:00:00"/>
    <n v="254545"/>
    <n v="4"/>
    <n v="1018180"/>
    <n v="275000"/>
    <n v="1100000"/>
  </r>
  <r>
    <n v="66"/>
    <s v="PD-20120006/001"/>
    <s v="POAT201035"/>
    <x v="5"/>
    <s v="PT. Sawit Sumbermas Sarana"/>
    <m/>
    <s v="9 Dec 2020 - 8 Dec 2022"/>
    <s v="Knox Manage 2 Years"/>
    <s v="KLM09-D14CE-IY1FN-PUEME-QWS64-JCQ3Y"/>
    <d v="2020-12-03T00:00:00"/>
    <n v="444545"/>
    <n v="125"/>
    <n v="55568125"/>
    <n v="545455"/>
    <n v="68181875"/>
  </r>
  <r>
    <n v="67"/>
    <s v="PD-20120011/001"/>
    <s v="PO-04/12-20/XX09"/>
    <x v="4"/>
    <s v="PT. Sinarmas Distribusi Nusantara Jonggol"/>
    <m/>
    <s v="16 Dec 2020 - 15 Dec 2022"/>
    <s v="Knox Manage 2 Years"/>
    <s v="KLM09-2GQAP-X7KQ9-T84OD-VULAO-BXKNN"/>
    <d v="2020-12-11T00:00:00"/>
    <n v="254545"/>
    <n v="7"/>
    <n v="1781815"/>
    <n v="275000"/>
    <n v="1925000"/>
  </r>
  <r>
    <n v="68"/>
    <s v="PD-20120012/001"/>
    <s v="0301/PO/ZT/XII/2020"/>
    <x v="6"/>
    <s v="Mako Brimob"/>
    <m/>
    <s v="16 Dec 2020 - 15 Dec 2022"/>
    <s v="Knox Configure Setup 2 Years"/>
    <s v="KLM09-GHOH3-CUQ7I-5NW1M-8ABBC-1TU0H"/>
    <d v="2020-12-15T00:00:00"/>
    <n v="92727"/>
    <n v="10"/>
    <n v="927270"/>
    <n v="116363.64"/>
    <n v="1163636.3999999999"/>
  </r>
  <r>
    <n v="69"/>
    <s v="PD-20120013/001"/>
    <s v="PO-04/12-20/XX12"/>
    <x v="4"/>
    <s v="CV. Anugerah Madura Retailindo"/>
    <m/>
    <s v="21 Dec 2020 - 20 Dec 2022"/>
    <s v="Knox Manage 2 Years"/>
    <s v="KLM09-0R927-YHJ3L-A2PHG-88C5A-TON90"/>
    <d v="2020-12-16T00:00:00"/>
    <n v="254545"/>
    <n v="1"/>
    <n v="254545"/>
    <n v="275000"/>
    <n v="275000"/>
  </r>
  <r>
    <n v="70"/>
    <s v="PD-20120014/001"/>
    <s v="PO-04/12-20/XX12"/>
    <x v="4"/>
    <s v="PT. Sinarmas Distribusi Nusantara Sukabumi"/>
    <m/>
    <s v="21 Dec 2020 - 20 Dec 2022"/>
    <s v="Knox Manage 2 Years"/>
    <s v="KLM09-U37DS-KWGU9-T2WIZ-69I6D-0MQPB"/>
    <d v="2020-12-16T00:00:00"/>
    <n v="254545"/>
    <n v="5"/>
    <n v="1272725"/>
    <n v="275000"/>
    <n v="1375000"/>
  </r>
  <r>
    <n v="71"/>
    <s v="PD-20120020/001"/>
    <s v="PO-04/12-20/XX14"/>
    <x v="4"/>
    <s v="CV. Sumber Mandiri"/>
    <m/>
    <s v="23 Dec 2020 - 22 Dec 2022"/>
    <s v="Knox Manage 2 Years"/>
    <s v="KLM09-2NXED-PR3UU-MXUSU-FLF9S-M6YQE"/>
    <d v="2020-12-18T00:00:00"/>
    <n v="254545"/>
    <n v="5"/>
    <n v="1272725"/>
    <n v="275000"/>
    <n v="1375000"/>
  </r>
  <r>
    <n v="72"/>
    <s v="PD-20120029/001"/>
    <s v="PO-04/12-20/XX18"/>
    <x v="4"/>
    <s v="PT. Cakrawala Abadi Sentosa"/>
    <m/>
    <s v="6 Jan 2021 - 5 Jan 2023"/>
    <s v="Knox Manage 2 Years"/>
    <s v="KLM09-HA2DL-WMUIG-TAZY5-WC0WD-7TXC2"/>
    <d v="2020-12-28T00:00:00"/>
    <n v="254545"/>
    <n v="1"/>
    <n v="254545"/>
    <n v="275000"/>
    <n v="275000"/>
  </r>
  <r>
    <n v="73"/>
    <s v="PD-21010004/001"/>
    <s v="PO-01/01-21/XX01"/>
    <x v="4"/>
    <s v="PT. RMS Mojosari"/>
    <m/>
    <s v="11 Jan 2021 - 10 Jan 2023"/>
    <s v="Knox Manage 2 Years"/>
    <s v="KLM09-NBSCB-QKK1V-NP10V-8UJVP-LDGLP"/>
    <d v="2020-01-06T00:00:00"/>
    <n v="254545"/>
    <n v="5"/>
    <n v="1272725"/>
    <n v="275000"/>
    <n v="1375000"/>
  </r>
  <r>
    <n v="74"/>
    <s v="PD-21010004/001"/>
    <s v="PO-01/01-21/XX01"/>
    <x v="4"/>
    <s v="PT. Sinarmas Distribusi Nusantara Baturaja"/>
    <m/>
    <s v="11 Jan 2021 - 10 Jan 2023"/>
    <s v="Knox Manage 2 Years"/>
    <s v="KLM09-HXGGU-0NSNF-MCLTP-ULXPG-S7GXT"/>
    <d v="2020-01-06T00:00:00"/>
    <n v="254545"/>
    <n v="7"/>
    <n v="1781815"/>
    <n v="275000"/>
    <n v="1925000"/>
  </r>
  <r>
    <n v="75"/>
    <s v="PD-21010007/001"/>
    <s v="0993/SDR/XII/2020"/>
    <x v="7"/>
    <s v="PT. Sarana Digital Ritel"/>
    <m/>
    <s v="8 Jan 2021 - 7 Jan 2022"/>
    <s v="Knox Configure Dynamic 1 Year"/>
    <s v="KLM09-M24W2-7O3FN-0JOHW-M3URL-120NJ"/>
    <d v="2020-01-07T00:00:00"/>
    <n v="92727"/>
    <n v="10"/>
    <n v="927270"/>
    <n v="198400"/>
    <n v="1984000"/>
  </r>
  <r>
    <n v="76"/>
    <s v="PD-21010014/001"/>
    <s v="PO-01/01-21/XX09"/>
    <x v="4"/>
    <s v="PT. Lintas Global Oase"/>
    <m/>
    <s v="20 Jan 2021 - 19 Jan 2023"/>
    <s v="Knox Manage 2 Years"/>
    <s v="KLM09-N96V4-CSWXX-VYFQ9-NTON5-0C7OG"/>
    <d v="2021-01-15T00:00:00"/>
    <n v="254545"/>
    <n v="2"/>
    <n v="509090"/>
    <n v="275000"/>
    <n v="550000"/>
  </r>
  <r>
    <n v="77"/>
    <s v="PD-21010017/001"/>
    <s v="PO-01/01-21/XX10"/>
    <x v="4"/>
    <s v="CV. Sinar Anugrah"/>
    <m/>
    <s v="22 Jan 2021 -  21 Jan 2023"/>
    <s v="Knox Manage 2 Years"/>
    <s v="KLM09-MBKHM-NDN03-YF1X6-AXMRI-CKJZ3"/>
    <d v="2021-01-18T00:00:00"/>
    <n v="254545"/>
    <n v="1"/>
    <n v="254545"/>
    <n v="275000"/>
    <n v="275000"/>
  </r>
  <r>
    <n v="78"/>
    <s v="PD-21010027/001"/>
    <s v="PO-01/01-21/XX15"/>
    <x v="4"/>
    <s v="PT. Bentoro Adisandi Duri"/>
    <m/>
    <s v="29 Jan 2021 - 28 Jan 2023"/>
    <s v="Knox Manage 2 Years"/>
    <s v="KLM09-7H62U-TNVAA-8PC8E-X4OUN-HTUIN"/>
    <d v="2021-01-25T00:00:00"/>
    <n v="254545"/>
    <n v="1"/>
    <n v="254545"/>
    <n v="275000"/>
    <n v="275000"/>
  </r>
  <r>
    <n v="79"/>
    <s v="PD-21010028/001"/>
    <s v="999-21-00032"/>
    <x v="8"/>
    <s v="PT. Dipo Star Finance"/>
    <m/>
    <s v="27 Jan 2021 - 26 Jan 2022"/>
    <s v="Knox Manage 1 Year"/>
    <s v="KLM09-NA5PW-18JK9-WA61X-NX0M7-XKW9O"/>
    <d v="2021-01-26T00:00:00"/>
    <n v="222727"/>
    <n v="250"/>
    <n v="55681750"/>
    <n v="279090.90999999997"/>
    <n v="69772727.5"/>
  </r>
  <r>
    <n v="80"/>
    <s v="PD-21010043/001"/>
    <n v="78130"/>
    <x v="3"/>
    <s v="PT. BCA Insurance"/>
    <m/>
    <s v="29 Jan 2021 - 28 Jan 2022"/>
    <s v="Knox Manage 1 Year"/>
    <s v="KLM09-HCEYT-9LA15-KJMTA-6RACE-6PGJ6"/>
    <d v="2021-01-28T00:00:00"/>
    <n v="222727"/>
    <n v="49"/>
    <n v="10913623"/>
    <n v="279090.90999999997"/>
    <n v="13675454.589999998"/>
  </r>
  <r>
    <n v="81"/>
    <s v="PD-21010036/001"/>
    <n v="78130"/>
    <x v="3"/>
    <s v="PT. BCA Insurance"/>
    <m/>
    <s v="29 Jan 2021 - 28 Jan 2022"/>
    <s v="Knox Configure Setup 1 Year"/>
    <s v="KLM09-IIDAT-Y2X30-72QQ9-F2AX7-BAS1C"/>
    <d v="2021-01-28T00:00:00"/>
    <n v="46364"/>
    <n v="49"/>
    <n v="2271836"/>
    <n v="58181.82"/>
    <n v="2850909.18"/>
  </r>
  <r>
    <n v="82"/>
    <s v="PD-21010039/001"/>
    <s v="PO-01/01-21/XX23"/>
    <x v="4"/>
    <s v="PD. Indah Permai Lombok Barat"/>
    <m/>
    <s v="3 Feb 2021 - 2 Feb 2023"/>
    <s v="Knox Manage 2 Years"/>
    <s v="KLM09-GH5BD-BDGR2-E5A9P-SBJ2M-5CFOJ"/>
    <d v="2021-01-28T00:00:00"/>
    <n v="254545"/>
    <n v="1"/>
    <n v="254545"/>
    <n v="275000"/>
    <n v="275000"/>
  </r>
  <r>
    <n v="83"/>
    <s v="PD-21020003/001"/>
    <s v="PO-01/02-21/XX01"/>
    <x v="4"/>
    <s v="PT. Panahmas Dwitama Distrindo"/>
    <m/>
    <s v="8 Feb 2021 - 7 Feb 2023"/>
    <s v="Knox Manage 2 Years"/>
    <s v="KLM09-NODIN-WK5QJ-VXKF8-6M1Q7-7SL34"/>
    <d v="2021-02-02T00:00:00"/>
    <n v="254545"/>
    <n v="1"/>
    <n v="254545"/>
    <n v="275000"/>
    <n v="275000"/>
  </r>
  <r>
    <n v="84"/>
    <s v="PD-21020011/001"/>
    <s v="PO-01/02-21/XX05"/>
    <x v="4"/>
    <s v="PT. Cahaya Agung Cemerlang Tegal"/>
    <m/>
    <s v="15 Feb 2021 - 14 Feb 2023"/>
    <s v="Knox Manage 2 Years"/>
    <s v="KLM09-CJ0FU-AE1N2-7IG4G-LT04N-3ZAGS"/>
    <d v="2021-02-05T00:00:00"/>
    <n v="254545"/>
    <n v="1"/>
    <n v="254545"/>
    <n v="275000"/>
    <n v="275000"/>
  </r>
  <r>
    <n v="85"/>
    <s v="PD-21020016/001"/>
    <s v="PO-01/02-21/XX05"/>
    <x v="4"/>
    <s v="PT. Maju Makmur Raya"/>
    <m/>
    <s v="17 Feb 2021 - 16 Feb 2023"/>
    <s v="Knox Manage 2 Years"/>
    <s v="KLM09-G2FDN-7CZS3-V9B7B-J9KXV-W9LVX"/>
    <d v="2021-02-10T00:00:00"/>
    <n v="254545"/>
    <n v="1"/>
    <n v="254545"/>
    <n v="275000"/>
    <n v="275000"/>
  </r>
  <r>
    <n v="86"/>
    <s v="PD-21020038/001"/>
    <n v="78349"/>
    <x v="3"/>
    <s v="BCA Insurance"/>
    <m/>
    <s v="2 Mar 2021 - 1 Mar 2022"/>
    <s v="Knox Manage 1 Year"/>
    <s v="KLM03-DJ1FC-VL7J5-F5U2C-BBEVJ-XRZXH"/>
    <d v="2021-02-18T00:00:00"/>
    <n v="171818"/>
    <n v="20"/>
    <n v="3436360"/>
    <n v="279090.90999999997"/>
    <n v="5581818.1999999993"/>
  </r>
  <r>
    <n v="87"/>
    <s v="PD-21020039/001"/>
    <n v="78349"/>
    <x v="3"/>
    <s v="BCA Insurance"/>
    <m/>
    <s v="2 Mar 2021 - 1 Mar 2022"/>
    <s v="Knox Configure Setup 1 Year"/>
    <s v="KLM03-U1EOO-S4TR3-H53NC-ZBIS6-O30IQ"/>
    <d v="2021-02-18T00:00:00"/>
    <n v="40909"/>
    <n v="20"/>
    <n v="818180"/>
    <n v="58181.82"/>
    <n v="1163636.3999999999"/>
  </r>
  <r>
    <n v="88"/>
    <s v="PD-21020048/001"/>
    <s v="PO-01/02-21/XX15"/>
    <x v="4"/>
    <s v="CV. Naicom Mandiri"/>
    <m/>
    <s v="2 Mar 2021 - 1 Mar 2023"/>
    <s v="Knox Manage 2 Years"/>
    <s v="KLM09-HUL43-F4H0A-FG1W7-HV0KI-QS8LC"/>
    <d v="2021-02-24T00:00:00"/>
    <n v="254545"/>
    <n v="2"/>
    <n v="509090"/>
    <n v="275000"/>
    <n v="550000"/>
  </r>
  <r>
    <n v="89"/>
    <s v="PD-21030010/001"/>
    <s v="PO-01/03-21/XX01"/>
    <x v="4"/>
    <s v="PT. Makmur Mandiri Utama"/>
    <m/>
    <s v="8 Mar 2021 - 7 Mar 2023"/>
    <s v="Knox Manage 2 Years"/>
    <s v="KLM09-UV9PH-LDMSM-4OI4B-UCINE-NDU16"/>
    <d v="2021-03-02T00:00:00"/>
    <n v="254545"/>
    <n v="2"/>
    <n v="509090"/>
    <n v="275000"/>
    <n v="550000"/>
  </r>
  <r>
    <n v="90"/>
    <s v="PD-21030011/001"/>
    <s v="POAT210226"/>
    <x v="5"/>
    <s v="PT. Sawit Sumbermas Sarana"/>
    <m/>
    <s v="1 Apr 2021 - 31 Mar 2023"/>
    <s v="Knox Manage 2 Years"/>
    <s v="KLM09-6NZD1-INLYX-AP3VL-0VPQT-HC1JJ"/>
    <d v="2021-03-04T00:00:00"/>
    <n v="444545"/>
    <n v="38"/>
    <n v="16892710"/>
    <n v="545455"/>
    <n v="20727290"/>
  </r>
  <r>
    <n v="91"/>
    <s v="PD-21030026/001"/>
    <s v="PO-01/03-21/XX04"/>
    <x v="4"/>
    <s v="PT. Makmur Mandiri Utama Sukabumi"/>
    <m/>
    <s v="12 Mar 2021 - 11 Mar 2023"/>
    <s v="Knox Manage 2 Years"/>
    <s v="KLM09-CFB27-IPDX8-XLYA4-WEUAG-W0419"/>
    <d v="2021-03-09T00:00:00"/>
    <n v="254545"/>
    <n v="3"/>
    <n v="763635"/>
    <n v="275000"/>
    <n v="825000"/>
  </r>
  <r>
    <n v="92"/>
    <s v="PD-21030040/001"/>
    <s v="PO-01/03-21/XX08"/>
    <x v="4"/>
    <s v="PT. Paris Jaya Mandiri Ambon"/>
    <m/>
    <s v="22 Mar 2021 - 21 Mar 2023"/>
    <s v="Knox Manage 2 Years"/>
    <s v="KLM09-2IING-7DFUJ-5VPKV-1UU3H-FJTAK"/>
    <d v="2021-03-16T00:00:00"/>
    <n v="254545"/>
    <n v="1"/>
    <n v="254545"/>
    <n v="275000"/>
    <n v="275000"/>
  </r>
  <r>
    <n v="93"/>
    <s v="PD-21030041/001"/>
    <s v="PO-01/03-21/XX08"/>
    <x v="4"/>
    <s v="PT. Plambo Pratama JS Tegal"/>
    <m/>
    <s v="22 Mar 2021 - 21 Mar 2023"/>
    <s v="Knox Manage 2 Years"/>
    <s v="KLM09-7SP7Z-95GMW-HA9CG-RV4IA-S0N0O"/>
    <d v="2021-03-16T00:00:00"/>
    <n v="254545"/>
    <n v="1"/>
    <n v="254545"/>
    <n v="275000"/>
    <n v="275000"/>
  </r>
  <r>
    <n v="94"/>
    <s v="PD-21030043/001"/>
    <s v="PO-01/03-21/XX13"/>
    <x v="4"/>
    <s v="CV. Mekar Jaya Perkasa Pemalang"/>
    <m/>
    <s v="24 Mar 2021 - 23 Mar 2023"/>
    <s v="Knox Manage 2 Years"/>
    <s v="KLM09-G28VO-TYAXJ-FZGYW-OHCP6-Q2U1O"/>
    <d v="2021-03-19T00:00:00"/>
    <n v="254545"/>
    <n v="2"/>
    <n v="509090"/>
    <n v="275000"/>
    <n v="550000"/>
  </r>
  <r>
    <n v="95"/>
    <s v="PD-21030044/001"/>
    <s v="PO-01/03-21/XX13"/>
    <x v="4"/>
    <s v="CV. Mekar Jaya Perkasa Banyumas"/>
    <m/>
    <s v="24 Mar 2021 - 23 Mar 2023"/>
    <s v="Knox Manage 2 Years"/>
    <s v="KLM09-2Q15J-11CUC-0608V-CS99Z-DWQZ0"/>
    <d v="2021-03-19T00:00:00"/>
    <n v="254545"/>
    <n v="5"/>
    <n v="1272725"/>
    <n v="275000"/>
    <n v="1375000"/>
  </r>
  <r>
    <n v="96"/>
    <s v="PD-21030045/001"/>
    <s v="PO-01/03-21/XX13"/>
    <x v="4"/>
    <s v="CV. Mekar Jaya Perkasa Pemalang"/>
    <m/>
    <s v="24 Mar 2021 - 23 Mar 2023"/>
    <s v="Knox Manage 2 Years"/>
    <s v="KLM09-MD4L0-A9QK1-DJJAL-4IOZK-V4XVH"/>
    <d v="2021-03-19T00:00:00"/>
    <n v="254545"/>
    <n v="10"/>
    <n v="2545450"/>
    <n v="275000"/>
    <n v="2750000"/>
  </r>
  <r>
    <n v="97"/>
    <s v="PD-21030046/001"/>
    <s v="PO-01/03-21/XX13"/>
    <x v="4"/>
    <s v="CV. Mekar Jaya Perkasa Randudongkal"/>
    <m/>
    <s v="24 Mar 2021 - 23 Mar 2023"/>
    <s v="Knox Manage 2 Years"/>
    <s v="KLM09-UBUO4-D8WBT-1P6RM-QYH79-3UOEN"/>
    <d v="2021-03-19T00:00:00"/>
    <n v="254545"/>
    <n v="7"/>
    <n v="1781815"/>
    <n v="275000"/>
    <n v="1925000"/>
  </r>
  <r>
    <n v="98"/>
    <s v="PD-21030047/001"/>
    <s v="PO-01/03-21/XX13"/>
    <x v="4"/>
    <s v="CV. Mekar Jaya Perkasa Purwokerto"/>
    <m/>
    <s v="24 Mar 2021 - 23 Mar 2023"/>
    <s v="Knox Manage 2 Years"/>
    <s v="KLM09-NKWS3-1P6RY-MIY4V-ST8QB-3Q9QR"/>
    <d v="2021-03-19T00:00:00"/>
    <n v="254545"/>
    <n v="5"/>
    <n v="1272725"/>
    <n v="275000"/>
    <n v="1375000"/>
  </r>
  <r>
    <n v="99"/>
    <s v="PD-21030064/001"/>
    <s v="PO21000205"/>
    <x v="7"/>
    <s v="PT. Circleka Indonesia Utama"/>
    <m/>
    <s v="24 Mar 2021 - 23 Mar 2022"/>
    <s v="Knox Manage 1 Year"/>
    <s v="KLM09-UJF7V-7JPG7-CL4MT-OUQH5-PBYLV"/>
    <d v="2021-03-23T00:00:00"/>
    <n v="222727"/>
    <n v="20"/>
    <n v="4454540"/>
    <n v="432591"/>
    <n v="8651820"/>
  </r>
  <r>
    <n v="100"/>
    <s v="PD-21030058/001"/>
    <s v="PO-01/03-21/XX14"/>
    <x v="4"/>
    <s v="PT. Griyasatria Jaya"/>
    <m/>
    <s v="26 Mar 2021 - 25 Mar 2023"/>
    <s v="Knox Manage 2 Years"/>
    <s v="KLM09-UVPR3-B6RF4-V0K9Y-LR5MN-OJH81"/>
    <d v="2021-03-23T00:00:00"/>
    <n v="254545"/>
    <n v="1"/>
    <n v="254545"/>
    <n v="275000"/>
    <n v="275000"/>
  </r>
  <r>
    <n v="101"/>
    <s v="PD-21030070/001"/>
    <s v="PO-01/03-21/XX16"/>
    <x v="4"/>
    <s v="PT. Expand Semesta Jaya"/>
    <m/>
    <s v="30 Mar 2021 - 29 Mar 2023"/>
    <s v="Knox Manage 2 Years"/>
    <s v="KLM09-MSKGT-2S7CA-IKZ10-LXB6F-NTR60"/>
    <d v="2021-03-24T00:00:00"/>
    <n v="254545"/>
    <n v="6"/>
    <n v="1527270"/>
    <n v="275000"/>
    <n v="1650000"/>
  </r>
  <r>
    <n v="102"/>
    <s v="PD-21030068/001"/>
    <s v="POAT210305"/>
    <x v="5"/>
    <s v="PT. Surya Pratista Hutama"/>
    <m/>
    <s v="9 Apr 2021 - 8 Apr 2022"/>
    <s v="Knox Manage 1 Year"/>
    <s v="KLM09-2W36R-DG457-T8P7D-UU43Q-74D9Y"/>
    <d v="2021-03-24T00:00:00"/>
    <n v="222727"/>
    <n v="130"/>
    <n v="28954510"/>
    <n v="279091"/>
    <n v="36281830"/>
  </r>
  <r>
    <n v="103"/>
    <s v="PD-21030084/001"/>
    <s v="PO/BS/0321/0190"/>
    <x v="9"/>
    <s v="PT. Wahana Ottomitra Multiartha Tbk"/>
    <m/>
    <s v="5 Apr 2021 - 4 Apr 2023"/>
    <s v="Knox Manage 2 Years"/>
    <s v="KLM09-H1255-7RUA1-YKN38-WJ32D-6LJBL"/>
    <d v="2021-03-30T00:00:00"/>
    <n v="345455"/>
    <n v="350"/>
    <n v="120909250"/>
    <n v="388181.82"/>
    <n v="135863637"/>
  </r>
  <r>
    <n v="104"/>
    <s v="PD-21030073/001"/>
    <s v="PO-01/03-21/XX17"/>
    <x v="4"/>
    <s v="CV. Pribumi"/>
    <m/>
    <s v="31 Mar 2021 - 30 Mar 2023"/>
    <s v="Knox Manage 2 Years"/>
    <s v="KLM09-IJMI9-NIEY6-3ITWD-49GZC-PHQMU"/>
    <d v="2021-03-26T00:00:00"/>
    <n v="254545"/>
    <n v="6"/>
    <n v="1527270"/>
    <n v="275000"/>
    <n v="1650000"/>
  </r>
  <r>
    <n v="105"/>
    <s v="PD-21030074/001"/>
    <s v="PO-01/03-21/XX17"/>
    <x v="4"/>
    <s v="CV. War Uni Abadi"/>
    <m/>
    <s v="31 Mar 2021 - 30 Mar 2023"/>
    <s v="Knox Manage 2 Years"/>
    <s v="KLM09-7N5FJ-1L8EU-JDW6R-3Z5NJ-TEUZJ"/>
    <d v="2021-03-26T00:00:00"/>
    <n v="254545"/>
    <n v="3"/>
    <n v="763635"/>
    <n v="275000"/>
    <n v="825000"/>
  </r>
  <r>
    <n v="106"/>
    <s v="PD-21030075/001"/>
    <s v="PO-01/03-21/XX17"/>
    <x v="4"/>
    <s v="CV. War Uni Abadi LMT"/>
    <m/>
    <s v="31 Mar 2021 - 30 Mar 2023"/>
    <s v="Knox Manage 2 Years"/>
    <s v="KLM09-I8IJM-U5OFP-PQWF5-6S7I3-ICI4C"/>
    <d v="2021-03-26T00:00:00"/>
    <n v="254545"/>
    <n v="2"/>
    <n v="509090"/>
    <n v="275000"/>
    <n v="550000"/>
  </r>
  <r>
    <n v="107"/>
    <s v="PD-21030076/001"/>
    <s v="PO-01/03-21/XX17"/>
    <x v="4"/>
    <s v="CV. War Uni Abadi"/>
    <m/>
    <s v="31 Mar 2021 - 30 Mar 2023"/>
    <s v="Knox Manage 2 Years"/>
    <s v="KLM09-0WKEJ-NMKDZ-FKICV-LE72Z-JQOCU"/>
    <d v="2021-03-26T00:00:00"/>
    <n v="254545"/>
    <n v="5"/>
    <n v="1272725"/>
    <n v="275000"/>
    <n v="1375000"/>
  </r>
  <r>
    <n v="108"/>
    <s v="PD-21030085/001"/>
    <s v="PO-01/03-21/XX20"/>
    <x v="4"/>
    <s v="PT. Rasa Prima Selaras Bangka"/>
    <m/>
    <s v="5 Apr 2021 - 4 Apr 2023"/>
    <s v="Knox Manage 2 Years"/>
    <s v="KLM09-AAREQ-BQ13J-HF114-O6DG1-GNMIF"/>
    <d v="2021-03-30T00:00:00"/>
    <n v="254545"/>
    <n v="2"/>
    <n v="509090"/>
    <n v="275000"/>
    <n v="550000"/>
  </r>
  <r>
    <n v="109"/>
    <s v="PD-21030086/001"/>
    <s v="PO-01/03-21/XX20"/>
    <x v="4"/>
    <s v="PT. Badriani Abadi"/>
    <m/>
    <s v="5 Apr 2021 - 4 Apr 2023"/>
    <s v="Knox Manage 2 Years"/>
    <s v="KLM09-I8HML-DS3P4-VJN9G-3LHJY-VE3IV"/>
    <d v="2021-03-30T00:00:00"/>
    <n v="254545"/>
    <n v="3"/>
    <n v="763635"/>
    <n v="275000"/>
    <n v="825000"/>
  </r>
  <r>
    <n v="110"/>
    <s v="PD-21030088/001"/>
    <s v="PO-01/03-21/XX21"/>
    <x v="4"/>
    <s v="PT. Rasa Prima Selaras Indralaya"/>
    <m/>
    <s v="7 Apr 2021 - 6 Apr 2023"/>
    <s v="Knox Manage 2 Years"/>
    <s v="KLM09-C2R4O-4IQQG-TJ3W9-95B8C-ETJAB"/>
    <d v="2021-03-31T00:00:00"/>
    <n v="254545"/>
    <n v="1"/>
    <n v="254545"/>
    <n v="275000"/>
    <n v="275000"/>
  </r>
  <r>
    <n v="111"/>
    <s v="PD-21030089/001"/>
    <s v="PO-01/03-21/XX21"/>
    <x v="4"/>
    <s v="CV. Forward Kediri"/>
    <m/>
    <s v="7 Apr 2021 - 6 Apr 2023"/>
    <s v="Knox Manage 2 Years"/>
    <s v="KLM09-AT2FX-78I9Q-JU0O7-VP344-HKU77"/>
    <d v="2021-03-31T00:00:00"/>
    <n v="254545"/>
    <n v="5"/>
    <n v="1272725"/>
    <n v="275000"/>
    <n v="1375000"/>
  </r>
  <r>
    <n v="112"/>
    <s v="PD-21030087/001"/>
    <s v="MSSPOTAX21030029"/>
    <x v="10"/>
    <s v="PT. AKR Corporindo"/>
    <m/>
    <s v="9 Apr 2021 - 8 Apr 2022"/>
    <s v="Knox Configure Dynamic 1 Year"/>
    <s v="KLM09-M1IMX-X19UA-8Z928-W355L-CEZRK"/>
    <d v="2021-03-30T00:00:00"/>
    <n v="92727"/>
    <n v="18"/>
    <n v="1669086"/>
    <n v="106818.18"/>
    <n v="1922727.2399999998"/>
  </r>
  <r>
    <n v="113"/>
    <s v="PD-21040024/001"/>
    <s v="PO-02/04-21/XX05"/>
    <x v="4"/>
    <s v="CV. Hana Central"/>
    <m/>
    <s v="15 Apr 2021 - 14 Apr 2023"/>
    <s v="Knox Manage 2 Years"/>
    <s v="KLM09-UQ1YM-OY8KK-A24T5-7KLK0-FL3NJ"/>
    <d v="2021-04-12T00:00:00"/>
    <n v="254545"/>
    <n v="7"/>
    <n v="1781815"/>
    <n v="275000"/>
    <n v="1925000"/>
  </r>
  <r>
    <n v="114"/>
    <s v="PD-21040025/001"/>
    <s v="PO-02/04-21/XX05"/>
    <x v="4"/>
    <s v="CV. Sinar Anugerah"/>
    <m/>
    <s v="15 Apr 2021 - 14 Apr 2023"/>
    <s v="Knox Manage 2 Years"/>
    <s v="KLM09-6H65Y-0DHL8-ILQVR-Z300X-SCVPS"/>
    <d v="2021-04-12T00:00:00"/>
    <n v="254545"/>
    <n v="5"/>
    <n v="1272725"/>
    <n v="275000"/>
    <n v="1375000"/>
  </r>
  <r>
    <n v="115"/>
    <s v="PD-21040026/001"/>
    <s v="PO-02/04-21/XX05"/>
    <x v="4"/>
    <s v="CV. Bumi Arta Blitar LMT"/>
    <m/>
    <s v="15 Apr 2021 - 14 Apr 2023"/>
    <s v="Knox Manage 2 Years"/>
    <s v="KLM09-DBPJF-5EKNH-CBWN9-H3FGE-4GYXL"/>
    <d v="2021-04-12T00:00:00"/>
    <n v="254545"/>
    <n v="3"/>
    <n v="763635"/>
    <n v="275000"/>
    <n v="825000"/>
  </r>
  <r>
    <n v="116"/>
    <s v="PD-21040027/001"/>
    <s v="PO-02/04-21/XX05"/>
    <x v="4"/>
    <s v="CV. Bumi Arta Boyolangu"/>
    <m/>
    <s v="15 Apr 2021 - 14 Apr 2023"/>
    <s v="Knox Manage 2 Years"/>
    <s v="KLM09-GDWOA-ZFXXX-Y9QDY-92NHN-MOSML"/>
    <d v="2021-04-12T00:00:00"/>
    <n v="254545"/>
    <n v="6"/>
    <n v="1527270"/>
    <n v="275000"/>
    <n v="1650000"/>
  </r>
  <r>
    <n v="117"/>
    <s v="PD-21040028/001"/>
    <s v="PO-02/04-21/XX05"/>
    <x v="4"/>
    <s v="CV. Bumi Arta Wlingi"/>
    <m/>
    <s v="15 Apr 2021 - 14 Apr 2023"/>
    <s v="Knox Manage 2 Years"/>
    <s v="KLM09-GHT2K-C14FF-6EUQZ-T6RJ8-IM6U3"/>
    <d v="2021-04-12T00:00:00"/>
    <n v="254545"/>
    <n v="6"/>
    <n v="1527270"/>
    <n v="275000"/>
    <n v="1650000"/>
  </r>
  <r>
    <n v="118"/>
    <s v="PD-21040029/001"/>
    <s v="PO-02/04-21/XX05"/>
    <x v="4"/>
    <s v="CV. Bumi Arta Ngantru"/>
    <m/>
    <s v="15 Apr 2021 - 14 Apr 2023"/>
    <s v="Knox Manage 2 Years"/>
    <s v="KLM09-7OI3H-O98YW-2VF8L-2KVX7-MNDPE"/>
    <d v="2021-04-12T00:00:00"/>
    <n v="254545"/>
    <n v="5"/>
    <n v="1272725"/>
    <n v="275000"/>
    <n v="1375000"/>
  </r>
  <r>
    <n v="119"/>
    <s v="PD-21040030/001"/>
    <s v="PO-02/04-21/XX05"/>
    <x v="4"/>
    <s v="CV. Bumi Arta Blitar"/>
    <m/>
    <s v="15 Apr 2021 - 14 Apr 2023"/>
    <s v="Knox Manage 2 Years"/>
    <s v="KLM09-2JIUS-SN7IE-6UVN1-3HGI7-7L86T"/>
    <d v="2021-04-12T00:00:00"/>
    <n v="254545"/>
    <n v="7"/>
    <n v="1781815"/>
    <n v="275000"/>
    <n v="1925000"/>
  </r>
  <r>
    <n v="120"/>
    <s v="PD-21040046/001"/>
    <s v="PO-02/04-21/XX06"/>
    <x v="4"/>
    <s v="PT. Griyasatria Jaya Ajibarang"/>
    <m/>
    <s v="19 Apr 2021 - 18 Apr 2023"/>
    <s v="Knox Manage 2 Years"/>
    <s v="KLM09-AFWDF-50EQZ-J1WU0-Z8HPM-5IOOK"/>
    <d v="2021-04-13T00:00:00"/>
    <n v="254545"/>
    <n v="8"/>
    <n v="2036360"/>
    <n v="275000"/>
    <n v="2200000"/>
  </r>
  <r>
    <n v="121"/>
    <s v="PD-21040047/001"/>
    <s v="PO-02/04-21/XX06"/>
    <x v="4"/>
    <s v="PT. Griyasatria Jaya Purworejo"/>
    <m/>
    <s v="19 Apr 2021 - 18 Apr 2023"/>
    <s v="Knox Manage 2 Years"/>
    <s v="KLM09-HS3JB-1R5M7-JG9NE-T0RGI-FNMJR "/>
    <d v="2021-04-13T00:00:00"/>
    <n v="254545"/>
    <n v="7"/>
    <n v="1781815"/>
    <n v="275000"/>
    <n v="1925000"/>
  </r>
  <r>
    <n v="122"/>
    <s v="PD-21040048/001"/>
    <s v="PO-02/04-21/XX06"/>
    <x v="4"/>
    <s v="PT. Griyasatria Jaya Purwokerto"/>
    <m/>
    <s v="19 Apr 2021 - 18 Apr 2023"/>
    <s v="Knox Manage 2 Years"/>
    <s v="KLM09-HBAH4-NUCFA-HL4AP-Q5J1V-PDTUQ"/>
    <d v="2021-04-13T00:00:00"/>
    <n v="254545"/>
    <n v="7"/>
    <n v="1781815"/>
    <n v="275000"/>
    <n v="1925000"/>
  </r>
  <r>
    <n v="123"/>
    <s v="PD-21040049/001"/>
    <s v="PO-02/04-21/XX06"/>
    <x v="4"/>
    <s v="PT. Griyasatria Jaya Kulonprogo"/>
    <m/>
    <s v="19 Apr 2021 - 18 Apr 2023"/>
    <s v="Knox Manage 2 Years"/>
    <s v="KLM09-MT5LA-E95M5-RRF18-QGB1G-YFL4D"/>
    <d v="2021-04-13T00:00:00"/>
    <n v="254545"/>
    <n v="3"/>
    <n v="763635"/>
    <n v="275000"/>
    <n v="825000"/>
  </r>
  <r>
    <n v="124"/>
    <s v="PD-21040050/001"/>
    <s v="PO-02/04-21/XX06"/>
    <x v="4"/>
    <s v="PT. Makmur Mandiri Utama"/>
    <m/>
    <s v="19 Apr 2021 - 18 Apr 2023"/>
    <s v="Knox Manage 2 Years"/>
    <s v="KLM09-NAAW1-TV7ES-CM6E2-OFGI5-8BSPI"/>
    <d v="2021-04-13T00:00:00"/>
    <n v="254545"/>
    <n v="1"/>
    <n v="254545"/>
    <n v="275000"/>
    <n v="275000"/>
  </r>
  <r>
    <n v="125"/>
    <s v="PD-21040053/001"/>
    <s v="PO-02/04-21/XX07"/>
    <x v="4"/>
    <s v="CV. Hana Prima Lestari LMT"/>
    <m/>
    <s v="20 Apr 2021 - 19 Apr 2023"/>
    <s v="Knox Manage 2 Years"/>
    <s v="KLM09-CHL7O-YW09Q-UXFBO-SVQHR-UD5EO"/>
    <d v="2021-04-15T00:00:00"/>
    <n v="254545"/>
    <n v="4"/>
    <n v="1018180"/>
    <n v="275000"/>
    <n v="1100000"/>
  </r>
  <r>
    <n v="126"/>
    <s v="PD-21040054/001"/>
    <s v="PO-02/04-21/XX07"/>
    <x v="4"/>
    <s v="CV. Hana Prima Lestari GT"/>
    <m/>
    <s v="20 Apr 2021 - 19 Apr 2023"/>
    <s v="Knox Manage 2 Years"/>
    <s v="KLM09-DHUAP-4B4Y6-U69LS-EVW4H-BOOZV "/>
    <d v="2021-04-15T00:00:00"/>
    <n v="254545"/>
    <n v="6"/>
    <n v="1527270"/>
    <n v="275000"/>
    <n v="1650000"/>
  </r>
  <r>
    <n v="127"/>
    <s v="PD-21040055/001"/>
    <s v="PO-02/04-21/XX07"/>
    <x v="4"/>
    <s v="CV. Forward Kediri"/>
    <m/>
    <s v="20 Apr 2021 - 19 Apr 2023"/>
    <s v="Knox Manage 2 Years"/>
    <s v="KLM09-JASZI-2ORFA-0XVQ8-X1RHH-4QDTA"/>
    <d v="2021-04-15T00:00:00"/>
    <n v="254545"/>
    <n v="7"/>
    <n v="1781815"/>
    <n v="275000"/>
    <n v="1925000"/>
  </r>
  <r>
    <n v="128"/>
    <s v="PD-21040056/001"/>
    <s v="PO-02/04-21/XX07"/>
    <x v="4"/>
    <s v="CV. Forward Pare"/>
    <m/>
    <s v="20 Apr 2021 - 19 Apr 2023"/>
    <s v="Knox Manage 2 Years"/>
    <s v="KLM09-CYDCK-9LFRK-XPALU-ZFHJ6-44LMK"/>
    <d v="2021-04-15T00:00:00"/>
    <n v="254545"/>
    <n v="5"/>
    <n v="1272725"/>
    <n v="275000"/>
    <n v="1375000"/>
  </r>
  <r>
    <n v="129"/>
    <s v="PD-21040058/001"/>
    <s v="PO-02/04-21/XX08"/>
    <x v="4"/>
    <s v="CV. Sinar Anugrah Padalarang"/>
    <m/>
    <s v="21 Apr 2021 - 20 Apr 2023"/>
    <s v="Knox Manage 2 Years"/>
    <s v="KLM09-MPMBQ-5GRVR-8FUO6-OI54P-Z9EIP "/>
    <d v="2021-04-16T00:00:00"/>
    <n v="254545"/>
    <n v="8"/>
    <n v="2036360"/>
    <n v="275000"/>
    <n v="2200000"/>
  </r>
  <r>
    <n v="130"/>
    <s v="PD-21040059/001"/>
    <s v="PO-02/04-21/XX08"/>
    <x v="4"/>
    <s v="CV. Sinar Anugrah Cimahi"/>
    <m/>
    <s v="21 Apr 2021 - 20 Apr 2023"/>
    <s v="Knox Manage 2 Years"/>
    <s v="KLM09-CBDIH-ZZGU5-WWNPW-83I9Z-3JL00"/>
    <d v="2021-04-16T00:00:00"/>
    <n v="254545"/>
    <n v="10"/>
    <n v="2545450"/>
    <n v="275000"/>
    <n v="2750000"/>
  </r>
  <r>
    <n v="131"/>
    <s v="PD-21040062/001"/>
    <n v="22100000727"/>
    <x v="7"/>
    <s v="PT. Nojorono Tobbaco International"/>
    <m/>
    <s v="4 Mei 2021 - 3 Mei 2022"/>
    <s v="Knox Configure Dynamic 1 Year"/>
    <s v="KLM09-I7U4L-ULV10-HQFQT-NZJS6-V5NZ5"/>
    <d v="2021-04-19T00:00:00"/>
    <n v="92727"/>
    <n v="70"/>
    <n v="6490890"/>
    <n v="185100"/>
    <n v="12957000"/>
  </r>
  <r>
    <n v="132"/>
    <s v="PD-21040067/001"/>
    <s v="PO-02/04-21/XX12"/>
    <x v="4"/>
    <s v="CV. Putra Jaya Pandaan"/>
    <m/>
    <s v="26 Apr 2021 - 25 Apr 2023"/>
    <s v="Knox Manage 2 Years"/>
    <s v="KLM09-A3M24-0PLBS-63ASS-5HM6I-GWCIM"/>
    <d v="2021-04-21T00:00:00"/>
    <n v="254545"/>
    <n v="6"/>
    <n v="1527270"/>
    <n v="275000"/>
    <n v="1650000"/>
  </r>
  <r>
    <n v="133"/>
    <s v="PD-21040068/001"/>
    <s v="PO-02/04-21/XX12"/>
    <x v="4"/>
    <s v="CV. Putra Jaya LMT"/>
    <m/>
    <s v="26 Apr 2021 - 25 Apr 2023"/>
    <s v="Knox Manage 2 Years"/>
    <s v="KLM09-FXX32-XAUTH-DG84P-V0XGQ-HWUGV"/>
    <d v="2021-04-21T00:00:00"/>
    <n v="254545"/>
    <n v="4"/>
    <n v="1018180"/>
    <n v="275000"/>
    <n v="1100000"/>
  </r>
  <r>
    <n v="134"/>
    <s v="PD-21040069/001"/>
    <s v="PO-02/04-21/XX12"/>
    <x v="4"/>
    <s v="CV. Putra Jaya Purwosari"/>
    <m/>
    <s v="26 Apr 2021 - 25 Apr 2023"/>
    <s v="Knox Manage 2 Years"/>
    <s v="KLM09-7JB93-CL8N0-GSDSK-DFLRD-ZGSZU"/>
    <d v="2021-04-21T00:00:00"/>
    <n v="254545"/>
    <n v="3"/>
    <n v="763635"/>
    <n v="275000"/>
    <n v="825000"/>
  </r>
  <r>
    <n v="135"/>
    <s v="PD-21040070/001"/>
    <s v="PO-02/04-21/XX12"/>
    <x v="4"/>
    <s v="CV. Putra Jaya Pasuruan"/>
    <m/>
    <s v="26 Apr 2021 - 25 Apr 2023"/>
    <s v="Knox Manage 2 Years"/>
    <s v="KLM09-UA6ZI-V3EUI-M3DBH-1N7VM-7YDSR"/>
    <d v="2021-04-21T00:00:00"/>
    <n v="254545"/>
    <n v="5"/>
    <n v="1272725"/>
    <n v="275000"/>
    <n v="1375000"/>
  </r>
  <r>
    <n v="136"/>
    <s v="PD-21040071/001"/>
    <s v="PO-02/04-21/XX12"/>
    <x v="4"/>
    <s v="CV. Putra Jaya Pasrepan"/>
    <m/>
    <s v="26 Apr 2021 - 25 Apr 2023"/>
    <s v="Knox Manage 2 Years"/>
    <s v="KLM09-JCFMJ-3AGMK-7W4SK-Q6KW1-QTDSW"/>
    <d v="2021-04-21T00:00:00"/>
    <n v="254545"/>
    <n v="3"/>
    <n v="763635"/>
    <n v="275000"/>
    <n v="825000"/>
  </r>
  <r>
    <n v="137"/>
    <s v="PD-21040072/001"/>
    <n v="78868"/>
    <x v="3"/>
    <s v="BCA Insurance"/>
    <m/>
    <s v="20 Juni 2021 - 19 Juni 2022"/>
    <s v="Knox Manage 1 Year"/>
    <s v="KLM09-20DCS-NIW3B-XWZEA-QI4ZE-ZFEC3"/>
    <d v="2021-04-21T00:00:00"/>
    <n v="222727"/>
    <n v="4"/>
    <n v="890908"/>
    <n v="279090.90999999997"/>
    <n v="1116363.6399999999"/>
  </r>
  <r>
    <n v="138"/>
    <s v="PD-21040073/001"/>
    <n v="78868"/>
    <x v="3"/>
    <s v="BCA Insurance"/>
    <m/>
    <s v="25 Mei 2021 - 24 Mei 2022"/>
    <s v="Knox Manage 1 Year"/>
    <s v="KLM03-HWS42-YBNNA-FN92R-URCZL-FSLXI"/>
    <d v="2021-04-21T00:00:00"/>
    <n v="171818"/>
    <n v="9"/>
    <n v="1546362"/>
    <n v="279090.90999999997"/>
    <n v="2511818.19"/>
  </r>
  <r>
    <n v="139"/>
    <s v="PD-21040074/001"/>
    <n v="78868"/>
    <x v="3"/>
    <s v="BCA Insurance"/>
    <m/>
    <s v="19 Juni 2021 - 18 Juni 2022"/>
    <s v="Knox Manage 1 Year"/>
    <s v="KLM09-CZRB6-ZUVOM-2BVE7-EN9CH-ZZYK3"/>
    <d v="2021-04-21T00:00:00"/>
    <n v="222727"/>
    <n v="5"/>
    <n v="1113635"/>
    <n v="279090.90999999997"/>
    <n v="1395454.5499999998"/>
  </r>
  <r>
    <n v="140"/>
    <s v="PD-21040075/001"/>
    <n v="78868"/>
    <x v="3"/>
    <s v="BCA Insurance"/>
    <m/>
    <s v="20 Juni 2021 - 19 Juni 2022"/>
    <s v="Knox Configure Setup 1 Year"/>
    <s v="KLM09-D9ZZ8-SBGCT-4FCTN-74IWS-BRJKN"/>
    <d v="2021-04-21T00:00:00"/>
    <n v="46364"/>
    <n v="4"/>
    <n v="185456"/>
    <n v="58181.82"/>
    <n v="232727.28"/>
  </r>
  <r>
    <n v="141"/>
    <s v="PD-21040076/001"/>
    <n v="78868"/>
    <x v="3"/>
    <s v="BCA Insurance"/>
    <m/>
    <s v="19 Juni 2021 - 18 Juni 2022"/>
    <s v="Knox Configure Setup 1 Year"/>
    <s v="KLM09-IRIIC-EIEJ0-RYZJB-C7Y2B-8IQH3"/>
    <d v="2021-04-21T00:00:00"/>
    <n v="46364"/>
    <n v="5"/>
    <n v="231820"/>
    <n v="58181.82"/>
    <n v="290909.09999999998"/>
  </r>
  <r>
    <n v="142"/>
    <s v="PD-21040077/001"/>
    <s v="POAT210377"/>
    <x v="5"/>
    <s v="PT. Sawit Sumbermas Sarana"/>
    <m/>
    <s v="29 Apr 2021 - 28 Apr 2023"/>
    <s v="Knox Manage 2 Years"/>
    <s v="KLM09-FYYHU-L62YI-VNF9I-Z48WM-IGQRU"/>
    <d v="2021-04-22T00:00:00"/>
    <n v="444545"/>
    <n v="157"/>
    <n v="69793565"/>
    <n v="545455"/>
    <n v="85636435"/>
  </r>
  <r>
    <n v="143"/>
    <s v="PD-21040081/001"/>
    <s v="GDN2/PO/2021/10016"/>
    <x v="11"/>
    <s v="PT. Kalbe Farma Tbk"/>
    <m/>
    <s v="26 Apr 2021 - 25 Apr 2022"/>
    <s v="Knox Manage 1 Year"/>
    <s v="KLM09-82SKK-S4SFX-9EQ2O-ZO2R0-K0KHK"/>
    <d v="2021-04-23T00:00:00"/>
    <n v="222727"/>
    <n v="25"/>
    <n v="5568175"/>
    <n v="279090.90999999997"/>
    <n v="6977272.7499999991"/>
  </r>
  <r>
    <n v="144"/>
    <s v="PD-21040082/001"/>
    <s v="0055/TS-CT/EXT/PC-POR/00/IV/21"/>
    <x v="12"/>
    <s v="Korlantas POLRI"/>
    <m/>
    <s v="3 Mei 2021 - 2 Mei 2022"/>
    <s v="Knox Configure Dynamic 1 Year"/>
    <s v="KLM09-MPC1N-XS0RD-GH9WQ-ZZI61-CE1GI"/>
    <d v="2021-04-23T00:00:00"/>
    <n v="92727"/>
    <n v="250"/>
    <n v="23181750"/>
    <n v="135273"/>
    <n v="33818250"/>
  </r>
  <r>
    <n v="145"/>
    <s v="PD-21050037/001"/>
    <s v="PO-02/05-21/XX09"/>
    <x v="4"/>
    <s v="CV. Aneka Sari Manado"/>
    <m/>
    <s v="24 Mei 2021 - 23 Mei 2023"/>
    <s v="Knox Manage 2 Years"/>
    <s v="KLM09-OOG9A-026WR-KO29S-9BKC8-MWXKK"/>
    <d v="2021-04-21T00:00:00"/>
    <n v="254545"/>
    <n v="1"/>
    <n v="254545"/>
    <n v="275000"/>
    <n v="275000"/>
  </r>
  <r>
    <n v="146"/>
    <s v="PD-21050038/001"/>
    <s v="PO-02/05-21/XX09"/>
    <x v="4"/>
    <s v="PT. Sinarmas Distribusi Nusantara Sukabumi"/>
    <m/>
    <s v="24 Mei 2021 - 23 Mei 2023"/>
    <s v="Knox Manage 2 Years"/>
    <s v="KLM09-0N8QR-39K6O-0V19C-LR9RD-XK3VA"/>
    <d v="2021-04-21T00:00:00"/>
    <n v="254545"/>
    <n v="4"/>
    <n v="1018180"/>
    <n v="275000"/>
    <n v="1100000"/>
  </r>
  <r>
    <n v="147"/>
    <s v="PD-21050039/001"/>
    <s v="PO-02/05-21/XX09"/>
    <x v="4"/>
    <s v="PT. Sinarmas Distribusi Nusantara Sentul"/>
    <m/>
    <s v="24 Mei 2021 - 23 Mei 2023"/>
    <s v="Knox Manage 2 Years"/>
    <s v="KLM09-GE0SH-51ISR-RW0QW-OUHXF-7E6EA"/>
    <d v="2021-04-21T00:00:00"/>
    <n v="254545"/>
    <n v="6"/>
    <n v="1527270"/>
    <n v="275000"/>
    <n v="1650000"/>
  </r>
  <r>
    <n v="148"/>
    <s v="PD-21050042/001"/>
    <s v="PO/GDN2/2105/10017"/>
    <x v="11"/>
    <s v="PT. Kalbe Farma Tbk"/>
    <m/>
    <s v="19 Mei 2021 - 18 Mei 2023"/>
    <s v="Knox Manage 2 Years"/>
    <s v="KLM09-C6KHZ-PDYK0-4A4LJ-IS3MK-KD52I"/>
    <d v="2021-05-19T00:00:00"/>
    <n v="444545"/>
    <n v="1"/>
    <n v="444545"/>
    <n v="556363.63"/>
    <n v="556363.63"/>
  </r>
  <r>
    <n v="149"/>
    <s v="PD-21050043/001"/>
    <s v="999-21-00261"/>
    <x v="8"/>
    <s v="PT. Dipo Star Finance"/>
    <m/>
    <s v="20 Mei 2021 - 19 Mei 2022"/>
    <s v="Knox Manage 1 Year"/>
    <s v="KLM09-IWQ8G-XB86Q-E6S2Z-595A0-X75NW"/>
    <d v="2021-05-19T00:00:00"/>
    <n v="222727"/>
    <n v="350"/>
    <n v="77954450"/>
    <n v="279090.90999999997"/>
    <n v="97681818.499999985"/>
  </r>
  <r>
    <n v="150"/>
    <s v="PD-21050048/001"/>
    <s v="PO-02/05-21/XX15"/>
    <x v="4"/>
    <s v="CV. Berkah Niaga"/>
    <m/>
    <s v="25 Mei 2021 - 24 Mei 2023"/>
    <s v="Knox Manage 2 Years"/>
    <s v="KLM09-GAY98-I6RF0-T9DNF-6BONC-TXPJ1"/>
    <d v="2021-05-20T00:00:00"/>
    <n v="254545"/>
    <n v="2"/>
    <n v="509090"/>
    <n v="275000"/>
    <n v="550000"/>
  </r>
  <r>
    <n v="151"/>
    <s v="PD-21060011/001"/>
    <s v="PO-02/06-21/XX01"/>
    <x v="4"/>
    <s v="PT. Plambo Pratama Joyosantoso Slawi"/>
    <m/>
    <s v="7 Juni 2021 - 6 Juni 2023"/>
    <s v="Knox Manage 2 Years"/>
    <s v="KLM09-DTM5J-QB3JZ-NM5PL-4PR3W-WZ4X3"/>
    <d v="2021-06-02T00:00:00"/>
    <n v="254545"/>
    <n v="1"/>
    <n v="254545"/>
    <n v="275000"/>
    <n v="275000"/>
  </r>
  <r>
    <n v="152"/>
    <s v="PD-21060012/001"/>
    <s v="PO-02/06-21/XX01"/>
    <x v="4"/>
    <s v="PT. Pintu Tiga Utama KDP"/>
    <m/>
    <s v="7 Juni 2021 - 6 Juni 2023"/>
    <s v="Knox Manage 2 Years"/>
    <s v="KLM09-6X73G-6V1RC-403W3-MSW26-J7GZC"/>
    <d v="2021-06-02T00:00:00"/>
    <n v="254545"/>
    <n v="7"/>
    <n v="1781815"/>
    <n v="275000"/>
    <n v="1925000"/>
  </r>
  <r>
    <n v="153"/>
    <s v="PD-21060013/001"/>
    <s v="PO-02/06-21/XX01"/>
    <x v="4"/>
    <s v="PT. Pintu Tiga Utama LMT"/>
    <m/>
    <s v="7 Juni 2021 - 6 Juni 2023"/>
    <s v="Knox Manage 2 Years"/>
    <s v="KLM09-FWK4E-KHPEW-OQOG0-O36X3-0RB5O"/>
    <d v="2021-06-02T00:00:00"/>
    <n v="254545"/>
    <n v="1"/>
    <n v="254545"/>
    <n v="275000"/>
    <n v="275000"/>
  </r>
  <r>
    <n v="154"/>
    <s v="PD-21060014/001"/>
    <s v="PO-02/06-21/XX01"/>
    <x v="4"/>
    <s v="PT. Pintu Tiga Utama Jatiwangi"/>
    <m/>
    <s v="7 Juni 2021 - 6 Juni 2023"/>
    <s v="Knox Manage 2 Years"/>
    <s v="KLM09-UUKKY-P29ZV-LKK3T-LIGG9-SBUAY"/>
    <d v="2021-06-02T00:00:00"/>
    <n v="254545"/>
    <n v="6"/>
    <n v="1527270"/>
    <n v="275000"/>
    <n v="1650000"/>
  </r>
  <r>
    <n v="155"/>
    <s v="PD-21060021/001"/>
    <s v="PO-02/06-21/XX06"/>
    <x v="4"/>
    <s v="PT. Cahaya Agung Cemerlang"/>
    <m/>
    <s v="15 Juni 2021 - 14 Juni 2023"/>
    <s v="Knox Manage 2 Years"/>
    <s v="KLM09-7C3MY-GVQZO-97J3M-AS30T-8ZQR6"/>
    <d v="2021-06-10T00:00:00"/>
    <n v="254545"/>
    <n v="2"/>
    <n v="509090"/>
    <n v="275000"/>
    <n v="550000"/>
  </r>
  <r>
    <n v="156"/>
    <s v="PD-21060022/001"/>
    <s v="PO-02/06-21/XX06"/>
    <x v="4"/>
    <s v="PT. Cempaka Mulia Abadi"/>
    <m/>
    <s v="15 Juni 2021 - 14 Juni 2023"/>
    <s v="Knox Manage 2 Years"/>
    <s v="KLM09-A6930-F4QP9-OCQVS-W9H1B-ONZ5K"/>
    <d v="2021-06-10T00:00:00"/>
    <n v="254545"/>
    <n v="1"/>
    <n v="254545"/>
    <n v="275000"/>
    <n v="275000"/>
  </r>
  <r>
    <n v="157"/>
    <s v="PD-21060033/001"/>
    <s v="PO 79246"/>
    <x v="3"/>
    <s v="BCA Insurance"/>
    <m/>
    <s v="19 Juli 2021 - 18 Juli 2022"/>
    <s v="Knox Manage 1 Year"/>
    <s v="KLM09-NNFI6-J4QAG-CONYP-ZOIP5-2REJE"/>
    <d v="2021-06-14T00:00:00"/>
    <n v="222727"/>
    <n v="1"/>
    <n v="222727"/>
    <n v="279090.90999999997"/>
    <n v="279090.90999999997"/>
  </r>
  <r>
    <n v="158"/>
    <s v="PD-21060034/001"/>
    <s v="PO 79246"/>
    <x v="3"/>
    <s v="BCA Insurance"/>
    <m/>
    <s v="17 Aug 2021 – 16 Aug 2022"/>
    <s v="Knox Manage 1 Year"/>
    <s v="KLM09-N7M32-S152J-QHR0T-C3GLW-H5OQ9"/>
    <d v="2021-06-14T00:00:00"/>
    <n v="222727"/>
    <n v="11"/>
    <n v="2449997"/>
    <n v="279090.90999999997"/>
    <n v="3070000.01"/>
  </r>
  <r>
    <n v="159"/>
    <s v="PD-21060035/001"/>
    <s v="PO 79246"/>
    <x v="3"/>
    <s v="BCA Insurance"/>
    <m/>
    <s v="9 Juli 2021 – 8 Juli 2022"/>
    <s v="Knox Configure Setup 1 Year"/>
    <s v="KLM09-GZZJZ-7GVCN-ZMAW4-BT95M-W9424"/>
    <d v="2021-06-14T00:00:00"/>
    <n v="46364"/>
    <n v="3"/>
    <n v="139092"/>
    <n v="58181.82"/>
    <n v="174545.46"/>
  </r>
  <r>
    <n v="160"/>
    <s v="PD-21060036/001"/>
    <s v="PO 79246"/>
    <x v="3"/>
    <s v="BCA Insurance"/>
    <m/>
    <s v="19 Juli 2021 – 18 Juli 2022"/>
    <s v="Knox Configure Setup 1 Year"/>
    <s v="KLM09-UPUNP-M7VN3-DIF4U-HHFEM-K5ZYK"/>
    <d v="2021-06-14T00:00:00"/>
    <n v="46364"/>
    <n v="1"/>
    <n v="46364"/>
    <n v="58181.82"/>
    <n v="58181.82"/>
  </r>
  <r>
    <n v="161"/>
    <s v="PD-21060037/001"/>
    <s v="PO 79246"/>
    <x v="3"/>
    <s v="BCA Insurance"/>
    <m/>
    <s v="17 Aug 2021 - 16 Aug 2022"/>
    <s v="Knox Configure Setup 1 Year"/>
    <s v="KLM09-ALRET-NNOUL-IXGRU-ZXANM-4N0J3"/>
    <d v="2021-06-14T00:00:00"/>
    <n v="46364"/>
    <n v="11"/>
    <n v="510004"/>
    <n v="58181.82"/>
    <n v="640000.02"/>
  </r>
  <r>
    <n v="162"/>
    <s v="PD-21060041/001"/>
    <s v="PO-02/06-21/XX10"/>
    <x v="4"/>
    <s v="PT. Sinarmas Distirbusi Nusantara Cianjur"/>
    <m/>
    <s v="21 Juni 2021 - 20 Juni 2023"/>
    <s v="Knox Manage 2 Years"/>
    <s v="KLM09-FZGWE-MXWQS-7IW59-135PK-CFJSD"/>
    <d v="2021-06-16T00:00:00"/>
    <n v="254545"/>
    <n v="8"/>
    <n v="2036360"/>
    <n v="275000"/>
    <n v="2200000"/>
  </r>
  <r>
    <n v="163"/>
    <s v="PD-21060043/001"/>
    <s v="0569/SDR/V/2021"/>
    <x v="7"/>
    <s v="PT. Sarana Dgital Ritel"/>
    <m/>
    <s v="16 Juni 2021 - 15 Juni 2022"/>
    <s v="Knox Configure Dynamic 1 Year"/>
    <s v="KLM09-0FN8R-Y53EM-B5RXZ-Q6TB8-MVZ3C"/>
    <d v="2021-06-16T00:00:00"/>
    <n v="92727"/>
    <n v="10"/>
    <n v="927270"/>
    <n v="198400"/>
    <n v="1984000"/>
  </r>
  <r>
    <n v="164"/>
    <s v="PD-21060069/001"/>
    <s v="PO-02/06-21/XX16"/>
    <x v="4"/>
    <s v="CV. Guna Santosa Jaya"/>
    <m/>
    <s v="28 Juni 2021 - 27 Juni 2022"/>
    <s v="Knox Manage 2 Years"/>
    <s v="KLM09-HXATE-7F6EW-1QFTB-UCW4O-PRDR7"/>
    <d v="2021-06-23T00:00:00"/>
    <n v="254545"/>
    <n v="3"/>
    <n v="763635"/>
    <n v="275000"/>
    <n v="825000"/>
  </r>
  <r>
    <n v="165"/>
    <s v="PD-21060070/001"/>
    <s v="PO-02/06-21/XX16"/>
    <x v="4"/>
    <s v="PT. Rasa Prima Selaras"/>
    <m/>
    <s v="28 Juni 2021 - 27 Juni 2022"/>
    <s v="Knox Manage 2 Years"/>
    <s v="KLM09-GUT17-2UDAD-WQQ2L-JUMJ7-YDB59"/>
    <d v="2021-06-23T00:00:00"/>
    <n v="254545"/>
    <n v="1"/>
    <n v="254545"/>
    <n v="275000"/>
    <n v="275000"/>
  </r>
  <r>
    <n v="166"/>
    <s v="PD-21060071/001"/>
    <s v="PO-02/06-21/XX16"/>
    <x v="4"/>
    <s v="CV. Karunia Jaya Sejahtera"/>
    <m/>
    <s v="28 Juni 2021 - 27 Juni 2022"/>
    <s v="Knox Manage 2 Years"/>
    <s v="KLM09-GUT17-2UDAD-WQQ2L-JUMJ7-YDB59"/>
    <d v="2021-06-23T00:00:00"/>
    <n v="254545"/>
    <n v="1"/>
    <n v="254545"/>
    <n v="275000"/>
    <n v="275000"/>
  </r>
  <r>
    <n v="167"/>
    <s v="PD-21060072/001"/>
    <s v="PO-02/06-21/XX16"/>
    <x v="4"/>
    <s v="PT. Padma Tirta Wisesa Jember"/>
    <m/>
    <s v="28 Juni 2021 - 27 Juni 2022"/>
    <s v="Knox Manage 2 Years"/>
    <s v="KLM09-HB0HW-ONJOC-VW0OU-NZSPS-DQJH2"/>
    <d v="2021-06-23T00:00:00"/>
    <n v="254545"/>
    <n v="2"/>
    <n v="509090"/>
    <n v="275000"/>
    <n v="550000"/>
  </r>
  <r>
    <n v="168"/>
    <s v="PD-21060074/001"/>
    <s v="0104/VI/SPK-MU/21"/>
    <x v="13"/>
    <s v="Samsung Elektronik Indonesia"/>
    <m/>
    <s v="16 Aug 2021 - 15 Aug 2022"/>
    <s v="Knox Manage 1 Year"/>
    <s v="KLM09-GFRNA-Q4OA0-U0YZO-A81HC-FSBT4"/>
    <d v="2021-06-30T00:00:00"/>
    <n v="222727"/>
    <n v="96"/>
    <n v="21381792"/>
    <n v="279090.90999999997"/>
    <n v="26792727.359999999"/>
  </r>
  <r>
    <n v="169"/>
    <s v="PD-21060075/001"/>
    <s v="MI-Q-21-05/054"/>
    <x v="7"/>
    <s v="PT. Seribu Satu"/>
    <m/>
    <s v="21 Juli 2021 - 20 Juli 2022"/>
    <s v="Knox Manage 1 Year"/>
    <s v="KLM09-7G1V2-T9KAU-2KTTL-VALZ7-LX93O"/>
    <d v="2021-06-30T00:00:00"/>
    <n v="222727"/>
    <n v="50"/>
    <n v="11136350"/>
    <n v="170000"/>
    <n v="8500000"/>
  </r>
  <r>
    <n v="170"/>
    <s v="PD-21060076/001"/>
    <s v="MI-Q-21-05/054"/>
    <x v="7"/>
    <s v="PT. Seribu Satu"/>
    <m/>
    <s v="21 Juli 2021 - 20 Juli 2022"/>
    <s v="Knox Manage 1 Year"/>
    <s v="KLM09-0B9I1-AR7RK-ZI138-I4VYO-1ZFYK"/>
    <d v="2021-06-30T00:00:00"/>
    <n v="92727"/>
    <n v="200"/>
    <n v="18545400"/>
    <n v="319000"/>
    <n v="63800000"/>
  </r>
  <r>
    <n v="171"/>
    <s v="PD-21060088/001"/>
    <s v="PP21001932"/>
    <x v="7"/>
    <s v="Circleka Indonesia Utama"/>
    <m/>
    <s v="29 Juni 2021 - 28 Juni 2022"/>
    <s v="Knox Manage 1 Year"/>
    <s v="KLM09-0SA0F-G17XE-PI0IU-A6PTM-KHITO"/>
    <d v="2021-06-28T00:00:00"/>
    <n v="222727"/>
    <n v="300"/>
    <n v="66818100"/>
    <n v="324545"/>
    <n v="97363500"/>
  </r>
  <r>
    <n v="172"/>
    <s v="PD-21060098/001"/>
    <s v="PO-02/06-21/XX17"/>
    <x v="4"/>
    <s v="PT. Tiga Jaya Sentosa Cipatujah"/>
    <m/>
    <s v="2 Juli 2021 - 1 Juli 2023"/>
    <s v="Knox Manage 2 Years"/>
    <s v="KLM09-6WWKG-2VYXP-3Z2TP-OE6C7-VI6M5"/>
    <d v="2021-06-29T00:00:00"/>
    <n v="254545"/>
    <n v="2"/>
    <n v="509090"/>
    <n v="275000"/>
    <n v="550000"/>
  </r>
  <r>
    <n v="173"/>
    <s v="PD-21060099/001"/>
    <s v="PO-02/06-21/XX17"/>
    <x v="4"/>
    <s v="CV. Tiga Jaya Sentosa Leles"/>
    <m/>
    <s v="2 Juli 2021 - 1 Juli 2023"/>
    <s v="Knox Manage 2 Years"/>
    <s v="KLM09-2JKW7-ZVVIQ-LAQ3Q-8BMI7-WGH7R"/>
    <d v="2021-06-29T00:00:00"/>
    <n v="254545"/>
    <n v="3"/>
    <n v="763635"/>
    <n v="275000"/>
    <n v="825000"/>
  </r>
  <r>
    <n v="174"/>
    <s v="PD-21060102/001"/>
    <s v="PO-02/06-21/XX18"/>
    <x v="4"/>
    <s v="CV. Inti Teratai Kotamobagu"/>
    <m/>
    <s v="5 Juli 2021 - 4 Juli 2023"/>
    <s v="Knox Manage 2 Years"/>
    <s v="KLM09-IVPAF-FX648-FZJ6C-JJKC7-TO9EX"/>
    <d v="2021-06-30T00:00:00"/>
    <n v="254545"/>
    <n v="1"/>
    <n v="254545"/>
    <n v="275000"/>
    <n v="275000"/>
  </r>
  <r>
    <n v="175"/>
    <s v="PD-21070013/001"/>
    <s v="PO-03/07-21/XX13"/>
    <x v="4"/>
    <s v="CV. Heksa Gemilang"/>
    <m/>
    <s v="18 Sep 2021 - 17 Sep 2023"/>
    <s v="Knox Manage 2 Years"/>
    <s v="KLM09-A9URP-PP0LS-1SK2O-YID14-JBNYG"/>
    <d v="2021-07-30T00:00:00"/>
    <n v="254545"/>
    <n v="1"/>
    <n v="254545"/>
    <n v="275000"/>
    <n v="275000"/>
  </r>
  <r>
    <n v="176"/>
    <s v="PD-21070020/001"/>
    <s v="PO-03/07-21/XX06"/>
    <x v="4"/>
    <s v="PT. Aditama Citra Papua GT"/>
    <m/>
    <s v="14 Juli 2021 – 13 Juli 2023"/>
    <s v="Knox Manage 2 Years"/>
    <s v="KLM09-7BY9S-EWK09-TQF2E-7W823-6VF7S"/>
    <d v="2021-07-08T00:00:00"/>
    <n v="254545"/>
    <n v="3"/>
    <n v="763635"/>
    <n v="275000"/>
    <n v="825000"/>
  </r>
  <r>
    <n v="177"/>
    <s v="PD-21070021/001"/>
    <s v="PO-03/07-21/XX06"/>
    <x v="4"/>
    <s v="PT. Aditama Citra Papua LMT"/>
    <m/>
    <s v="15 Juli 2021 – 13 Juli 2023"/>
    <s v="Knox Manage 2 Years"/>
    <s v="KLM09-84829-6NB42-EZCEV-47HP5-QC11K"/>
    <d v="2021-07-08T00:00:00"/>
    <n v="254545"/>
    <n v="2"/>
    <n v="509090"/>
    <n v="275000"/>
    <n v="550000"/>
  </r>
  <r>
    <n v="178"/>
    <s v="PD-21070022/001"/>
    <s v="PO-03/07-21/XX06"/>
    <x v="4"/>
    <s v="PT. Tunas Subur Way Jepara"/>
    <m/>
    <s v="16 Juli 2021 – 13 Juli 2023"/>
    <s v="Knox Manage 2 Years"/>
    <s v="KLM09-U1GL6-1CT3S-0C9PL-A35X8-4V0BE"/>
    <d v="2021-07-08T00:00:00"/>
    <n v="254545"/>
    <n v="1"/>
    <n v="254545"/>
    <n v="275000"/>
    <n v="275000"/>
  </r>
  <r>
    <n v="179"/>
    <s v="PD-21070034/001"/>
    <s v="-"/>
    <x v="14"/>
    <s v="SMP Puri Artha"/>
    <m/>
    <s v="14 Juli 2021 – 13 Juli 2022"/>
    <s v="Knox Manage 1 Year"/>
    <s v="KLM09-UXJRQ-M83DX-94SQX-8ZCEU-03G70"/>
    <d v="2021-07-13T00:00:00"/>
    <n v="222727"/>
    <n v="21"/>
    <n v="4677267"/>
    <n v="279090.90999999997"/>
    <n v="5860909.1099999994"/>
  </r>
  <r>
    <n v="180"/>
    <s v="PD-21070036/001"/>
    <n v="4800420059"/>
    <x v="15"/>
    <s v="BPD Bali"/>
    <m/>
    <s v="16 Juli 2021 – 15 Juli 2022"/>
    <s v="Knox Manage 1 Year"/>
    <s v="KLM09-CVISD-QVECE-P0G8T-UUVKM-RSETZ"/>
    <d v="2021-07-15T00:00:00"/>
    <n v="222727"/>
    <n v="83"/>
    <n v="18486341"/>
    <n v="265136"/>
    <n v="22006288"/>
  </r>
  <r>
    <n v="181"/>
    <s v="PD-21070037/001"/>
    <s v="PO/BS/0621/086"/>
    <x v="9"/>
    <s v="PT. Wahana Ottomitra Multiartha Tbk"/>
    <m/>
    <s v="21 Juli 2021 - 20 Juli 2023"/>
    <s v="Knox Manage 2 Years"/>
    <s v="KLM09-IMXT1-SR15N-LJJS9-XE9TH-LIBSH"/>
    <d v="2021-07-18T00:00:00"/>
    <n v="345455"/>
    <n v="258"/>
    <n v="89127390"/>
    <n v="388181.82"/>
    <n v="100150909.56"/>
  </r>
  <r>
    <n v="182"/>
    <s v="PD-21070038/001"/>
    <s v="PO/0024/VII/21"/>
    <x v="16"/>
    <s v="BAINTELKAM MABES POLRI"/>
    <m/>
    <s v="19 Juli 2021 - 18 Juli 2022"/>
    <s v="Knox Configure Dynamic 1 Year"/>
    <s v="KLM09-AJARU-U0FPH-1PALI-0BPG2-O5WPT"/>
    <d v="2021-07-15T00:00:00"/>
    <n v="92727"/>
    <n v="150"/>
    <n v="13909050"/>
    <n v="125454.54545454544"/>
    <n v="18818181.818181816"/>
  </r>
  <r>
    <n v="183"/>
    <s v="PD-21070044/001"/>
    <s v="PO-03/07-21/XX10"/>
    <x v="4"/>
    <s v="CV. Lotus Mandiri"/>
    <m/>
    <s v="27 Juli 2021 - 26 Juli 2023"/>
    <s v="Knox Manage 2 Years"/>
    <s v="KLM09-UBINU-0TBLA-ZFH72-TV8BE-0CIK2"/>
    <d v="2021-07-21T00:00:00"/>
    <n v="254545"/>
    <n v="1"/>
    <n v="254545"/>
    <n v="275000"/>
    <n v="275000"/>
  </r>
  <r>
    <n v="184"/>
    <s v="PD-21070045/001"/>
    <s v="PO-03/07-21/XX10"/>
    <x v="4"/>
    <s v="PT. Rukan Mitra Sejati"/>
    <m/>
    <s v="27 Juli 2021 - 26 Juli 2023"/>
    <s v="Knox Manage 2 Years"/>
    <s v="KLM09-6F4Y9-H8LA8-J2EDF-K1GT7-K9C1K"/>
    <d v="2021-07-21T00:00:00"/>
    <n v="254545"/>
    <n v="8"/>
    <n v="2036360"/>
    <n v="275000"/>
    <n v="2200000"/>
  </r>
  <r>
    <n v="185"/>
    <s v="PD-21070060/001"/>
    <s v="PO-03/07-21/XX13"/>
    <x v="4"/>
    <s v="PT. Rasa Prima Selaras Bangka"/>
    <m/>
    <s v="18 Sep 2021 - 17 Sep 2023"/>
    <s v="Knox Manage 2 Years"/>
    <s v="KLM09-GDHWL-FVCO3-E9CBS-D135Y-NSNOD"/>
    <d v="2021-07-30T00:00:00"/>
    <n v="254545"/>
    <n v="1"/>
    <n v="254545"/>
    <n v="275000"/>
    <n v="275000"/>
  </r>
  <r>
    <n v="186"/>
    <s v="PD-21070066/001"/>
    <s v="PO-03/07-21/XX14"/>
    <x v="4"/>
    <s v="PT. Roxy Prameswari"/>
    <m/>
    <s v="30 Juli 2021 - 29 Juli 2023"/>
    <s v="Knox Manage 2 Years"/>
    <s v="KLM09-HKZ45-NI43F-BC2QA-HD5W4-FCG4C"/>
    <d v="2021-07-27T00:00:00"/>
    <n v="254545"/>
    <n v="1"/>
    <n v="254545"/>
    <n v="275000"/>
    <n v="275000"/>
  </r>
  <r>
    <n v="187"/>
    <s v="PD-21070082/001"/>
    <s v="PO-03/07-21/XX13"/>
    <x v="4"/>
    <s v="CV. Heksa Gemilang"/>
    <m/>
    <s v="18 Sep 2021 - 17 Sep 2023"/>
    <s v="Knox Manage 2 Years"/>
    <s v="KLM09-W7CW6-998NR-001Z8-V3BQI-GALGK"/>
    <d v="2021-07-30T00:00:00"/>
    <n v="254545"/>
    <n v="1"/>
    <n v="254545"/>
    <n v="275000"/>
    <n v="275000"/>
  </r>
  <r>
    <n v="188"/>
    <s v="PD-21070083/001"/>
    <s v="PO-03/07-21/XX13"/>
    <x v="4"/>
    <s v="CV. Surya Prima Abadi"/>
    <m/>
    <s v="19 Sep 2021 - 18 Sep 2023"/>
    <s v="Knox Manage 2 Years"/>
    <s v="KLM09-N1P9Q-MVJ4O-L4LU4-G1KN3-UKQB6"/>
    <d v="2021-07-30T00:00:00"/>
    <n v="254545"/>
    <n v="1"/>
    <n v="254545"/>
    <n v="275000"/>
    <n v="275000"/>
  </r>
  <r>
    <n v="189"/>
    <s v="PD-21080011/001"/>
    <s v="PO/GDN2/2108/10001"/>
    <x v="11"/>
    <s v="PT. Kalbe Farma Tbk"/>
    <m/>
    <s v="9 Aug 2021 - 8 Aug 2023"/>
    <s v="Knox Manage 2 Years"/>
    <s v="KLM09-NEZGC-MOVOF-BJS6R-QAC4N-R2NCJ"/>
    <d v="2021-08-02T00:00:00"/>
    <n v="444545"/>
    <n v="19"/>
    <n v="8446355"/>
    <n v="556363.63"/>
    <n v="10570908.970000001"/>
  </r>
  <r>
    <n v="190"/>
    <s v="PD-21080012/001"/>
    <s v="PO-03/08-21/XX01"/>
    <x v="4"/>
    <s v="PT. Rukan Mitra Sejati Turen"/>
    <m/>
    <s v="6 Aug 2021 - 5 Aug 2023"/>
    <s v="Knox Manage 2 Years"/>
    <s v="KLM09-CSW46-B6TKQ-OJE9R-9IJY2-55FM9"/>
    <d v="2021-08-02T00:00:00"/>
    <n v="254545"/>
    <n v="5"/>
    <n v="1272725"/>
    <n v="275000"/>
    <n v="1375000"/>
  </r>
  <r>
    <n v="191"/>
    <s v="PD-21080015/001"/>
    <s v="PO/BS/0721/0162"/>
    <x v="9"/>
    <s v="PT. Nufarm Indonesia"/>
    <m/>
    <s v="16 Oct 2021 - 15 Oct 2023"/>
    <s v="Knox Manage 2 Years"/>
    <s v="KLM09-6917V-XLGJ0-8R68G-3PS6O-AD3LT"/>
    <d v="2021-08-06T00:00:00"/>
    <n v="444545"/>
    <n v="73"/>
    <n v="32451785"/>
    <n v="530000"/>
    <n v="38690000"/>
  </r>
  <r>
    <n v="192"/>
    <s v="PD-21080016/001"/>
    <s v="PO-03/08-21/XX07"/>
    <x v="4"/>
    <s v="PT. Sinarmas Distribusi Nusatara Pulogadung"/>
    <m/>
    <s v="12 Aug 2021 – 11 Aug 2023"/>
    <s v="Knox Manage 2 Years"/>
    <s v="KLM09-FCX7T-6QO6G-UQAO2-S1AJ4-TWLV5"/>
    <d v="2021-08-09T00:00:00"/>
    <n v="254545"/>
    <n v="2"/>
    <n v="509090"/>
    <n v="275000"/>
    <n v="550000"/>
  </r>
  <r>
    <n v="193"/>
    <s v="PD-21080017/001"/>
    <s v="PO-03/08-21/XX07"/>
    <x v="4"/>
    <s v="PT. Plmbo Pratama JS Tegal"/>
    <m/>
    <s v="12 Aug 2021 – 11 Aug 2023"/>
    <s v="Knox Manage 2 Years"/>
    <s v="KLM09-KZ6EE-TAQF8-S932L-E717B-SKHOK"/>
    <d v="2021-08-09T00:00:00"/>
    <n v="254545"/>
    <n v="3"/>
    <n v="763635"/>
    <n v="275000"/>
    <n v="825000"/>
  </r>
  <r>
    <n v="194"/>
    <s v="PD-21080019/001"/>
    <s v="PO-03/08-21/XX08"/>
    <x v="4"/>
    <s v="PT. Gelora Jaya Persada"/>
    <m/>
    <s v="18 Sep 2021 - 17 Sep 2023"/>
    <s v="Knox Manage 2 Years"/>
    <s v="KLM09-J0BR9-9Y12V-NE8YO-GXYNY-OXKP0"/>
    <d v="2021-08-09T00:00:00"/>
    <n v="254545"/>
    <n v="1"/>
    <n v="254545"/>
    <n v="275000"/>
    <n v="275000"/>
  </r>
  <r>
    <n v="195"/>
    <s v="PD-21080021/001"/>
    <s v="PO-03/08-21/XX12"/>
    <x v="4"/>
    <s v="PT. Cahaya Agung Cemerlang"/>
    <m/>
    <s v="21 Oct 2021 - 20 Oct 2023"/>
    <s v="Knox Manage 2 Years"/>
    <s v="KLM09-HFUR3-BI9TP-2ZVES-AJEFU-AX0S4"/>
    <d v="2021-08-10T00:00:00"/>
    <n v="254545"/>
    <n v="5"/>
    <n v="1272725"/>
    <n v="275000"/>
    <n v="1375000"/>
  </r>
  <r>
    <n v="196"/>
    <s v="PD-21080022/001"/>
    <s v="PO-03/08-21/XX12"/>
    <x v="4"/>
    <s v="PT. Cahaya Agung Cemerlang"/>
    <m/>
    <s v="16 Oct 2021 - 15 Oct 2023"/>
    <s v="Knox Manage 2 Years"/>
    <s v="KLM09-CQTND-6DXQ3-DEL3I-LIIDD-L0ENI"/>
    <d v="2021-08-10T00:00:00"/>
    <n v="254545"/>
    <n v="2"/>
    <n v="509090"/>
    <n v="275000"/>
    <n v="550000"/>
  </r>
  <r>
    <n v="197"/>
    <s v="PD-21080055/001"/>
    <s v="7-08-2021-1 "/>
    <x v="14"/>
    <s v="SMP Puri Artha"/>
    <m/>
    <s v="23 Aug 2021 - 22 Aug 2022"/>
    <s v="Knox Manage 1 Years"/>
    <s v="KLM09-JD680-IN1XT-HIBE3-KR9TZ-6QXV4"/>
    <d v="2021-08-23T00:00:00"/>
    <n v="222727"/>
    <n v="69"/>
    <n v="15368163"/>
    <n v="250000"/>
    <n v="17250000"/>
  </r>
  <r>
    <n v="198"/>
    <s v="PD-21080091/001"/>
    <s v="PO-03/08-21/XX24"/>
    <x v="4"/>
    <s v="PT. Sinarmas Distribusi Nusantara"/>
    <m/>
    <s v="4 Oct 2021 - 3 Oct 2023"/>
    <s v="Knox Manage 2 Years"/>
    <s v="KLM09-IQ9G4-X8X48-KUFTT-MSW4B-6ZMFO"/>
    <d v="2021-08-30T00:00:00"/>
    <n v="254545"/>
    <n v="6"/>
    <n v="1527270"/>
    <n v="275000"/>
    <n v="1650000"/>
  </r>
  <r>
    <n v="199"/>
    <s v="PD-21080092/001"/>
    <s v="PO-03/08-21/XX24"/>
    <x v="4"/>
    <s v="PT. Sinarmas Distribusi Nusantara"/>
    <m/>
    <s v="4 Oct 2021 - 3 Oct 2023"/>
    <s v="Knox Manage 2 Years"/>
    <s v="KLM09-HI4Q4-MJ055-MV8LC-YTI9B-JNYER"/>
    <d v="2021-08-30T00:00:00"/>
    <n v="254545"/>
    <n v="4"/>
    <n v="1018180"/>
    <n v="275000"/>
    <n v="1100000"/>
  </r>
  <r>
    <n v="200"/>
    <s v="PD-21090013/001"/>
    <s v="PO-03/09-21/XX26"/>
    <x v="4"/>
    <s v="PT. Wicaksana Overseas International Makassar"/>
    <m/>
    <s v="2 Oct 2021 - 1 Oct 2023"/>
    <s v="Knox Manage 2 Years"/>
    <s v="KLM09-F8ELI-M6N2T-TD0QM-OJJUJ-DQR4Z"/>
    <d v="2021-09-30T00:00:00"/>
    <n v="254545"/>
    <n v="8"/>
    <n v="2036360"/>
    <n v="275000"/>
    <n v="2200000"/>
  </r>
  <r>
    <n v="201"/>
    <s v="PD-21090020/001"/>
    <s v="PO-03/09-21/XX04"/>
    <x v="4"/>
    <s v="CV. Sumber Berkat Abadi"/>
    <m/>
    <s v="13 Sep 2021 - 12 Sep 2023"/>
    <s v="Knox Manage 2 Years"/>
    <s v="KLM09-IOUSD-RKUUQ-EQSHW-0837R-NNVJC"/>
    <d v="2021-09-07T00:00:00"/>
    <n v="254545"/>
    <n v="1"/>
    <n v="254545"/>
    <n v="275000"/>
    <n v="275000"/>
  </r>
  <r>
    <n v="202"/>
    <s v="PD-21090021/001"/>
    <s v="PO-03/09-21/XX04"/>
    <x v="4"/>
    <s v="CV. Heksa Gemilang"/>
    <m/>
    <s v="18 Sep 2021 - 17 Sep 2023"/>
    <s v="Knox Manage 2 Years"/>
    <s v="KLM09-GNXHK-3GX5I-FMSBM-PXKS6-YROKJ"/>
    <d v="2021-09-07T00:00:00"/>
    <n v="254545"/>
    <n v="1"/>
    <n v="254545"/>
    <n v="275000"/>
    <n v="275000"/>
  </r>
  <r>
    <n v="203"/>
    <s v="PD-21090022/001"/>
    <s v="PO202100264"/>
    <x v="17"/>
    <s v="PT. Orico Balimor Finance"/>
    <m/>
    <s v="9 Sep 2021 - 8 Sep 2022"/>
    <s v="Knox Manage 1 Year"/>
    <s v="KLM09-UL6D6-8V2K5-TH7TK-N78UL-60OOT"/>
    <d v="2021-09-08T00:00:00"/>
    <n v="222727"/>
    <n v="350"/>
    <n v="77954450"/>
    <n v="392700"/>
    <n v="137445000"/>
  </r>
  <r>
    <n v="204"/>
    <s v="PD-21090024/001"/>
    <s v="PO-03/09-21/XX06"/>
    <x v="4"/>
    <s v="PT. K33 Distribusi Plered"/>
    <m/>
    <s v="4 Oct 2021 - 3 Oct 2023"/>
    <s v="Knox Manage 2 Years"/>
    <s v="KLM09-7DCNP-LVH3N-FPSAK-XKKTG-ZRBXG"/>
    <d v="2021-09-08T00:00:00"/>
    <n v="254545"/>
    <n v="1"/>
    <n v="254545"/>
    <n v="275000"/>
    <n v="275000"/>
  </r>
  <r>
    <n v="205"/>
    <s v="PD-21090026/001"/>
    <s v="PO-03/09-21/XX08"/>
    <x v="4"/>
    <s v="PT. Sekar Nusa Baruna Bali"/>
    <m/>
    <s v="23 Sep 2021 - 22 Sep 2023"/>
    <s v="Knox Manage 2 Years"/>
    <s v="KLM09-UY51O-5QA73-8EP00-CX4IE-GKHLF"/>
    <d v="2021-09-09T00:00:00"/>
    <n v="254545"/>
    <n v="1"/>
    <n v="254545"/>
    <n v="275000"/>
    <n v="275000"/>
  </r>
  <r>
    <n v="206"/>
    <s v="PD-21090027/001"/>
    <s v="PO-03/09-21/XX09"/>
    <x v="4"/>
    <s v="PT. Sinarmas Distribusi Nusantara Rembang"/>
    <m/>
    <s v="16 Sep 2021 - 15 Sep 2023"/>
    <s v="Knox Manage 2 Years"/>
    <s v="KLM09-MRNAX-B3XJB-ALHTZ-VDT9S-52AUF"/>
    <d v="2021-09-10T00:00:00"/>
    <n v="254545"/>
    <n v="3"/>
    <n v="763635"/>
    <n v="275000"/>
    <n v="825000"/>
  </r>
  <r>
    <n v="207"/>
    <s v="PD-21090029/001"/>
    <s v="999-21-00570"/>
    <x v="8"/>
    <s v="PT. Dipo Star Finance"/>
    <m/>
    <s v="23 Sep 2021 - 22 Sep 2022"/>
    <s v="Knox Manage 1 Year"/>
    <s v="KLM09-DGXJD-GGG8B-TGC8R-UFWZP-Z82RK"/>
    <d v="2021-09-10T00:00:00"/>
    <n v="222727"/>
    <n v="165"/>
    <n v="36749955"/>
    <n v="279090.90999999997"/>
    <n v="46050000.149999999"/>
  </r>
  <r>
    <n v="208"/>
    <s v="PD-21090032/001"/>
    <n v="79921"/>
    <x v="3"/>
    <s v="BCA Insurance"/>
    <m/>
    <s v="8 Oct 2021 - 7 Oct 2022"/>
    <s v="Knox Manage 1 Year"/>
    <s v="KLM09-NNFI6-J4QAG-CONYP-ZOIP5-2REJE"/>
    <d v="2021-09-15T00:00:00"/>
    <n v="222727"/>
    <n v="5"/>
    <n v="1113635"/>
    <n v="279090.90999999997"/>
    <n v="1395454.5499999998"/>
  </r>
  <r>
    <n v="209"/>
    <s v="PD-21090033/001"/>
    <n v="79921"/>
    <x v="3"/>
    <s v="BCA Insurance"/>
    <m/>
    <s v="23 Nov 2021 - 22 Nov 2022"/>
    <s v="Knox Manage 1 Year"/>
    <s v="KLM09-N7M32-S152J-QHR0T-C3GLW-H5OQ9"/>
    <d v="2021-09-15T00:00:00"/>
    <n v="222727"/>
    <n v="24"/>
    <n v="5345448"/>
    <n v="279090.90999999997"/>
    <n v="6698181.8399999999"/>
  </r>
  <r>
    <n v="210"/>
    <s v="PD-21090034/001"/>
    <n v="79921"/>
    <x v="3"/>
    <s v="BCA Insurance"/>
    <m/>
    <s v="8 Oct 2021 - 7 Oct 2022"/>
    <s v="Knox Configure Setup 1 Year"/>
    <s v="KLM09-GZZJZ-7GVCN-ZMAW4-BT95M-W9424"/>
    <d v="2021-09-15T00:00:00"/>
    <n v="46364"/>
    <n v="5"/>
    <n v="231820"/>
    <n v="58181.82"/>
    <n v="290909.09999999998"/>
  </r>
  <r>
    <n v="211"/>
    <s v="PD-21090035/001"/>
    <n v="79921"/>
    <x v="3"/>
    <s v="BCA Insurance"/>
    <m/>
    <s v="23 Nov 2021 - 22 Nov 2022"/>
    <s v="Knox Configure Setup 1 Year"/>
    <s v="KLM09-UPUNP-M7VN3-DIF4U-HHFEM-K5ZYK"/>
    <d v="2021-09-15T00:00:00"/>
    <n v="46364"/>
    <n v="24"/>
    <n v="1112736"/>
    <n v="58181.82"/>
    <n v="1396363.68"/>
  </r>
  <r>
    <n v="212"/>
    <s v="PD-21090038/001"/>
    <n v="4800426981"/>
    <x v="15"/>
    <s v="UNUSA"/>
    <m/>
    <s v="20 Sep 2021 - 19 Sep 2022"/>
    <s v="Knox Configure Setup 1 Year"/>
    <s v="KLM09-GYNUH-ONK5O-MKIUQ-EM8G3-4ZGX8"/>
    <d v="2021-09-16T00:00:00"/>
    <n v="32272.73"/>
    <n v="811"/>
    <n v="26173184.030000001"/>
    <n v="35500"/>
    <n v="28790500"/>
  </r>
  <r>
    <n v="213"/>
    <s v="PD-21090044/001"/>
    <s v="PO-03/09-21/XX18"/>
    <x v="4"/>
    <s v="CV. Heksa Gemilang"/>
    <m/>
    <s v="2 Dec 2021 – 1 Dec 2023"/>
    <s v="Knox Manage 2 Years"/>
    <s v="KLM09-UDD86-IKOP6-4JLNV-OQABX-FKTNR"/>
    <d v="2021-09-20T00:00:00"/>
    <n v="254545"/>
    <n v="1"/>
    <n v="254545"/>
    <n v="275000"/>
    <n v="275000"/>
  </r>
  <r>
    <n v="214"/>
    <s v="PD-21090045/001"/>
    <s v="PO-03/09-21/XX18"/>
    <x v="4"/>
    <s v="PT. Badriani Abadi"/>
    <m/>
    <s v="24 Sep 2021 – 23 Sep 2023"/>
    <s v="Knox Manage 2 Years"/>
    <s v="KLM09-MI5TY-10WRS-ZY3NQ-P7A5M-174M1"/>
    <d v="2021-09-20T00:00:00"/>
    <n v="254545"/>
    <n v="1"/>
    <n v="254545"/>
    <n v="275000"/>
    <n v="275000"/>
  </r>
  <r>
    <n v="215"/>
    <s v="PD-21090046/001"/>
    <s v="PO-03/09-21/XX18"/>
    <x v="4"/>
    <s v="PT. Tompotika Raya Mamuju"/>
    <m/>
    <s v="24 Sep 2021 – 23 Sep 2023"/>
    <s v="Knox Manage 2 Years"/>
    <s v="KLM09-D1DYJ-1X0Y2-XEINE-0ZTU4-HTGT7"/>
    <d v="2021-09-20T00:00:00"/>
    <n v="254545"/>
    <n v="1"/>
    <n v="254545"/>
    <n v="275000"/>
    <n v="275000"/>
  </r>
  <r>
    <n v="216"/>
    <s v="PD-21090062/001"/>
    <s v="PO-03/09-21/XX20"/>
    <x v="4"/>
    <s v="PT. Belian Cahaya Lestari - Sintang"/>
    <m/>
    <s v="4 Nov 2021 – 3 Nov 2023"/>
    <s v="Knox Manage 2 Years"/>
    <s v="KLM09-GEI4X-2JN6L-GY6OG-51910-FKYRY"/>
    <d v="2021-09-22T00:00:00"/>
    <n v="254545"/>
    <n v="6"/>
    <n v="1527270"/>
    <n v="275000"/>
    <n v="1650000"/>
  </r>
  <r>
    <n v="217"/>
    <s v="PD-21090063/001"/>
    <s v="PO-03/09-21/XX20"/>
    <x v="4"/>
    <s v="PT. Belian Cahaya Lestari"/>
    <m/>
    <s v="16 Oct 2021 – 15 Oct 2023"/>
    <s v="Knox Manage 2 Years"/>
    <s v="KLM09-UZT96-2GI56-Q8N36-GG1M0-7SOXC"/>
    <d v="2021-09-22T00:00:00"/>
    <n v="254545"/>
    <n v="2"/>
    <n v="509090"/>
    <n v="275000"/>
    <n v="550000"/>
  </r>
  <r>
    <n v="218"/>
    <s v="PD-21090064/001"/>
    <s v="PO-03/09-21/XX20"/>
    <x v="4"/>
    <s v="CV. Mega Mas Jaya"/>
    <m/>
    <s v="26 Sep 2021 – 25 Sep 2023"/>
    <s v="Knox Manage 2 Years"/>
    <s v="KLM09-GW3QR-C6JLJ-XY5BT-FV3Y2-BTZ1K"/>
    <d v="2021-09-22T00:00:00"/>
    <n v="254545"/>
    <n v="3"/>
    <n v="763635"/>
    <n v="275000"/>
    <n v="825000"/>
  </r>
  <r>
    <n v="219"/>
    <s v="PD-21090065/001"/>
    <s v="PO-03/09-21/XX20"/>
    <x v="4"/>
    <s v="CV. Mekar Jaya Perkasa Weleri"/>
    <m/>
    <s v="27 Sep 2021 – 26 Sep 2023"/>
    <s v="Knox Manage 2 Years"/>
    <s v="KLM09-JCCW0-YLVRG-R85V4-8ZSQK-VQ4T6"/>
    <d v="2021-09-22T00:00:00"/>
    <n v="254545"/>
    <n v="6"/>
    <n v="1527270"/>
    <n v="275000"/>
    <n v="1650000"/>
  </r>
  <r>
    <n v="220"/>
    <s v="PD-21090069/001"/>
    <s v="PO-03/09-21/XX23"/>
    <x v="4"/>
    <s v="PT. Bentoro Adisandi Duri"/>
    <m/>
    <s v="9 Oct 2021 – 8 Oct 2023"/>
    <s v="Knox Manage 2 Years"/>
    <s v="KLM09-FBZ8S-PKM6J-BIFCP-YKEE5-FEE74"/>
    <d v="2021-09-24T00:00:00"/>
    <n v="254545"/>
    <n v="1"/>
    <n v="254545"/>
    <n v="275000"/>
    <n v="275000"/>
  </r>
  <r>
    <n v="221"/>
    <s v="PD-21090070/001"/>
    <s v="PO-03/09-21/XX23"/>
    <x v="4"/>
    <s v="PT. Bintang Suryasindo"/>
    <m/>
    <s v="30 Sep 2021 – 29 Sep 2023"/>
    <s v="Knox Manage 2 Years"/>
    <s v="KLM09-M8Q2B-MW2ME-SR8M8-CPGJ5-1TO10"/>
    <d v="2021-09-24T00:00:00"/>
    <n v="254545"/>
    <n v="1"/>
    <n v="254545"/>
    <n v="275000"/>
    <n v="275000"/>
  </r>
  <r>
    <n v="222"/>
    <s v="PD-21090071/001"/>
    <s v="PO-03/09-21/XX23"/>
    <x v="4"/>
    <s v="PT. Sinergi Pawan Jaya"/>
    <m/>
    <s v="30 Sep 2021 – 29 Sep 2023"/>
    <s v="Knox Manage 2 Years"/>
    <s v="KLM09-OCF23-GWE0S-9OXYE-HRM5A-8J6KK"/>
    <d v="2021-09-24T00:00:00"/>
    <n v="254545"/>
    <n v="5"/>
    <n v="1272725"/>
    <n v="275000"/>
    <n v="1375000"/>
  </r>
  <r>
    <n v="223"/>
    <s v="PD-21090087/001"/>
    <s v="999-21-00599"/>
    <x v="8"/>
    <s v="PT. Indomobil Trada Nasional"/>
    <m/>
    <s v="27 Sep 2021 - 26 Sep 2023"/>
    <s v="Knox Configure Dynamic 2 Years"/>
    <s v="KLM09-7Z3E9-SA3I3-75YXF-FX8UQ-541AG"/>
    <d v="2021-09-24T00:00:00"/>
    <n v="185455"/>
    <n v="2"/>
    <n v="370910"/>
    <n v="231818.81"/>
    <n v="463637.62"/>
  </r>
  <r>
    <n v="224"/>
    <s v="PD-21090088/001"/>
    <s v="999-21-00599"/>
    <x v="8"/>
    <s v="PT. Indomobil Trada Nasional"/>
    <m/>
    <s v="27 Sep 2023 - 26 Sep 2024"/>
    <s v="Knox Configure Dynamic 1 Year"/>
    <s v="KLM09-7Z3E9-SA3I3-75YXF-FX8UQ-541AG"/>
    <d v="2021-09-24T00:00:00"/>
    <n v="92727"/>
    <n v="2"/>
    <n v="185454"/>
    <n v="116363.63"/>
    <n v="232727.26"/>
  </r>
  <r>
    <n v="225"/>
    <s v="PD-2110001/001"/>
    <n v="4800428229"/>
    <x v="15"/>
    <s v="BPD Bali"/>
    <m/>
    <s v="1 Oct 2021 - 30 Sep 2022"/>
    <s v="Knox Manage 1 Year"/>
    <s v="KLM09-D7RR9-OQTWH-4ZFIU-440RI-0CI9C"/>
    <d v="2021-09-30T00:00:00"/>
    <n v="222727"/>
    <n v="8"/>
    <n v="1781816"/>
    <n v="265136"/>
    <n v="2121088"/>
  </r>
  <r>
    <n v="226"/>
    <s v="PD-2110028/001"/>
    <s v="PO-04/10-21/XX03"/>
    <x v="4"/>
    <s v="PT. Tri Samudra Ambon"/>
    <m/>
    <s v="21 Oct 2021 - 20 Oct 2023"/>
    <s v="Knox Manage 2 Years"/>
    <s v="KLM09-MYDK2-NTS42-ZVQKT-OUKQZ-T16AX"/>
    <d v="2021-10-06T00:00:00"/>
    <n v="254545"/>
    <n v="1"/>
    <n v="254545"/>
    <n v="275000"/>
    <n v="275000"/>
  </r>
  <r>
    <n v="227"/>
    <s v="PD-2110032/001"/>
    <s v="PO-04/10-21/XX04"/>
    <x v="4"/>
    <s v="PT. Badriani Abadi"/>
    <m/>
    <s v="13 Oct 2021 - 12 Oct 2023"/>
    <s v="Knox Manage 2 Years"/>
    <s v="KLM09-IA137-LMXZW-ZH36B-J0NEO-PCLKD"/>
    <d v="2021-10-06T00:00:00"/>
    <n v="254545"/>
    <n v="1"/>
    <n v="254545"/>
    <n v="275000"/>
    <n v="275000"/>
  </r>
  <r>
    <n v="228"/>
    <s v="PD-2110033/001"/>
    <s v="PO-04/10-21/XX04"/>
    <x v="4"/>
    <s v="PT. Mungil Sejahtera"/>
    <m/>
    <s v="13 Oct 2021 - 12 Oct 2023"/>
    <s v="Knox Manage 2 Years"/>
    <s v="KLM09-0SGLL-7T8MM-0DPBQ-ZH9PN-J5W5Q"/>
    <d v="2021-10-06T00:00:00"/>
    <n v="254545"/>
    <n v="1"/>
    <n v="254545"/>
    <n v="275000"/>
    <n v="275000"/>
  </r>
  <r>
    <n v="229"/>
    <s v="PD-2110034/001"/>
    <s v="PO-04/10-21/XX04"/>
    <x v="4"/>
    <s v="PT. Pratama Abadi Santoso"/>
    <m/>
    <s v="13 Oct 2021 - 12 Oct 2023"/>
    <s v="Knox Manage 2 Years"/>
    <s v="KLM09-GBXAJ-WKSXW-XKSVW-UBVTO-HM03T"/>
    <d v="2021-10-06T00:00:00"/>
    <n v="254545"/>
    <n v="1"/>
    <n v="254545"/>
    <n v="275000"/>
    <n v="275000"/>
  </r>
  <r>
    <n v="230"/>
    <s v="PD-2110040/001"/>
    <s v="PO-04/10-21/XX05"/>
    <x v="4"/>
    <s v="PT. Kharisma Makmur Abadi Pontianak"/>
    <m/>
    <s v="13 Oct 2021 - 12 Oct 2023"/>
    <s v="Knox Manage 2 Years"/>
    <s v="KLM09-GBHGX-9UJB8-K647Q-7YI3B-SWI1R"/>
    <d v="2021-10-07T00:00:00"/>
    <n v="254545"/>
    <n v="1"/>
    <n v="254545"/>
    <n v="275000"/>
    <n v="275000"/>
  </r>
  <r>
    <n v="231"/>
    <s v="PD-2110041/001"/>
    <s v="PO-04/10-21/XX07"/>
    <x v="4"/>
    <s v="PT. Badriani Abadi"/>
    <m/>
    <s v="15 Oct 2021 - 14 Oct 2023"/>
    <s v="Knox Manage 2 Years"/>
    <s v="KLM09-FURB7-UF75M-A8F7A-PDVOH-6BIPX"/>
    <d v="2021-10-11T00:00:00"/>
    <n v="254545"/>
    <n v="1"/>
    <n v="254545"/>
    <n v="275000"/>
    <n v="275000"/>
  </r>
  <r>
    <n v="232"/>
    <s v="PD-2110044/001"/>
    <s v="PO-04/10-21/XX08"/>
    <x v="4"/>
    <s v="CV. Aneka Pangan Mitra Nusantara"/>
    <m/>
    <s v="18 Oct 2021 - 17 Oct 2023"/>
    <s v="Knox Manage 2 Years"/>
    <s v="KLM09-0JXF7-CPX3V-RET20-UEATD-EXPL0"/>
    <d v="2021-10-12T00:00:00"/>
    <n v="254545"/>
    <n v="1"/>
    <n v="254545"/>
    <n v="275000"/>
    <n v="275000"/>
  </r>
  <r>
    <n v="233"/>
    <s v="PD-2110067/001"/>
    <s v="PO-04/10-21/XX09"/>
    <x v="4"/>
    <s v="PT. Tompotika Raya Wonomulyo"/>
    <m/>
    <s v="25 Oct 2021 - 24 Oct 2023"/>
    <s v="Knox Manage 2 Years"/>
    <s v="KLM09-H3FZF-H45TD-1X0U7-ZF627-932TP"/>
    <d v="2021-10-19T00:00:00"/>
    <n v="254545"/>
    <n v="1"/>
    <n v="254545"/>
    <n v="275000"/>
    <n v="275000"/>
  </r>
  <r>
    <n v="234"/>
    <s v="PD-2110068/001"/>
    <s v="PO-04/10-21/XX09"/>
    <x v="4"/>
    <s v="PT. Gracia Utamajaya"/>
    <m/>
    <s v="25 Oct 2021 - 24 Oct 2023"/>
    <s v="Knox Manage 2 Years"/>
    <s v="KLM09-CUIE4-F1P5O-CSCNT-DN6XH-SHR1Y"/>
    <d v="2021-10-19T00:00:00"/>
    <n v="254545"/>
    <n v="1"/>
    <n v="254545"/>
    <n v="275000"/>
    <n v="275000"/>
  </r>
  <r>
    <n v="235"/>
    <s v="PD-2110070/001"/>
    <s v="PO-04/10-21/XX13"/>
    <x v="4"/>
    <s v="PT. Lukindari Permata"/>
    <m/>
    <s v="27 Oct 2021 - 26 Oct 2023"/>
    <s v="Knox Manage 2 Years"/>
    <s v="KLM09-FSOV0-TJ4Y4-CMKM7-XK6JF-AD3T8"/>
    <d v="2021-10-21T00:00:00"/>
    <n v="254545"/>
    <n v="1"/>
    <n v="254545"/>
    <n v="275000"/>
    <n v="275000"/>
  </r>
  <r>
    <n v="236"/>
    <s v="PD-2110071/001"/>
    <s v="PO-04/10-21/XX13"/>
    <x v="4"/>
    <s v="PT. Badriani Abadi"/>
    <m/>
    <s v="27 Oct 2021 - 26 Oct 2023"/>
    <s v="Knox Manage 2 Years"/>
    <s v="KLM09-DQITF-UGVQN-NM0HZ-LEVIZ-84X2P"/>
    <d v="2021-10-21T00:00:00"/>
    <n v="254545"/>
    <n v="2"/>
    <n v="509090"/>
    <n v="275000"/>
    <n v="550000"/>
  </r>
  <r>
    <n v="237"/>
    <s v="PD-2110072/001"/>
    <s v="PO-04/10-21/XX13"/>
    <x v="4"/>
    <s v="CV. Bintang Pratama"/>
    <m/>
    <s v="2 Dec 2021 - 1 Dec 2023"/>
    <s v="Knox Manage 2 Years"/>
    <s v="KLM09-ISX65-HHS0D-4QILP-CIG0L-M2DJP"/>
    <d v="2021-10-21T00:00:00"/>
    <n v="254545"/>
    <n v="1"/>
    <n v="254545"/>
    <n v="275000"/>
    <n v="275000"/>
  </r>
  <r>
    <n v="238"/>
    <s v="PD-2110108/001"/>
    <s v="PO-04/10-21/XX18"/>
    <x v="4"/>
    <s v="PT. Cahaya Agung Cemerlang Godong"/>
    <m/>
    <s v="11 Nov 2021 - 10 Nov 2023"/>
    <s v="Knox Manage 2 Years"/>
    <s v="KLM09-ULI0E-1UT22-Q9VZL-9PD6E-5OQOA"/>
    <d v="2021-10-28T00:00:00"/>
    <n v="254545"/>
    <n v="1"/>
    <n v="254545"/>
    <n v="275000"/>
    <n v="275000"/>
  </r>
  <r>
    <n v="239"/>
    <s v="PD-2110109/001"/>
    <s v="PO-04/10-21/XX18"/>
    <x v="4"/>
    <s v="CV. Bumi Arta Ngantru"/>
    <m/>
    <s v="27 Nov 2021 - 26 Nov 2023"/>
    <s v="Knox Manage 2 Years"/>
    <s v="KLM09-NWC66-T11B4-LPCNX-X2KN4-9O55C"/>
    <d v="2021-10-28T00:00:00"/>
    <n v="254545"/>
    <n v="1"/>
    <n v="254545"/>
    <n v="275000"/>
    <n v="275000"/>
  </r>
  <r>
    <n v="240"/>
    <s v="PD-21110043/001"/>
    <s v="PO-04/11-21/XX03"/>
    <x v="4"/>
    <s v="PT. Cahaya Agung Cemerlang Salatiga"/>
    <m/>
    <s v="12 Nov 2021 - 11 Nov 2023"/>
    <s v="Knox Manage 2 Years"/>
    <s v="KLM09-HEQJM-YO79X-DT7DD-E7JP8-BBM7U"/>
    <d v="2021-11-08T00:00:00"/>
    <n v="254545"/>
    <n v="3"/>
    <n v="763635"/>
    <n v="275000"/>
    <n v="825000"/>
  </r>
  <r>
    <n v="241"/>
    <s v="PD-21110044/001"/>
    <s v="PO-04/11-21/XX04"/>
    <x v="4"/>
    <s v="PT. Cahaya Agung Cemerlang Semarang"/>
    <m/>
    <s v="12 Nov 2021 - 11 Nov 2023"/>
    <s v="Knox Manage 2 Years"/>
    <s v="KLM09-J509W-U72C2-EVPUU-YBHCB-DQANK"/>
    <d v="2021-11-08T00:00:00"/>
    <n v="254545"/>
    <n v="2"/>
    <n v="509090"/>
    <n v="275000"/>
    <n v="550000"/>
  </r>
  <r>
    <n v="242"/>
    <s v="PD-21110049/001"/>
    <s v="PO-04/11-21/XX07"/>
    <x v="4"/>
    <s v="CV. Makmur Jaya Abadi Bima"/>
    <m/>
    <s v="27 Nov 2021 - 26 Nov 2023"/>
    <s v="Knox Manage 2 Years"/>
    <s v="KLM09-D35KK-P4GFA-BDRSI-52686-S0PHG"/>
    <d v="2021-11-09T00:00:00"/>
    <n v="254545"/>
    <n v="1"/>
    <n v="254545"/>
    <n v="275000"/>
    <n v="275000"/>
  </r>
  <r>
    <n v="243"/>
    <s v="PD-21110052/001"/>
    <s v="PO-04/11-21/XX08"/>
    <x v="4"/>
    <s v="PT. Agri Bintang Multi Niaga"/>
    <m/>
    <s v="18 Nov 2021 - 17 Nov 2023"/>
    <s v="Knox Manage 2 Years"/>
    <s v="KLM09-F34O3-QW8ZT-UHH7W-2H0H4-1V8GF"/>
    <d v="2021-11-10T00:00:00"/>
    <n v="254545"/>
    <n v="3"/>
    <n v="763635"/>
    <n v="275000"/>
    <n v="825000"/>
  </r>
  <r>
    <n v="244"/>
    <s v="PD-21110063/001"/>
    <s v="PO-04/11-21/XX11"/>
    <x v="4"/>
    <s v="CV. Sinar Anugrah"/>
    <m/>
    <s v="19 Nov 2021 - 18 Nov 2023"/>
    <s v="Knox Manage 2 Years"/>
    <s v="KLM09-74LX3-E8B7P-ICIP5-3ELBP-I3HCJ"/>
    <d v="2021-11-15T00:00:00"/>
    <n v="254545"/>
    <n v="1"/>
    <n v="254545"/>
    <n v="275000"/>
    <n v="275000"/>
  </r>
  <r>
    <n v="245"/>
    <s v="PD-21110079/001"/>
    <s v="999-21-00795"/>
    <x v="8"/>
    <s v="PT. Dipo Star Finance"/>
    <m/>
    <s v="18 Nov 2021 - 17 Nov 2022"/>
    <s v="Knox Manage 1 Year"/>
    <s v="KLM09-2M1OB-OL4FM-Z4M43-6A52F-9M6NG"/>
    <d v="2021-11-16T00:00:00"/>
    <n v="222727"/>
    <n v="154"/>
    <n v="34299958"/>
    <n v="279090.90999999997"/>
    <n v="42980000.139999993"/>
  </r>
  <r>
    <n v="246"/>
    <s v="PD-21110086/001"/>
    <s v="PO-04/11-21/XX14"/>
    <x v="4"/>
    <s v="PT. Rukun Mitra Sejati"/>
    <m/>
    <s v="23 Nov 2021 - 22 Nov 2023"/>
    <s v="Knox Manage 2 Years"/>
    <s v="KLM09-NVD0T-CJQ13-CR0DM-AQ86T-IQGX0"/>
    <d v="2021-11-15T00:00:00"/>
    <n v="254545"/>
    <n v="7"/>
    <n v="1781815"/>
    <n v="275000"/>
    <n v="1925000"/>
  </r>
  <r>
    <n v="247"/>
    <s v="PD-21110088/001"/>
    <s v="PO-04/11-21/XX16"/>
    <x v="4"/>
    <s v="PT. Paris Jaya Mandiri"/>
    <m/>
    <s v="20 Nov 2021 - 19 Nov 2023"/>
    <s v="Knox Manage 2 Years"/>
    <s v="KLM09-GIJO8-RXU2N-B7325-U0V5G-PL8W8"/>
    <d v="2021-11-17T00:00:00"/>
    <n v="254545"/>
    <n v="1"/>
    <n v="254545"/>
    <n v="275000"/>
    <n v="275000"/>
  </r>
  <r>
    <n v="248"/>
    <s v="PD-21110092/001"/>
    <s v="PO-04/11-21/XX18"/>
    <x v="4"/>
    <s v="CV. Lima Satu Abadi"/>
    <m/>
    <s v="25 Nov 2021 - 24 Nov 2023"/>
    <s v="Knox Manage 2 Years"/>
    <s v="KLM09-24HYX-Z81JI-JCTRQ-EXL7K-EY8NJ"/>
    <d v="2021-11-22T00:00:00"/>
    <n v="254545"/>
    <n v="1"/>
    <n v="254545"/>
    <n v="275000"/>
    <n v="275000"/>
  </r>
  <r>
    <n v="249"/>
    <s v="PD-21110093/001"/>
    <s v="PO/GDN2/2111/10028"/>
    <x v="18"/>
    <s v="PT. Passion Abadi Korpora"/>
    <m/>
    <s v="1 Dec 2021 - 30 Nov 2022"/>
    <s v="Knox Manage 1 Year"/>
    <s v="KLM09-FF6PP-55J35-PKWNC-OGOAH-6O5FK"/>
    <d v="2021-11-22T00:00:00"/>
    <n v="254545"/>
    <n v="1"/>
    <n v="254545"/>
    <n v="275000"/>
    <n v="275000"/>
  </r>
  <r>
    <n v="250"/>
    <s v="PD-21120072/001"/>
    <s v="PO-04/12-21/XX09"/>
    <x v="4"/>
    <s v="PT. Andi Nurhadi Nusantara"/>
    <m/>
    <s v="20 Dec 2021 - 19 Dec 2023"/>
    <s v="Knox Manage 2 Years"/>
    <s v="KLM09-UI88R-Z2UKP-SAQHS-C60CS-BQLIQ"/>
    <d v="2021-12-13T00:00:00"/>
    <n v="254545"/>
    <n v="1"/>
    <n v="254545"/>
    <n v="275000"/>
    <n v="275000"/>
  </r>
  <r>
    <n v="251"/>
    <s v="PD-21120074/001"/>
    <n v="4800437545"/>
    <x v="15"/>
    <s v="Universitas Nahdlatul Ulama Surabaya"/>
    <m/>
    <s v="23 Dec 2021 - 22 Dec 2023"/>
    <s v="Knox Configure Setup 1 Year"/>
    <s v="KLM09-MDPJI-TUOW1-EBPO9-SDOW2-G6WRD"/>
    <d v="2021-12-15T00:00:00"/>
    <n v="32272.73"/>
    <n v="292"/>
    <n v="9423637.1600000001"/>
    <n v="35500"/>
    <n v="10366000"/>
  </r>
  <r>
    <n v="252"/>
    <s v="PD-21120087/001"/>
    <s v="PO-04/12-21/XX14"/>
    <x v="4"/>
    <s v="CV. Indah Baru Purwoharjo"/>
    <m/>
    <s v="6 Feb 2022 – 5 Feb 2024"/>
    <s v="Knox Manage 2 Years"/>
    <s v="KLM09-UKQ12-X4PQ2-D0N14-2JLUY-10OTK"/>
    <d v="2021-12-21T00:00:00"/>
    <n v="254545"/>
    <n v="1"/>
    <n v="254545"/>
    <n v="275000"/>
    <n v="275000"/>
  </r>
  <r>
    <n v="253"/>
    <s v="PD-21120088/001"/>
    <s v="PO-04/12-21/XX14"/>
    <x v="4"/>
    <s v="CV. Sinar Anugerah Semarang"/>
    <m/>
    <s v="15 Jan 2022 – 14 Jan 2024"/>
    <s v="Knox Manage 2 Years"/>
    <s v="KLM09-2JLEB-QS6KD-LVVLZ-KPK11-PVU6L"/>
    <d v="2021-12-21T00:00:00"/>
    <n v="254545"/>
    <n v="1"/>
    <n v="254545"/>
    <n v="275000"/>
    <n v="275000"/>
  </r>
  <r>
    <n v="254"/>
    <s v="PD-21120089/001"/>
    <s v="PO-04/12-21/XX14"/>
    <x v="4"/>
    <s v="CV. Bintang Pratama"/>
    <m/>
    <s v="27 Dec 2021 – 26 Dec 2023"/>
    <s v="Knox Manage 2 Years"/>
    <s v="KLM09-68CMB-R5XZ5-MFNJI-GIQC6-1JI31 "/>
    <d v="2021-12-21T00:00:00"/>
    <n v="254545"/>
    <n v="1"/>
    <n v="254545"/>
    <n v="275000"/>
    <n v="275000"/>
  </r>
  <r>
    <n v="255"/>
    <s v="PD-21120090/001"/>
    <s v="PO-04/12-21/XX14"/>
    <x v="4"/>
    <s v="PT. Sinar Alima Tembhilahan"/>
    <m/>
    <s v="27 Dec 2021 – 26 Dec 2023"/>
    <s v="Knox Manage 2 Years"/>
    <s v="KLM09-H717C-HCLKG-3J8VJ-A2V3L-E0ZMW"/>
    <d v="2021-12-21T00:00:00"/>
    <n v="254545"/>
    <n v="1"/>
    <n v="254545"/>
    <n v="275000"/>
    <n v="275000"/>
  </r>
  <r>
    <n v="256"/>
    <s v="PD-21120091/001"/>
    <s v="PO-04/12-21/XX14"/>
    <x v="4"/>
    <s v="CV. Sumber Berkat Abadi Kolaka"/>
    <m/>
    <s v="27 Dec 2021 – 26 Dec 2023"/>
    <s v="Knox Manage 2 Years"/>
    <s v="KLM09-0J2O5-Q3805-6WUY0-C14HB-M9GBH"/>
    <d v="2021-12-21T00:00:00"/>
    <n v="254545"/>
    <n v="6"/>
    <n v="1527270"/>
    <n v="275000"/>
    <n v="1650000"/>
  </r>
  <r>
    <n v="257"/>
    <s v="PD-21120097/001"/>
    <s v="PO-04/12-21/XX16"/>
    <x v="4"/>
    <s v="CV. Lancar Jaya Prima Taliwang"/>
    <m/>
    <s v="24 Jan 2021 - 23 Jan 2024"/>
    <s v="Knox Manage 2 Years"/>
    <s v="KLM09-H35BV-VLH5S-62H4V-PCVAQ-BX3O2"/>
    <d v="2021-12-23T00:00:00"/>
    <n v="254545"/>
    <n v="1"/>
    <n v="254545"/>
    <n v="275000"/>
    <n v="275000"/>
  </r>
  <r>
    <n v="258"/>
    <s v="PD-21120115/001"/>
    <s v="PO-04/12-21/XX26"/>
    <x v="4"/>
    <s v="CV. Rukun Mitra Sejati Leuwiliang"/>
    <m/>
    <s v="5 Jan 2021 - 4 Jan 2024"/>
    <s v="Knox Manage 2 Years"/>
    <s v="KLM09-L1GQ7-8LQ9S-OVMQL-0J1Z3-ZEFUK"/>
    <d v="2021-12-29T00:00:00"/>
    <n v="254545"/>
    <n v="5"/>
    <n v="1272725"/>
    <n v="275000"/>
    <n v="1375000"/>
  </r>
  <r>
    <n v="259"/>
    <s v="PD-21120124/001"/>
    <s v="PO-04/12-21/XX20"/>
    <x v="4"/>
    <s v="PT. Anugrah Berkat Anda Rantau Prapat"/>
    <m/>
    <s v="31 Dec 2021 – 30 Dec 2023"/>
    <s v="Knox Manage 2 Years"/>
    <s v="KLM09-MISDF-SGNSQ-LZ6EX-2MY7O-JV9SM"/>
    <d v="2021-12-31T00:00:00"/>
    <n v="254545"/>
    <n v="1"/>
    <n v="254545"/>
    <n v="275000"/>
    <n v="275000"/>
  </r>
  <r>
    <n v="260"/>
    <s v="PD-21120125/001"/>
    <s v="PO-04/12-21/XX23"/>
    <x v="4"/>
    <s v="PT. Wicaksana Overseas Internasional Denpasar"/>
    <m/>
    <s v="31 Dec 2021 – 30 Dec 2023"/>
    <s v="Knox Manage 2 Years"/>
    <s v="KLM09-AUAXG-XRK7Q-BLBCC-OKRX5-GURSD"/>
    <d v="2021-12-24T00:00:00"/>
    <n v="254545"/>
    <n v="5"/>
    <n v="1272725"/>
    <n v="275000"/>
    <n v="1375000"/>
  </r>
  <r>
    <n v="261"/>
    <s v="PD-21120126/001"/>
    <s v="PO-04/12-21/XX23"/>
    <x v="4"/>
    <s v="CV. Berkah Niaga"/>
    <m/>
    <s v="17 Mar 2022 - 16 Mar 2024"/>
    <s v="Knox Manage 2 Years"/>
    <s v="KLM09-NXW65-1162P-SJ264-BTOXZ-S856B"/>
    <d v="2021-12-24T00:00:00"/>
    <n v="254545"/>
    <n v="3"/>
    <n v="763635"/>
    <n v="275000"/>
    <n v="825000"/>
  </r>
  <r>
    <n v="262"/>
    <s v="PD-21120127/001"/>
    <s v="PO-04/12-21/XX23"/>
    <x v="4"/>
    <s v="PT. Mandala Dharma Krida"/>
    <m/>
    <s v="31 Dec 2021 – 30 Dec 2023"/>
    <s v="Knox Manage 2 Years"/>
    <s v="KLM09-2UCNW-SZL0F-FJ1JA-GNILH-TCX2H"/>
    <d v="2021-12-24T00:00:00"/>
    <n v="254545"/>
    <n v="8"/>
    <n v="2036360"/>
    <n v="275000"/>
    <n v="2200000"/>
  </r>
  <r>
    <n v="263"/>
    <s v="PD-21120128/001"/>
    <n v="80942"/>
    <x v="3"/>
    <s v="PT. BCA Insurance"/>
    <m/>
    <s v="29 Jan 2022 - 28 Jan 2023"/>
    <s v="Knox Manage 1 Year"/>
    <s v="KLM09-HCEYT-9LA15-KJMTA-6RACE-6PGJ6"/>
    <d v="2021-12-27T00:00:00"/>
    <n v="222727"/>
    <n v="49"/>
    <n v="10913623"/>
    <n v="279090.90999999997"/>
    <n v="13675454.589999998"/>
  </r>
  <r>
    <n v="264"/>
    <s v="PD-21120129/001"/>
    <n v="80942"/>
    <x v="3"/>
    <s v="PT. BCA Insurance"/>
    <m/>
    <s v="29 Jan 2022 - 28 Jan 2023"/>
    <s v="Knox Configure Setup 1 Year"/>
    <s v="KLM09-IIDAT-Y2X30-72QQ9-F2AX7-BAS1C"/>
    <d v="2021-12-27T00:00:00"/>
    <n v="46364"/>
    <n v="49"/>
    <n v="2271836"/>
    <n v="58181.82"/>
    <n v="2850909.18"/>
  </r>
  <r>
    <n v="265"/>
    <s v="PD-21120132/001"/>
    <n v="4800439628"/>
    <x v="15"/>
    <s v="BPD Bali"/>
    <m/>
    <s v="29 Dec 2021 – 28 Dec 2022"/>
    <s v="Knox Manage 1 Year"/>
    <s v="KLM09-UN2PA-N39EM-UW607-4ZVDQ-ZY947"/>
    <d v="2021-12-29T00:00:00"/>
    <n v="222727"/>
    <n v="50"/>
    <n v="11136350"/>
    <n v="265136"/>
    <n v="13256800"/>
  </r>
  <r>
    <n v="266"/>
    <s v="PD-21120136/001"/>
    <s v="PO-04/12-21/XX28"/>
    <x v="4"/>
    <s v="PT. Agung Maluku Tobelo"/>
    <m/>
    <s v="5 Jan 2022 – 4 Jan 2024"/>
    <s v="Knox Manage 2 Years"/>
    <s v="KLM09-HEX7R-YHLD8-YWM1F-NF82J-8N0ZY"/>
    <d v="2021-12-31T00:00:00"/>
    <n v="254545"/>
    <n v="1"/>
    <n v="254545"/>
    <n v="275000"/>
    <n v="275000"/>
  </r>
  <r>
    <n v="267"/>
    <s v="PD-21120137/001"/>
    <s v="PO-04/12-21/XX28"/>
    <x v="4"/>
    <s v="PT. Panamas Dwitama Probolinggo"/>
    <m/>
    <s v="13 Apr 2022 – 12 Apr 2024"/>
    <s v="Knox Manage 2 Years"/>
    <s v="KLM09-MJ97E-R6LVP-YM753-G3TPE-SBWQ7"/>
    <d v="2021-12-31T00:00:00"/>
    <n v="254545"/>
    <n v="1"/>
    <n v="254545"/>
    <n v="275000"/>
    <n v="275000"/>
  </r>
  <r>
    <n v="268"/>
    <s v="PD-22010001/001"/>
    <s v="PO-01/01-22/XX02"/>
    <x v="4"/>
    <s v="PT. Sinarmas Distribusi Nusantara Depok"/>
    <m/>
    <s v="11 Feb 2022 – 10 Feb 2024"/>
    <s v="Knox Manage 2 Years"/>
    <s v="KLM09-MDDN1-CSSNI-W0FKW-VIMY4-DYXZE"/>
    <d v="2022-01-03T00:00:00"/>
    <n v="254545"/>
    <n v="2"/>
    <n v="509090"/>
    <n v="275000"/>
    <n v="550000"/>
  </r>
  <r>
    <n v="269"/>
    <s v="PD-22010002/001"/>
    <s v="PO-01/01-22/XX02"/>
    <x v="4"/>
    <s v="PT. Sinarmas Distribusi Nusantara Cianjur"/>
    <m/>
    <s v="7 Jan 2022 – 6 Jan 2024"/>
    <s v="Knox Manage 2 Years"/>
    <s v="KLM09-6HKQX-E7O1P-NS33B-ZT25K-H0XI4"/>
    <d v="2022-01-03T00:00:00"/>
    <n v="254545"/>
    <n v="3"/>
    <n v="763635"/>
    <n v="275001"/>
    <n v="825003"/>
  </r>
  <r>
    <n v="270"/>
    <s v="PD-22010033/001"/>
    <s v="B2B/PO2/2201/10008"/>
    <x v="18"/>
    <s v="PT. Hartono Istana Teknologi"/>
    <s v="6 Jan 2022 - 6 Feb 2022"/>
    <s v="-"/>
    <s v="Knox Manage Monthly"/>
    <s v="KLM09-AO50T-GKCJ4-066QY-ZOSXE-67A85"/>
    <d v="2022-01-07T00:00:00"/>
    <n v="22727"/>
    <n v="150"/>
    <n v="3409050"/>
    <n v="29090.91"/>
    <n v="4363636.5"/>
  </r>
  <r>
    <n v="271"/>
    <s v="PD-22010034/001"/>
    <s v="PO-01/01-22/XX09"/>
    <x v="4"/>
    <s v="PT. Wicaksana Overseas International Toraja"/>
    <m/>
    <s v="14 Jan 2022 - 13 Jan 2024"/>
    <s v="Knox Manage 2 Years"/>
    <s v="KLM09-CZ1QA-91CZH-01DN9-I2ED2-6GX2K"/>
    <d v="2022-01-06T00:00:00"/>
    <n v="254545"/>
    <n v="7"/>
    <n v="1781815"/>
    <n v="275000"/>
    <n v="1925000"/>
  </r>
  <r>
    <n v="272"/>
    <s v="PD-22010035/001"/>
    <s v="PO-01/01-22/XX08"/>
    <x v="4"/>
    <s v="CV. Jaya Subang"/>
    <m/>
    <s v="12 Jan 2022 – 11 Jan 2024"/>
    <s v="Knox Manage 2 Years"/>
    <s v="KLM09-NTPP6-J990I-9LV7N-IINZE-ZIYYK"/>
    <d v="2022-01-07T00:00:00"/>
    <n v="254545"/>
    <n v="3"/>
    <n v="763635"/>
    <n v="275000"/>
    <n v="825000"/>
  </r>
  <r>
    <n v="273"/>
    <s v="PD-22010036/001"/>
    <s v="PO-01/01-22/XX08"/>
    <x v="4"/>
    <s v="CV. Jaya Pirwakarta"/>
    <m/>
    <s v="12 Jan 2022 – 11 Jan 2024"/>
    <s v="Knox Manage 2 Years"/>
    <s v="KLM09-24SMJ-ZIE2U-J1LAO-UVCNX-L6P2H"/>
    <d v="2022-01-07T00:00:00"/>
    <n v="254545"/>
    <n v="3"/>
    <n v="763635"/>
    <n v="275000"/>
    <n v="825000"/>
  </r>
  <r>
    <n v="274"/>
    <s v="PD-22010037/001"/>
    <s v="PO-01/01-22/XX08"/>
    <x v="4"/>
    <s v="PT. Rukun Mitra Sejati Gorontalo"/>
    <m/>
    <s v="12 Jan 2022 – 11 Jan 2024"/>
    <s v="Knox Manage 2 Years"/>
    <s v="KLM09-NA4SF-O5S9S-EZUTU-1YIO8-6XOTD"/>
    <d v="2022-01-07T00:00:00"/>
    <n v="254545"/>
    <n v="5"/>
    <n v="1272725"/>
    <n v="275000"/>
    <n v="1375000"/>
  </r>
  <r>
    <n v="275"/>
    <s v="PD-22010040/001"/>
    <s v="PO-01/01-22/XX12"/>
    <x v="4"/>
    <s v="CV. Hana Prima Lestari"/>
    <m/>
    <s v="21 Jan 2022 – 20 Jan 2024"/>
    <s v="Knox Manage 2 Years"/>
    <s v="KLM09-7HX8J-JAWFR-6P0KM-1JJCQ-9IZ0F"/>
    <d v="2022-01-11T00:00:00"/>
    <n v="254545"/>
    <n v="2"/>
    <n v="509090"/>
    <n v="275000"/>
    <n v="550000"/>
  </r>
  <r>
    <n v="276"/>
    <s v="PD-22010041/001"/>
    <s v="PO-01/01-22/XX12"/>
    <x v="4"/>
    <s v="PT. Midisindo Citra Sari"/>
    <m/>
    <s v="21 Jan 2022 – 20 Jan 2024"/>
    <s v="Knox Manage 2 Years"/>
    <s v="KLM09-A17NH-Q5F3W-PWIXK-ZU86M-E41RQ"/>
    <d v="2022-01-11T00:00:00"/>
    <n v="254545"/>
    <n v="1"/>
    <n v="254545"/>
    <n v="275000"/>
    <n v="275000"/>
  </r>
  <r>
    <n v="277"/>
    <s v="PD-22010042/001"/>
    <s v="PO-01/01-22/XX12"/>
    <x v="4"/>
    <s v="CV. Sikembar p Sidimpuan"/>
    <m/>
    <s v="21 Jan 2022 – 20 Jan 2024"/>
    <s v="Knox Manage 2 Years"/>
    <s v="KLM09-2PP3B-OHEXJ-XMUIL-KEQ2G-7W0TR"/>
    <d v="2022-01-11T00:00:00"/>
    <n v="254545"/>
    <n v="1"/>
    <n v="254545"/>
    <n v="275000"/>
    <n v="275000"/>
  </r>
  <r>
    <n v="278"/>
    <s v="PD-22010043/001"/>
    <s v="PO-01/01-22/XX12"/>
    <x v="4"/>
    <s v="PT. Agung Maluku Ternate"/>
    <m/>
    <s v="23 Mar 2022 – 22 Mar 2024"/>
    <s v="Knox Manage 2 Years"/>
    <s v="KLM09-FP50M-8GH8E-AMKTJ-BCN2I-SMYAS"/>
    <d v="2022-01-11T00:00:00"/>
    <n v="254545"/>
    <n v="2"/>
    <n v="509090"/>
    <n v="275000"/>
    <n v="550000"/>
  </r>
  <r>
    <n v="279"/>
    <s v="PD-22010044/001"/>
    <s v="PO-01/01-22/XX12"/>
    <x v="4"/>
    <s v="CV. Sumber Berkat Abadi"/>
    <m/>
    <s v="21 Jan 2022 – 20 Jan 2024"/>
    <s v="Knox Manage 2 Years"/>
    <s v="KLM09-HYHJE-N2LPG-62MBV-5WS2S-0YNUP"/>
    <d v="2022-01-11T00:00:00"/>
    <n v="254545"/>
    <n v="1"/>
    <n v="254545"/>
    <n v="275000"/>
    <n v="275000"/>
  </r>
  <r>
    <n v="280"/>
    <s v="PD-22010045/001"/>
    <s v="PO-01/01-22/XX12"/>
    <x v="4"/>
    <s v="PT. Paris Jaya Mandiri Ambon"/>
    <m/>
    <s v="21 Jan 2022 – 20 Jan 2024"/>
    <s v="Knox Manage 2 Years"/>
    <s v="KLM09-RUYZ3-7E5LW-3ME06-VX2ZY-0LPCK"/>
    <d v="2022-01-11T00:00:00"/>
    <n v="254545"/>
    <n v="1"/>
    <n v="254545"/>
    <n v="275000"/>
    <n v="275000"/>
  </r>
  <r>
    <n v="281"/>
    <s v="PD-22010049/001"/>
    <n v="4800440725"/>
    <x v="15"/>
    <s v="BPD Bali"/>
    <m/>
    <s v="14 Jan 2022 – 13 Jan 2023"/>
    <s v="Knox Manage 1 Year"/>
    <s v="KLM09-HN14U-E7E1M-6FTLV-A393V-1VL3M"/>
    <d v="2022-01-13T00:00:00"/>
    <n v="222727"/>
    <n v="60"/>
    <n v="13363620"/>
    <n v="265136"/>
    <n v="15908160"/>
  </r>
  <r>
    <n v="282"/>
    <s v="PD-22010070/001"/>
    <s v="PO-01/01-22/XX15"/>
    <x v="4"/>
    <s v="CV. Amanah/ PT. Multi Karya Distribusi"/>
    <m/>
    <s v="28 Jan 2022 – 27 Jan 2024"/>
    <s v="Knox Manage 2 Years"/>
    <s v="KLM09-HZM29-B7D9T-ODPI8-I368E-Y11B3"/>
    <d v="2022-01-18T00:00:00"/>
    <n v="254545"/>
    <n v="4"/>
    <n v="1018180"/>
    <n v="275000"/>
    <n v="1100000"/>
  </r>
  <r>
    <n v="283"/>
    <s v="PD-22010071/001"/>
    <s v="PO-01/01-22/XX15"/>
    <x v="4"/>
    <s v="CV. Makmur Jaya"/>
    <m/>
    <s v="31 Mar 2022 – 30 Mar 2024"/>
    <s v="Knox Manage 2 Years"/>
    <s v="KLM09-CIMF4-VFTMG-2SYOQ-UYETZ-DLZ5E"/>
    <d v="2022-01-18T00:00:00"/>
    <n v="254545"/>
    <n v="3"/>
    <n v="763635"/>
    <n v="275000"/>
    <n v="825000"/>
  </r>
  <r>
    <n v="284"/>
    <s v="PD-22010072/001"/>
    <s v="PO-01/01-22/XX15"/>
    <x v="4"/>
    <s v="CV. Mitra Niaga Cemerlang Taluk Kuantan"/>
    <m/>
    <s v="21 Jan 2022 – 20 Jan 2024"/>
    <s v="Knox Manage 2 Years"/>
    <s v="KLM09-IQ44B-BZ6HK-DIFAP-A9PVE-0L9UF"/>
    <d v="2022-01-18T00:00:00"/>
    <n v="254545"/>
    <n v="2"/>
    <n v="509090"/>
    <n v="275000"/>
    <n v="550000"/>
  </r>
  <r>
    <n v="285"/>
    <s v="PD-22010073/001"/>
    <s v="PO-01/01-22/XX16"/>
    <x v="4"/>
    <s v="CV. Sinar Mas Sejahtera - Palembang/ PT. Bintang Mas Pusaka"/>
    <m/>
    <s v="20 Feb 2022 – 19 Feb 2024"/>
    <s v="Knox Manage 2 Years"/>
    <s v="KLM09-ADN5L-SS1TR-3W42G-G79SJ-ROQ4U"/>
    <d v="2022-01-18T00:00:00"/>
    <n v="254545"/>
    <n v="1"/>
    <n v="254545"/>
    <n v="275000"/>
    <n v="275000"/>
  </r>
  <r>
    <n v="286"/>
    <s v="PD-22010076/001"/>
    <s v="PO-01/01-22/XX17"/>
    <x v="4"/>
    <s v="SERU"/>
    <m/>
    <s v="26 Jan 2022 – 25 Jan 2024"/>
    <s v="Knox Manage 2 Years"/>
    <s v="KLM09-A9G9J-E2P69-UFSNQ-SG7Y5-2C2JJ"/>
    <d v="2022-01-19T00:00:00"/>
    <n v="254545"/>
    <n v="140"/>
    <n v="35636300"/>
    <n v="275000"/>
    <n v="38500000"/>
  </r>
  <r>
    <n v="287"/>
    <s v="PD-22010083/001"/>
    <s v="PO/GDN2/2201/10009"/>
    <x v="11"/>
    <s v="PT YAKULT INDONESIA PERSADA"/>
    <m/>
    <s v="25 Jan 2022 – 24 Jan 2024"/>
    <s v="Extended Warranty 2 Year (Tablet) Mass Mid"/>
    <s v="KLM10-GTRS6-O1HX7-Q4MZC-5PE7X-GR2CV"/>
    <d v="2022-01-24T00:00:00"/>
    <n v="213150"/>
    <n v="6"/>
    <n v="1278900"/>
    <n v="232527"/>
    <n v="1395162"/>
  </r>
  <r>
    <n v="288"/>
    <s v="PD-22010084/001"/>
    <s v="PO/GDN2/2201/10016"/>
    <x v="11"/>
    <s v="PT YAKULT INDONESIA PERSADA"/>
    <m/>
    <s v="25 Jan 2022 – 24 Jan 2024"/>
    <s v="Extended Warranty 2 Year (Tablet) Mass Low"/>
    <s v="KLM10-INQL1-X1GMG-2JX50-GN3RV-KKNIM "/>
    <d v="2022-01-24T00:00:00"/>
    <n v="184875"/>
    <n v="6"/>
    <n v="1109250"/>
    <n v="201682"/>
    <n v="1210092"/>
  </r>
  <r>
    <n v="289"/>
    <s v="PD-22010085/001"/>
    <s v="01-22-0007"/>
    <x v="19"/>
    <s v="SMP Puri Artha"/>
    <m/>
    <s v="18 Juli 2022 – 17 Juli 2023"/>
    <s v="Knox Manage 1 Year"/>
    <s v="KLM09-FGPC9-CDZ5C-KB0XP-1E6RY-3I0GX"/>
    <d v="2022-01-25T00:00:00"/>
    <n v="222727"/>
    <n v="1"/>
    <n v="222727"/>
    <n v="279090.90999999997"/>
    <n v="279090.90999999997"/>
  </r>
  <r>
    <n v="290"/>
    <s v="PD-22010086/001"/>
    <s v="PO-01/01-22/XX21"/>
    <x v="4"/>
    <s v="PT. Rukun Mitra Sejati Manado"/>
    <m/>
    <s v="31 Jan 2022 – 30 Jan 2024"/>
    <s v="Knox Manage 2 Years"/>
    <s v="KLM09-CL9BV-7RVXR-GQTH9-Z9P9S-WV5A5"/>
    <d v="2022-01-18T00:00:00"/>
    <n v="254545"/>
    <n v="7"/>
    <n v="1781815"/>
    <n v="275000"/>
    <n v="1925000"/>
  </r>
  <r>
    <n v="291"/>
    <s v="PD-22010088/001"/>
    <s v="PO/GDN2/2201/10014"/>
    <x v="11"/>
    <s v="PT. Passion Abadi Korpora"/>
    <m/>
    <s v="26 Jan 2022 – 25 Jan 2023"/>
    <s v="Knox Manage 1 Year"/>
    <s v="KLM09-FF6PP-55J35-PKWNC-OGOAH-6O5FK"/>
    <d v="2022-01-26T00:00:00"/>
    <n v="222727"/>
    <n v="13"/>
    <n v="2895451"/>
    <n v="297091"/>
    <n v="3862183"/>
  </r>
  <r>
    <n v="292"/>
    <s v="PD-22010090/001"/>
    <s v="PO-01/01-22/XX24"/>
    <x v="4"/>
    <s v="U.D Sepakat Raya"/>
    <m/>
    <s v="10 Mar 2022 - 9 Mar 2024"/>
    <s v="Knox Manage 2 Years"/>
    <s v="KLM09-MIF60-5H3SR-2FO7M-CYNJY-XC4FL"/>
    <d v="2022-01-27T00:00:00"/>
    <n v="254545"/>
    <n v="1"/>
    <n v="254545"/>
    <n v="275000"/>
    <n v="275000"/>
  </r>
  <r>
    <n v="293"/>
    <s v="PD-22010091/001"/>
    <s v="PO-01/01-22/XX24"/>
    <x v="4"/>
    <s v="PT. Budi Distrindo Nusa"/>
    <m/>
    <s v="10 Mar 2022 - 9 Mar 2024"/>
    <s v="Knox Manage 2 Years"/>
    <s v="KLM09-0CAW3-SR7I1-BWBUY-Y1HIH-JNF45"/>
    <d v="2022-01-27T00:00:00"/>
    <n v="254545"/>
    <n v="3"/>
    <n v="763635"/>
    <n v="275000"/>
    <n v="825000"/>
  </r>
  <r>
    <n v="294"/>
    <s v="PD-22010100/001"/>
    <s v="B2B/PO2/2201/11028"/>
    <x v="18"/>
    <s v="PT. Hartono Istana Teknologi"/>
    <s v="7 Feb 2022 - 6 Mar 2022"/>
    <s v="-"/>
    <s v="Knox Manage Monthly"/>
    <s v="KLM09-AO50T-GKCJ4-066QY-ZOSXE-67A85"/>
    <d v="2022-01-27T00:00:00"/>
    <n v="22727"/>
    <n v="150"/>
    <n v="3409050"/>
    <n v="29090.91"/>
    <n v="4363636.5"/>
  </r>
  <r>
    <n v="295"/>
    <s v="PD-22010112/001"/>
    <s v="PO/GDN2/2201/10027"/>
    <x v="11"/>
    <s v="PT. Passion Abadi Korpora"/>
    <m/>
    <s v="28 Jan 2022 – 27 Jan 2023"/>
    <s v="Knox Manage 1 Year"/>
    <s v="KLM09-IC0GS-O8HO6-B8CJE-N92EH-WL0XZ"/>
    <d v="2022-01-27T00:00:00"/>
    <n v="222727"/>
    <n v="15"/>
    <n v="3340905"/>
    <n v="297091"/>
    <n v="4456365"/>
  </r>
  <r>
    <n v="296"/>
    <s v="PD-22020002/001"/>
    <s v="PO-01/01-22/XX26"/>
    <x v="4"/>
    <s v="CV. Palm Lipu Persada Labuha"/>
    <m/>
    <s v="7 Feb 2022 – 6 Feb 2024"/>
    <s v="Knox Manage 2 Years"/>
    <s v="KLM09-ISJ7P-TYTMH-5I77D-64FUQ-37GHO"/>
    <d v="2022-02-02T00:00:00"/>
    <n v="254545"/>
    <n v="1"/>
    <n v="254545"/>
    <n v="275000"/>
    <n v="275000"/>
  </r>
  <r>
    <n v="297"/>
    <s v="PD-22020003/001"/>
    <s v="PO-01/01-22/XX26"/>
    <x v="4"/>
    <s v="CV. Obral Baru"/>
    <m/>
    <s v="6 Mar 2022 – 5 Mar 2024"/>
    <s v="Knox Manage 2 Years"/>
    <s v="KLM09-CYJJL-6L66C-OYDHL-RC2PV-SQBSK"/>
    <d v="2022-02-02T00:00:00"/>
    <n v="254545"/>
    <n v="1"/>
    <n v="254545"/>
    <n v="275000"/>
    <n v="275000"/>
  </r>
  <r>
    <n v="298"/>
    <s v="PD-22020004/001"/>
    <s v="PO-01/01-22/XX26"/>
    <x v="4"/>
    <s v="PT. Plambo Pratama Jaya Santoso"/>
    <m/>
    <s v="5 Feb 2022 – 4 Feb 2024"/>
    <s v="Knox Manage 2 Years"/>
    <s v="KLM09-CJJGD-XD6PK-6BC0L-0CU9Z-OTC3V"/>
    <d v="2022-02-02T00:00:00"/>
    <n v="254545"/>
    <n v="2"/>
    <n v="509090"/>
    <n v="275000"/>
    <n v="550000"/>
  </r>
  <r>
    <n v="299"/>
    <s v="PD-22020005/001"/>
    <s v="PO-01/02-22/XX01"/>
    <x v="4"/>
    <s v="CV. Jaya Santoso Palopo"/>
    <m/>
    <s v="9 Feb 2022 – 8 Feb 2024"/>
    <s v="Knox Manage 2 Years"/>
    <s v="KLM09-0BPLY-56THL-MW9C2-048R5-Q8RJW"/>
    <d v="2022-02-02T00:00:00"/>
    <n v="254545"/>
    <n v="3"/>
    <n v="763635"/>
    <n v="275000"/>
    <n v="825000"/>
  </r>
  <r>
    <n v="300"/>
    <s v="PD-22020006/001"/>
    <s v="PO-01/02-22/XX01"/>
    <x v="4"/>
    <s v="PT. Plambo Pratama Joyosantoso Tegal"/>
    <m/>
    <s v="9 Feb 2022 – 8 Feb 2024"/>
    <s v="Knox Manage 2 Years"/>
    <s v="KLM09-U8V7R-Q0A6F-MRKN2-L1PXO-FWSM2"/>
    <d v="2022-02-02T00:00:00"/>
    <n v="254545"/>
    <n v="5"/>
    <n v="1272725"/>
    <n v="275000"/>
    <n v="1375000"/>
  </r>
  <r>
    <n v="301"/>
    <s v="PD-22020008/001"/>
    <s v="PO/GDN2/2202/10001"/>
    <x v="18"/>
    <s v="PT. Passion Abadi Korpora"/>
    <m/>
    <s v="4 Feb 2022 – 3 Feb 2023"/>
    <s v="Knox Manage 1 Year"/>
    <s v="KLM09-IYJRX-R6NHD-KZ0Y9-5T6SE-0JRZY"/>
    <d v="2022-02-07T00:00:00"/>
    <n v="222727"/>
    <n v="12"/>
    <n v="2672724"/>
    <n v="279091"/>
    <n v="3349092"/>
  </r>
  <r>
    <n v="302"/>
    <s v="PD-22020039/001"/>
    <n v="4800443057"/>
    <x v="15"/>
    <s v="PT. Farrasindo Perkasa"/>
    <m/>
    <s v="7 Feb 2022 – 6 Feb 2023"/>
    <s v="Knox Manage 1 Year"/>
    <s v="KLM09-HXHPU-AFVZ1-SUXSF-GGWPJ-3UY1P "/>
    <d v="2022-02-07T00:00:00"/>
    <n v="222727"/>
    <n v="40"/>
    <n v="8909080"/>
    <n v="265136"/>
    <n v="10605440"/>
  </r>
  <r>
    <n v="303"/>
    <s v="PD-22020044/001"/>
    <s v="999-22-00068"/>
    <x v="8"/>
    <s v="PT. Dipo Star Finance"/>
    <m/>
    <s v="10 Feb 2022 – 9 Feb 2023"/>
    <s v="Knox Manage 1 Year"/>
    <s v="KLM09-IZBM1-4ZKU1-1FARX-KXAWO-0JEZH"/>
    <d v="2022-02-09T00:00:00"/>
    <n v="222727"/>
    <n v="250"/>
    <n v="55681750"/>
    <n v="279090.90999999997"/>
    <n v="69772727.5"/>
  </r>
  <r>
    <n v="304"/>
    <s v="PD-22020045/001"/>
    <s v="PO-01/02-22/XX06"/>
    <x v="4"/>
    <s v="CV. Trio Sukses Mandiri"/>
    <m/>
    <s v="14 Feb 2022 – 13 Feb 2024"/>
    <s v="Knox Manage 2 Years"/>
    <s v="KLM09-3JZN4-YWHFO-RF5OJ-W039V-UOQWK"/>
    <d v="2022-02-09T00:00:00"/>
    <n v="254545"/>
    <n v="3"/>
    <n v="763635"/>
    <n v="275000"/>
    <n v="825000"/>
  </r>
  <r>
    <n v="305"/>
    <s v="PD-22020046/001"/>
    <s v="PO-01/02-22/XX06"/>
    <x v="4"/>
    <s v="PT. Cahaya Agung Cemerlang Godong"/>
    <m/>
    <s v="29 Mei 2022 – 28 Mei 2024"/>
    <s v="Knox Manage 2 Years"/>
    <s v="KLM09-CT2QL-RA0M3-SDXDN-09CH2-N182S"/>
    <d v="2022-02-09T00:00:00"/>
    <n v="254545"/>
    <n v="1"/>
    <n v="254545"/>
    <n v="275000"/>
    <n v="275000"/>
  </r>
  <r>
    <n v="306"/>
    <s v="PD-22020047/001"/>
    <s v="PO-01/02-22/XX06"/>
    <x v="4"/>
    <s v="PT. Wicaksana Overseas International Gorontalo"/>
    <m/>
    <s v="18 Feb 2022 – 17 Feb 2024"/>
    <s v="Knox Manage 2 Years"/>
    <s v="KLM09-CTG62-WK5S2-ASHIY-1UB0S-0SMP5"/>
    <d v="2022-02-09T00:00:00"/>
    <n v="254545"/>
    <n v="9"/>
    <n v="2290905"/>
    <n v="275000"/>
    <n v="2475000"/>
  </r>
  <r>
    <n v="307"/>
    <s v="PD-22020048/001"/>
    <s v="PO-01/02-22/XX06"/>
    <x v="4"/>
    <s v="CV. Dian Ayu Setiabudi"/>
    <m/>
    <s v="14 Feb 2022 – 13 Feb 2024"/>
    <s v="Knox Manage 2 Years"/>
    <s v="KLM09-DVO8I-ZFZT6-JWKZH-COODA-9DTWK"/>
    <d v="2022-02-09T00:00:00"/>
    <n v="254545"/>
    <n v="2"/>
    <n v="509090"/>
    <n v="275000"/>
    <n v="550000"/>
  </r>
  <r>
    <n v="308"/>
    <s v="PD-22020049/001"/>
    <n v="4800443987"/>
    <x v="15"/>
    <s v="BPD Bali"/>
    <m/>
    <s v="15 Feb 2022 – 14 Feb 2023"/>
    <s v="Knox Manage 1 Year"/>
    <s v="KLM09-FYJ0S-I6PMS-KP9LB-74AW0-UYWHD"/>
    <d v="2022-02-15T00:00:00"/>
    <n v="222727"/>
    <n v="8"/>
    <n v="1781816"/>
    <n v="265136"/>
    <n v="2121088"/>
  </r>
  <r>
    <n v="309"/>
    <s v="PD-22020050/001"/>
    <s v="PO/GDN2/2202/10010"/>
    <x v="11"/>
    <s v="PT YAKULT INDONESIA PERSADA"/>
    <m/>
    <s v="15 Feb 2022 – 14 Feb 2024"/>
    <s v="Extended Warranty 2 Year (Tablet) Mass Low"/>
    <s v="KLM10-H8AWQ-MX6BU-LYHCZ-N8KM8-42HG4"/>
    <d v="2022-02-15T00:00:00"/>
    <n v="184875"/>
    <n v="25"/>
    <n v="4621875"/>
    <n v="201682"/>
    <n v="5042050"/>
  </r>
  <r>
    <n v="310"/>
    <s v="PD-22020052/001"/>
    <s v="B2B/PO2/2202/10545"/>
    <x v="18"/>
    <s v="PT. Hartono Istana Teknologi"/>
    <s v="16 Feb 2022 – 16 Mar 2022"/>
    <s v="-"/>
    <s v="Knox Manage Monthly"/>
    <s v="KLM09-AYMCD-ODE9F-9I8Z3-3L48C-AUIVM"/>
    <d v="2022-02-15T00:00:00"/>
    <n v="22727"/>
    <n v="120"/>
    <n v="2727240"/>
    <n v="29090.91"/>
    <n v="3490909.2"/>
  </r>
  <r>
    <n v="311"/>
    <s v="PD-22020075/001"/>
    <n v="81314"/>
    <x v="3"/>
    <s v="BCA Insurance"/>
    <m/>
    <s v="2 Mar 2022 – 1 Mar 2023"/>
    <s v="Knox Manage 1 Year"/>
    <s v="KLM03-DJ1FC-VL7J5-F5U2C-BBEVJ-XRZXH"/>
    <d v="2022-02-17T00:00:00"/>
    <n v="171818"/>
    <n v="20"/>
    <n v="3436360"/>
    <n v="279090.90999999997"/>
    <n v="5581818.1999999993"/>
  </r>
  <r>
    <n v="312"/>
    <s v="PD-22020076/001"/>
    <n v="81314"/>
    <x v="3"/>
    <s v="BCA Insurance"/>
    <m/>
    <s v="2 Mar 2022 – 1 Mar 2023"/>
    <s v="Knox Configure Setup 1 Year"/>
    <s v="KLM03-U1EOO-S4TR3-H53NC-ZBIS6-O30IQ"/>
    <d v="2022-02-17T00:00:00"/>
    <n v="40909"/>
    <n v="20"/>
    <n v="818180"/>
    <n v="58181.82"/>
    <n v="1163636.3999999999"/>
  </r>
  <r>
    <n v="313"/>
    <s v="PD-22020077/001"/>
    <s v="PO-01/02-22/XX09"/>
    <x v="4"/>
    <s v="Tri Samudra Ambon"/>
    <m/>
    <s v="13 Apr 2022 – 12 Apr 2024"/>
    <s v="Knox Manage 2 Years"/>
    <s v="KLM09-H6GTZ-PSU35-RV789-SWT97-VX2H0"/>
    <d v="2022-02-17T00:00:00"/>
    <n v="254545"/>
    <n v="1"/>
    <n v="254545"/>
    <n v="275000"/>
    <n v="275000"/>
  </r>
  <r>
    <n v="314"/>
    <s v="PD-22020079/001"/>
    <s v="PO-01/02-22/XX09"/>
    <x v="4"/>
    <s v="PT. Expand Semesta Jaya Cileunyi"/>
    <m/>
    <s v="23 Feb 2022 – 22 Feb 2024"/>
    <s v="Knox Manage 2 Years"/>
    <s v="KLM09-AH157-E60HP-WCFSE-BSC5Z-NEZFM"/>
    <d v="2022-02-17T00:00:00"/>
    <n v="254545"/>
    <n v="1"/>
    <n v="254545"/>
    <n v="275000"/>
    <n v="275000"/>
  </r>
  <r>
    <n v="315"/>
    <s v="PD-22020080/001"/>
    <s v="PO-01/02-22/XX09"/>
    <x v="4"/>
    <s v="CV. Mega Mas Jaya Surade"/>
    <m/>
    <s v="23 Feb 2022 – 22 Feb 2024"/>
    <s v="Knox Manage 2 Years"/>
    <s v="KLM09-UFQS5-AXX1C-7WL1L-60P4E-WON9A"/>
    <d v="2022-02-17T00:00:00"/>
    <n v="254545"/>
    <n v="4"/>
    <n v="1018180"/>
    <n v="275000"/>
    <n v="1100000"/>
  </r>
  <r>
    <n v="316"/>
    <s v="PD-22020087/001"/>
    <s v="PD/22020024/002"/>
    <x v="20"/>
    <s v="PT. Circleka Indonesia Utama"/>
    <m/>
    <s v="24 Feb 2022 – 23 Feb 2024"/>
    <s v="Knox Manage 1 Year"/>
    <s v="KLM09-FLD46-9RFX1-8S9CG-2ARET-AHZBA"/>
    <d v="2022-02-21T00:00:00"/>
    <n v="222727"/>
    <n v="160"/>
    <n v="35636320"/>
    <n v="279090.90999999997"/>
    <n v="44654545.599999994"/>
  </r>
  <r>
    <n v="317"/>
    <s v="PD-22020088/001"/>
    <s v="PO-01/02-22/XX09"/>
    <x v="4"/>
    <s v="CV. Heksa Gemilang"/>
    <m/>
    <s v="17 Mar 2022 – 16 Mar 2024"/>
    <s v="Knox Manage 2 Years"/>
    <s v="KLM09-HLSW7-596ER-1MQ3B-8GFUO-KL8WU"/>
    <d v="2022-02-21T00:00:00"/>
    <n v="254545"/>
    <n v="3"/>
    <n v="763635"/>
    <n v="275000"/>
    <n v="825000"/>
  </r>
  <r>
    <n v="318"/>
    <s v="PD-22020089/001"/>
    <s v="PO-01/02-22/XX09"/>
    <x v="4"/>
    <s v="CV. Heksa Gemilang"/>
    <m/>
    <s v="24 Mar 2022 – 23 Mar 2024"/>
    <s v="Knox Manage 2 Years"/>
    <s v="KLM09-MCIDP-RYI03-D26FC-1M4VJ-VLIRH"/>
    <d v="2022-02-21T00:00:00"/>
    <n v="254545"/>
    <n v="3"/>
    <n v="763635"/>
    <n v="275000"/>
    <n v="825000"/>
  </r>
  <r>
    <n v="319"/>
    <s v="PD-22020090/001"/>
    <s v="PO-01/02-22/XX09"/>
    <x v="4"/>
    <s v="PT. Bumi Jasa Utama"/>
    <m/>
    <s v="25 Feb 2022 – 24 Feb 2024"/>
    <s v="Knox Manage 2 Years"/>
    <s v="KLM09-2SZTM-OM1IU-OZBWG-HB4BA-IDYWN"/>
    <d v="2022-02-21T00:00:00"/>
    <n v="254545"/>
    <n v="2"/>
    <n v="509090"/>
    <n v="275000"/>
    <n v="550000"/>
  </r>
  <r>
    <n v="320"/>
    <s v="PD-22020091/001"/>
    <s v="PO-01/02-22/XX09"/>
    <x v="4"/>
    <s v="PT. Wicaksana Overseas International Ancol"/>
    <m/>
    <s v="24 Mar 2022 – 23 Mar 2024"/>
    <s v="Knox Manage 2 Years"/>
    <s v="KLM09-6SCUW-2O21A-B12CU-8RZ9I-O9S7O"/>
    <d v="2022-02-21T00:00:00"/>
    <n v="254545"/>
    <n v="8"/>
    <n v="2036360"/>
    <n v="275000"/>
    <n v="2200000"/>
  </r>
  <r>
    <n v="321"/>
    <s v="PD-22020092/001"/>
    <s v="PO-01/02-22/XX09"/>
    <x v="4"/>
    <s v="CV. Usaha Baru"/>
    <m/>
    <s v="25 Feb 2022 – 24 Feb 2024"/>
    <s v="Knox Manage 2 Years"/>
    <s v="KLM09-2YDD4-XGAJO-O8LMA-ZVJJL-YVFFZ"/>
    <d v="2022-02-21T00:00:00"/>
    <n v="254545"/>
    <n v="1"/>
    <n v="254545"/>
    <n v="275000"/>
    <n v="275000"/>
  </r>
  <r>
    <n v="322"/>
    <s v="PD-22020114/001"/>
    <s v="PO-01/02-22/XX12"/>
    <x v="4"/>
    <s v="PT. Plambo Pratama Jaya Santoso"/>
    <m/>
    <s v="4 Mar 2022 – 3 Mar 2024"/>
    <s v="Knox Manage 2 Years"/>
    <s v="KLM09-N0RSW-55PRY-JB405-6DSWW-PLJG4"/>
    <d v="2022-02-25T00:00:00"/>
    <n v="254545"/>
    <n v="3"/>
    <n v="763635"/>
    <n v="275000"/>
    <n v="825000"/>
  </r>
  <r>
    <n v="323"/>
    <s v="PD-22020115/001"/>
    <s v="PO-01/02-22/XX12"/>
    <x v="4"/>
    <s v="CV. Teman Jaya Abadi"/>
    <m/>
    <s v="4 Mar 2022 – 3 Mar 2024"/>
    <s v="Knox Manage 2 Years"/>
    <s v="KLM09-UCZMF-QKTN3-1M6LA-YVOF9-K4YRZ"/>
    <d v="2022-02-25T00:00:00"/>
    <n v="254545"/>
    <n v="2"/>
    <n v="509090"/>
    <n v="275000"/>
    <n v="550000"/>
  </r>
  <r>
    <n v="324"/>
    <s v="PD-22020116/001"/>
    <s v="B2B/PO2/2202/11030"/>
    <x v="18"/>
    <s v="PT. Hartono Istana Teknologi"/>
    <m/>
    <s v="1 Mar 2022 - 28 Feb 2023"/>
    <s v="Knox Manage 1 Year"/>
    <s v="KLM09-NLNRF-3D69G-5G9PJ-2WCIQ-BDMB9"/>
    <d v="2022-02-25T00:00:00"/>
    <n v="222727"/>
    <n v="297"/>
    <n v="66149919"/>
    <n v="279090.90999999997"/>
    <n v="82890000.269999996"/>
  </r>
  <r>
    <n v="325"/>
    <s v="PD-22030031/001"/>
    <s v="PO-01/03-22/XX03"/>
    <x v="4"/>
    <s v="PD. Indah Permai Group Lotin"/>
    <m/>
    <s v="4 Juni 2022 – 3 Juni 2024"/>
    <s v="Knox Manage 2 Years"/>
    <s v="KLM09-6OO7Y-FQ2GU-KGZ2B-1Q9N6-WW447"/>
    <d v="2022-03-08T00:00:00"/>
    <n v="254545"/>
    <n v="1"/>
    <n v="254545"/>
    <n v="275000"/>
    <n v="275000"/>
  </r>
  <r>
    <n v="326"/>
    <s v="PD-22030032/001"/>
    <s v="PO-01/03-22/XX03"/>
    <x v="4"/>
    <s v="PD. Indah Permai Group"/>
    <m/>
    <s v="12 Mar 2022 – 11 Mar 2024"/>
    <s v="Knox Manage 2 Years"/>
    <s v="KLM09-3Z79B-TU0DJ-UG58Z-KLR37-9DEXK"/>
    <d v="2022-03-08T00:00:00"/>
    <n v="254545"/>
    <n v="1"/>
    <n v="254545"/>
    <n v="275000"/>
    <n v="275000"/>
  </r>
  <r>
    <n v="327"/>
    <s v="PD-22030033/001"/>
    <s v="PO-01/03-22/XX03"/>
    <x v="4"/>
    <s v="PT. Sinar Alima Tembilahan"/>
    <m/>
    <s v="11 Mar 2022 – 10 Mar 2024"/>
    <s v="Knox Manage 2 Years"/>
    <s v="KLM09-COPZF-RR7QM-AWB3Y-RMZGQ-RBQ7K"/>
    <d v="2022-03-08T00:00:00"/>
    <n v="254545"/>
    <n v="2"/>
    <n v="509090"/>
    <n v="275000"/>
    <n v="550000"/>
  </r>
  <r>
    <n v="328"/>
    <s v="PD-22030034/001"/>
    <s v="PO-01/03-22/XX03"/>
    <x v="4"/>
    <s v="CV. Makmur Jaya Abadi"/>
    <m/>
    <s v="11 Mar 2022 – 10 Mar 2024"/>
    <s v="Knox Manage 2 Years"/>
    <s v="KLM09-IUCXR-NMPTT-LVU4U-RK3C9-N7KZW"/>
    <d v="2022-03-08T00:00:00"/>
    <n v="254545"/>
    <n v="1"/>
    <n v="254545"/>
    <n v="275000"/>
    <n v="275000"/>
  </r>
  <r>
    <n v="329"/>
    <s v="PD-22030057/001"/>
    <s v="PO/GDN2/2203/10006"/>
    <x v="11"/>
    <s v="PT YAKULT INDONESIA PERSADA"/>
    <m/>
    <s v="10 Mar 2022 – 9 Mar 2024"/>
    <s v="Extended Warranty 2 Year (Smartphone) Mass Low"/>
    <s v="KLM10-7YSDR-6JSQ2-GE4SQ-9NMPD-7K24I"/>
    <d v="2022-03-09T00:00:00"/>
    <n v="184875"/>
    <n v="15"/>
    <n v="2773125"/>
    <n v="201682"/>
    <n v="3025230"/>
  </r>
  <r>
    <n v="330"/>
    <s v="PD-22030058/001"/>
    <s v="PO-01/03-22/XX06"/>
    <x v="4"/>
    <s v="CV. Zan Puji Photo"/>
    <m/>
    <s v="16 Mar 2022 – 15 Mar 2024"/>
    <s v="Knox Manage 2 Years"/>
    <s v="KLM09-A4D2G-G6FO1-V5NF7-QXX24-JSW0D"/>
    <d v="2022-03-11T00:00:00"/>
    <n v="254545"/>
    <n v="1"/>
    <n v="254545"/>
    <n v="275000"/>
    <n v="275000"/>
  </r>
  <r>
    <n v="331"/>
    <s v="PD-22030070/001"/>
    <s v="PO-01/03-22/XX09"/>
    <x v="4"/>
    <s v="PT. Mahameru Putra Harmonis"/>
    <m/>
    <s v="21 Mar 2022 - 20 Mar 2024"/>
    <s v="Knox Manage 2 Years"/>
    <s v="KLM09-26CBR-DUDPD-NGGUO-MX9A4-1MJG4"/>
    <d v="2022-03-15T00:00:00"/>
    <n v="254545"/>
    <n v="1"/>
    <n v="254545"/>
    <n v="275000"/>
    <n v="275000"/>
  </r>
  <r>
    <n v="332"/>
    <s v="PD-22030071/001"/>
    <s v="PO-01/03-22/XX09"/>
    <x v="4"/>
    <s v="CV. Garindo"/>
    <m/>
    <s v="21 Mar 2022 - 20 Mar 2024"/>
    <s v="Knox Manage 2 Years"/>
    <s v="KLM09-2SX8R-GCL6L-IYMIP-Z5JEG-TWMTO"/>
    <d v="2022-03-15T00:00:00"/>
    <n v="254545"/>
    <n v="1"/>
    <n v="254545"/>
    <n v="275000"/>
    <n v="275000"/>
  </r>
  <r>
    <n v="333"/>
    <s v="PD-22030074/001"/>
    <s v="PO/BS/0322/0073"/>
    <x v="9"/>
    <s v="PT. Nufarm Indonesia"/>
    <m/>
    <s v="26 Mar 2022 - 25 Mar 2024"/>
    <s v="Knox Manage 2 Years"/>
    <s v="KLM09-UIS63-FXJZE-688J6-IENO0-XDCSC"/>
    <d v="2022-03-17T00:00:00"/>
    <n v="444545"/>
    <n v="116"/>
    <n v="51567220"/>
    <n v="556363.64"/>
    <n v="64538182.240000002"/>
  </r>
  <r>
    <n v="334"/>
    <s v="PD-22030101/001"/>
    <s v="PO-01/03-22/XX15"/>
    <x v="4"/>
    <s v="CV. Sumber Untung Lamongan"/>
    <m/>
    <s v="24 Mar 2022 - 23 Mar 2024"/>
    <s v="Knox Manage 2 Years"/>
    <s v="KLM09-FGYQD-BFY8W-VUSRS-8GZD6-CXBRA"/>
    <d v="2022-03-21T00:00:00"/>
    <n v="254545"/>
    <n v="7"/>
    <n v="1781815"/>
    <n v="275000"/>
    <n v="1925000"/>
  </r>
  <r>
    <n v="335"/>
    <s v="PD-22030102/001"/>
    <s v="PO-01/03-22/XX15"/>
    <x v="4"/>
    <s v="PT. Prima Bintang Permata"/>
    <m/>
    <s v="24 Mar 2022 - 23 Mar 2024"/>
    <s v="Knox Manage 2 Years"/>
    <s v="KLM09-69YEG-L7QVH-NIUQP-5GSQM-I2U6A"/>
    <d v="2022-03-21T00:00:00"/>
    <n v="254545"/>
    <n v="2"/>
    <n v="509090"/>
    <n v="275000"/>
    <n v="550000"/>
  </r>
  <r>
    <n v="336"/>
    <s v="PD-22030103/001"/>
    <s v="PO-01/03-22/XX15"/>
    <x v="4"/>
    <s v="PT. Rukun Mitra Sejati Gorontalo"/>
    <m/>
    <s v="24 Mar 2022 - 23 Mar 2024"/>
    <s v="Knox Manage 2 Years"/>
    <s v="KLM09-2RR16-PRQXI-X9YM6-IY8MP-JDSHX"/>
    <d v="2022-03-21T00:00:00"/>
    <n v="254545"/>
    <n v="3"/>
    <n v="763635"/>
    <n v="275000"/>
    <n v="825000"/>
  </r>
  <r>
    <n v="337"/>
    <s v="PD-22030106/001"/>
    <s v="PO-01/03-22/XX16"/>
    <x v="4"/>
    <s v="PT. Panamas Dwitama Distrindo"/>
    <m/>
    <s v="30 Mar 2022 - 29 Mar 2024"/>
    <s v="Knox Manage 2 Years"/>
    <s v="KLM09-LN1UQ-YNN4P-EV9X5-Q39TE-VT7YK"/>
    <d v="2022-03-24T00:00:00"/>
    <n v="254545"/>
    <n v="1"/>
    <n v="254545"/>
    <n v="275000"/>
    <n v="275000"/>
  </r>
  <r>
    <n v="338"/>
    <s v="PD-22030107/001"/>
    <s v="PO-01/03-22/XX16"/>
    <x v="4"/>
    <s v="PT. Sinarmas Distribusi Nusantara Solo"/>
    <m/>
    <s v="30 Mar 2022 - 29 Mar 2024"/>
    <s v="Knox Manage 2 Years"/>
    <s v="KLM09-7QJCY-WF6NY-1D8LV-LAGV3-SS5NU"/>
    <d v="2022-03-24T00:00:00"/>
    <n v="254545"/>
    <n v="1"/>
    <n v="254545"/>
    <n v="275000"/>
    <n v="275000"/>
  </r>
  <r>
    <n v="339"/>
    <s v="PD-22030108/001"/>
    <s v="PO-01/03-22/XX16"/>
    <x v="4"/>
    <s v="PT. Badriani Abadi"/>
    <m/>
    <s v="30 Mar 2022 - 29 Mar 2024"/>
    <s v="Knox Manage 2 Years"/>
    <s v="KLM09-2NNIT-MY57G-4W3S8-89BNF-Y2R0F"/>
    <d v="2022-03-24T00:00:00"/>
    <n v="254545"/>
    <n v="2"/>
    <n v="509090"/>
    <n v="275000"/>
    <n v="550000"/>
  </r>
  <r>
    <n v="340"/>
    <s v="PD-22030112/001"/>
    <s v="PO-01/03-22/XX17"/>
    <x v="4"/>
    <s v="PT. Mungil Sejahtera"/>
    <m/>
    <s v="31 Mar 2022 - 30 Mar 2024"/>
    <s v="Knox Manage 2 Years"/>
    <s v="KLM09-0XUMN-210FT-OR3D2-5W7YG-SR4DX"/>
    <d v="2022-03-25T00:00:00"/>
    <n v="254545"/>
    <n v="2"/>
    <n v="509090"/>
    <n v="275000"/>
    <n v="550000"/>
  </r>
  <r>
    <n v="341"/>
    <s v="PD-22030113/001"/>
    <s v="PO-01/03-22/XX17"/>
    <x v="4"/>
    <s v="CV. Kiat Anugrah"/>
    <m/>
    <s v="30 Mar 2022 - 29 Mar 2024"/>
    <s v="Knox Manage 2 Years"/>
    <s v="KLM09-FR8MR-SVO0X-CC33I-OQ661-SFUHR"/>
    <d v="2022-03-25T00:00:00"/>
    <n v="254545"/>
    <n v="3"/>
    <n v="763635"/>
    <n v="275000"/>
    <n v="825000"/>
  </r>
  <r>
    <n v="342"/>
    <s v="PD-22030114/001"/>
    <s v="PO-01/03-22/XX17"/>
    <x v="4"/>
    <s v="CV. Kiat Anugrah"/>
    <m/>
    <s v="30 Mar 2022 - 29 Mar 2024"/>
    <s v="Knox Manage 2 Years"/>
    <s v="KLM09-I6L9F-RLBYF-4R9HR-F1O19-NS7KX"/>
    <d v="2022-03-25T00:00:00"/>
    <n v="254545"/>
    <n v="1"/>
    <n v="254545"/>
    <n v="275000"/>
    <n v="275000"/>
  </r>
  <r>
    <n v="343"/>
    <s v="PD-22030120/001"/>
    <s v="PO-01/03-22/XX18"/>
    <x v="4"/>
    <s v="PT. Wicaksana Overseas International Ancol"/>
    <m/>
    <s v="5 Apr 2022 – 4 Apr 2024"/>
    <s v="Knox Manage 2 Years"/>
    <s v="KLM09-0JUN1-R29FP-FS6BH-VJ0GY-Y23L2"/>
    <d v="2022-03-29T00:00:00"/>
    <n v="254545"/>
    <n v="5"/>
    <n v="1272725"/>
    <n v="275000"/>
    <n v="1375000"/>
  </r>
  <r>
    <n v="344"/>
    <s v="PD-22030121/001"/>
    <s v="PO-01/03-22/XX18"/>
    <x v="4"/>
    <s v="CV. Sinar Mekar Magelang"/>
    <m/>
    <s v="5 Apr 2022 – 4 Apr 2024"/>
    <s v="Knox Manage 2 Years"/>
    <s v="KLM09-6ZRNM-U9YKK-3CIAT-QFN69-3SICA"/>
    <d v="2022-03-29T00:00:00"/>
    <n v="254545"/>
    <n v="1"/>
    <n v="254545"/>
    <n v="275000"/>
    <n v="275000"/>
  </r>
  <r>
    <n v="345"/>
    <s v="PD-22030122/001"/>
    <s v="PO-01/03-22/XX18"/>
    <x v="4"/>
    <s v="CV. Sinar Mekar Yogya"/>
    <m/>
    <s v="5 Apr 2022 – 4 Apr 2024"/>
    <s v="Knox Manage 2 Years"/>
    <s v="KLM09-C5X67-SM42I-6FESV-K664B-SK92J"/>
    <d v="2022-03-29T00:00:00"/>
    <n v="254545"/>
    <n v="1"/>
    <n v="254545"/>
    <n v="275000"/>
    <n v="275000"/>
  </r>
  <r>
    <n v="346"/>
    <s v="PD-22030123/001"/>
    <s v="PO-01/03-22/XX18"/>
    <x v="4"/>
    <s v="CV. Sinar Mekar Magelang"/>
    <m/>
    <s v="5 Apr 2022 – 4 Apr 2024"/>
    <s v="Knox Manage 2 Years"/>
    <s v="KLM09-BNK8P-Q7L5G-GT25E-UOWHH-4QTUK"/>
    <d v="2022-03-29T00:00:00"/>
    <n v="254545"/>
    <n v="1"/>
    <n v="254545"/>
    <n v="275000"/>
    <n v="275000"/>
  </r>
  <r>
    <n v="347"/>
    <s v="PD-22030124/001"/>
    <s v="PO-01/03-22/XX18"/>
    <x v="4"/>
    <s v="CV. Sinar Mekar Yogya"/>
    <m/>
    <s v="5 Apr 2022 – 4 Apr 2024"/>
    <s v="Knox Manage 2 Years"/>
    <s v="KLM09-20EH1-NG572-9I0IR-S3EMN-2VKRU"/>
    <d v="2022-03-29T00:00:00"/>
    <n v="254545"/>
    <n v="2"/>
    <n v="509090"/>
    <n v="275000"/>
    <n v="550000"/>
  </r>
  <r>
    <n v="348"/>
    <s v="PD-22030125/001"/>
    <s v="PO-01/03-22/XX18"/>
    <x v="4"/>
    <s v="CV. Satrio Jaya Makmur"/>
    <m/>
    <s v="5 Apr 2022 – 4 Apr 2024"/>
    <s v="Knox Manage 2 Years"/>
    <s v="KLM09-P6RUZ-K4Q6M-MLTKB-RTTQC-6YSNK"/>
    <d v="2022-03-29T00:00:00"/>
    <n v="254545"/>
    <n v="1"/>
    <n v="254545"/>
    <n v="275000"/>
    <n v="275000"/>
  </r>
  <r>
    <n v="349"/>
    <s v="PD-22030126/001"/>
    <s v="PO-01/03-22/XX18"/>
    <x v="4"/>
    <s v="PT. Inti Buana Raya"/>
    <m/>
    <s v="5 Apr 2022 – 4 Apr 2024"/>
    <s v="Knox Manage 2 Years"/>
    <s v="KLM09-6XMG4-U7OE4-6B0X7-UX2IJ-ZEBM9"/>
    <d v="2022-03-29T00:00:00"/>
    <n v="254545"/>
    <n v="6"/>
    <n v="1527270"/>
    <n v="275000"/>
    <n v="1650000"/>
  </r>
  <r>
    <n v="350"/>
    <s v="PD-22030127/001"/>
    <s v="PO-01/03-22/XX18"/>
    <x v="4"/>
    <s v="PT. Plambo Jaya Santoso Tegal"/>
    <m/>
    <s v="5 Apr 2022 – 4 Apr 2024"/>
    <s v="Knox Manage 2 Years"/>
    <s v="KLM09-CDH7S-RK7HV-CF8XI-VVXRK-LECZR"/>
    <d v="2022-03-29T00:00:00"/>
    <n v="254545"/>
    <n v="1"/>
    <n v="254545"/>
    <n v="275000"/>
    <n v="275000"/>
  </r>
  <r>
    <n v="351"/>
    <s v="PD-22030128/001"/>
    <s v="PO-01/03-22/XX18"/>
    <x v="4"/>
    <s v="PT. Padamatirta Wisesa Jember"/>
    <m/>
    <s v="5 Apr 2022 – 4 Apr 2024"/>
    <s v="Knox Manage 2 Years"/>
    <s v="KLM09-AIAQB-6KWE2-O7RQT-LXDNQ-KF4P9"/>
    <d v="2022-03-29T00:00:00"/>
    <n v="254545"/>
    <n v="1"/>
    <n v="254545"/>
    <n v="275000"/>
    <n v="275000"/>
  </r>
  <r>
    <n v="352"/>
    <s v="PD-22030131/001"/>
    <s v="PO-01/03-22/XX20"/>
    <x v="4"/>
    <s v="CV. Hana Central"/>
    <m/>
    <s v="6 Apr 2022 – 5 Apr 2024"/>
    <s v="Knox Manage 2 Years"/>
    <s v="KLM09-NFK80-XNRFW-VPUGY-6F6BW-77U3D"/>
    <d v="2022-03-31T00:00:00"/>
    <n v="254545"/>
    <n v="1"/>
    <n v="254545"/>
    <n v="275000"/>
    <n v="275000"/>
  </r>
  <r>
    <n v="353"/>
    <s v="PD-22030132/001"/>
    <s v="PO-01/03-22/XX20"/>
    <x v="4"/>
    <s v="PT. K33 Distribusi"/>
    <m/>
    <s v="6 Apr 2022 – 5 Apr 2024"/>
    <s v="Knox Manage 2 Years"/>
    <s v="KLM09-DUU6G-NLPNF-WZG2U-LA72V-UFMU7"/>
    <d v="2022-03-31T00:00:00"/>
    <n v="254545"/>
    <n v="2"/>
    <n v="509090"/>
    <n v="275000"/>
    <n v="550000"/>
  </r>
  <r>
    <n v="354"/>
    <s v="PD-22040003/001"/>
    <s v="PO-02/04-22/XX03"/>
    <x v="4"/>
    <s v="PT. Subur Lumintu Melak"/>
    <m/>
    <s v="6 Apr 2022 – 5 Apr 2024"/>
    <s v="Knox Manage 2 Years"/>
    <s v="KLM09-ITBPW-1398S-85RWE-TD7QV-C3EMZ"/>
    <d v="2022-04-01T00:00:00"/>
    <n v="254545"/>
    <n v="2"/>
    <n v="509090"/>
    <n v="275000"/>
    <n v="550000"/>
  </r>
  <r>
    <n v="355"/>
    <s v="PD-22040004/001"/>
    <s v="PO-02/04-22/XX03"/>
    <x v="4"/>
    <s v="PT. Subur Lumintu 3"/>
    <m/>
    <s v="6 Apr 2022 – 5 Apr 2024"/>
    <s v="Knox Manage 2 Years"/>
    <s v="KLM09-MLS6G-HKE6L-ODN7Z-NTQ8N-112IK"/>
    <d v="2022-04-01T00:00:00"/>
    <n v="254545"/>
    <n v="9"/>
    <n v="2290905"/>
    <n v="275000"/>
    <n v="2475000"/>
  </r>
  <r>
    <n v="356"/>
    <s v="PD-22040005/001"/>
    <s v="PO-02/04-22/XX03"/>
    <x v="4"/>
    <s v="PT. Subur Lumintu Bontang"/>
    <m/>
    <s v="6 Apr 2022 – 5 Apr 2024"/>
    <s v="Knox Manage 2 Years"/>
    <s v="KLM09-70O9C-5E3FI-MJJMR-XHIZ2-M5F3M"/>
    <d v="2022-04-01T00:00:00"/>
    <n v="254545"/>
    <n v="3"/>
    <n v="763635"/>
    <n v="275000"/>
    <n v="825000"/>
  </r>
  <r>
    <n v="357"/>
    <s v="PD-22040006/001"/>
    <s v="PO-02/04-22/XX03"/>
    <x v="4"/>
    <s v="PT. K33 Palimanan"/>
    <m/>
    <s v="6 Apr 2022 – 5 Apr 2024"/>
    <s v="Knox Manage 2 Years"/>
    <s v="KLM09-CVH1Q-SZNWZ-NET84-TMJHE-WW7UV"/>
    <d v="2022-04-01T00:00:00"/>
    <n v="254545"/>
    <n v="2"/>
    <n v="509090"/>
    <n v="275000"/>
    <n v="550000"/>
  </r>
  <r>
    <n v="358"/>
    <s v="PD-22040007/001"/>
    <s v="PO-02/04-22/XX03"/>
    <x v="4"/>
    <s v="PT. Subur Lumintu Sangatta"/>
    <m/>
    <s v="6 Apr 2022 – 5 Apr 2024"/>
    <s v="Knox Manage 2 Years"/>
    <s v="KLM09-MOLD4-07SBJ-0MBJ4-CU9LS-2TMYQ"/>
    <d v="2022-04-01T00:00:00"/>
    <n v="254545"/>
    <n v="4"/>
    <n v="1018180"/>
    <n v="275000"/>
    <n v="1100000"/>
  </r>
  <r>
    <n v="359"/>
    <s v="PD-22040008/001"/>
    <s v="PO-02/04-22/XX03"/>
    <x v="4"/>
    <s v="PT. Subur Lumintu 2"/>
    <m/>
    <s v="6 Apr 2022 – 5 Apr 2024"/>
    <s v="Knox Manage 2 Years"/>
    <s v="KLM09-CEU9X-TZV3N-LED8V-C3DMI-EJK0N"/>
    <d v="2022-04-01T00:00:00"/>
    <n v="254545"/>
    <n v="4"/>
    <n v="1018180"/>
    <n v="275000"/>
    <n v="1100000"/>
  </r>
  <r>
    <n v="360"/>
    <s v="PD-22040051/001"/>
    <s v="PO-02/04-22/XX05"/>
    <x v="4"/>
    <s v="PT. Rukun Mitra Sejati Gresik"/>
    <m/>
    <s v="11 Apr 2022 – 10 Apr 2024"/>
    <s v="Knox Manage 2 Years"/>
    <s v="KLM09-I87O8-H5JBQ-1VE0M-M87FN-AL68M"/>
    <d v="2022-04-06T00:00:00"/>
    <n v="254545"/>
    <n v="4"/>
    <n v="1018180"/>
    <n v="275000"/>
    <n v="1100000"/>
  </r>
  <r>
    <n v="361"/>
    <s v="PD-22040052/001"/>
    <s v="PO-02/04-22/XX05"/>
    <x v="4"/>
    <s v="PT. Segar Prima Laksana"/>
    <m/>
    <s v="11 Apr 2022 – 10 Apr 2024"/>
    <s v="Knox Manage 2 Years"/>
    <s v="KLM09-F04OK-6PNR0-THT94-ORDC1-H81L5"/>
    <d v="2022-04-06T00:00:00"/>
    <n v="254545"/>
    <n v="2"/>
    <n v="509090"/>
    <n v="275000"/>
    <n v="550000"/>
  </r>
  <r>
    <n v="362"/>
    <s v="PD-22040053/001"/>
    <s v="PO-02/04-22/XX05"/>
    <x v="4"/>
    <s v="CV. Gemilang Artha Prima GT"/>
    <m/>
    <s v="11 Apr 2022 – 10 Apr 2024"/>
    <s v="Knox Manage 2 Years"/>
    <s v="KLM09-C1ZN4-FN8ZR-N1637-231KA-MVBX9"/>
    <d v="2022-04-06T00:00:00"/>
    <n v="254545"/>
    <n v="12"/>
    <n v="3054540"/>
    <n v="275000"/>
    <n v="3300000"/>
  </r>
  <r>
    <n v="363"/>
    <s v="PD-22040054/001"/>
    <s v="PO-02/04-22/XX05"/>
    <x v="4"/>
    <s v="CV. Gemilang Artha Prima LMT"/>
    <m/>
    <s v="11 Apr 2022 – 10 Apr 2024"/>
    <s v="Knox Manage 2 Years"/>
    <s v="KLM09-X9EXS-25QI3-1RJMC-EZQP5-KA0LK"/>
    <d v="2022-04-06T00:00:00"/>
    <n v="254545"/>
    <n v="3"/>
    <n v="763635"/>
    <n v="275000"/>
    <n v="825000"/>
  </r>
  <r>
    <n v="364"/>
    <s v="PD-22040055/001"/>
    <s v="PO-02/04-22/XX05"/>
    <x v="4"/>
    <s v="PT. Subur Lumintu LMT Samarinda"/>
    <m/>
    <s v="11 Apr 2022 – 10 Apr 2024"/>
    <s v="Knox Manage 2 Years"/>
    <s v="KLM09-I4ICN-Z0GOG-DS5M0-O54HL-P45AZ"/>
    <d v="2022-04-06T00:00:00"/>
    <n v="254545"/>
    <n v="8"/>
    <n v="2036360"/>
    <n v="275000"/>
    <n v="2200000"/>
  </r>
  <r>
    <n v="365"/>
    <s v="PD-22040056/001"/>
    <s v="PO-02/04-22/XX05"/>
    <x v="4"/>
    <s v="PT. Adam Dani Lestari"/>
    <m/>
    <s v="11 Apr 2022 – 10 Apr 2024"/>
    <s v="Knox Manage 2 Years"/>
    <s v="KLM09-B1Z78-T39VI-2MLFE-2G9QJ-0YJRK"/>
    <d v="2022-04-06T00:00:00"/>
    <n v="254545"/>
    <n v="1"/>
    <n v="254545"/>
    <n v="275000"/>
    <n v="275000"/>
  </r>
  <r>
    <n v="366"/>
    <s v="PD-22040057/001"/>
    <s v="PO-02/04-22/XX05"/>
    <x v="4"/>
    <s v="PT. Inti Sari Perkasa"/>
    <m/>
    <s v="11 Apr 2022 – 10 Apr 2024"/>
    <s v="Knox Manage 2 Years"/>
    <s v="KLM09-DT7YG-R4PBK-02EF2-QIL5P-MAD6T"/>
    <d v="2022-04-06T00:00:00"/>
    <n v="254545"/>
    <n v="1"/>
    <n v="254545"/>
    <n v="275000"/>
    <n v="275000"/>
  </r>
  <r>
    <n v="367"/>
    <s v="PD-22040059/001"/>
    <s v="PO-02/04-22/XX05"/>
    <x v="4"/>
    <s v="PT. Padmatirta Wisesa Madiun"/>
    <m/>
    <s v="11 Apr 2022 – 10 Apr 2024"/>
    <s v="Knox Manage 2 Years"/>
    <s v="KLM09-6HLBM-IXLRQ-EOO2Y-V8FSD-QF2RM"/>
    <d v="2022-04-06T00:00:00"/>
    <n v="254545"/>
    <n v="1"/>
    <n v="254545"/>
    <n v="275000"/>
    <n v="275000"/>
  </r>
  <r>
    <n v="368"/>
    <s v="PD-22040071/001"/>
    <s v="PO/GDN2/2204/10006"/>
    <x v="11"/>
    <s v="PT. Passion Abadi Korpora"/>
    <m/>
    <s v="7 Apr 2022 – 6 Apr 2024"/>
    <s v="Knox Manage 1 Year"/>
    <s v="KLM09-UAOZY-WQC44-YQ6NP-079K8-TFO99"/>
    <d v="2022-04-06T00:00:00"/>
    <n v="222727"/>
    <n v="5"/>
    <n v="1113635"/>
    <n v="279091"/>
    <n v="1395455"/>
  </r>
  <r>
    <n v="369"/>
    <s v="PD-22040075/001"/>
    <s v="PO-02/04-22/XX08"/>
    <x v="4"/>
    <s v="PD. Uni Primajaya"/>
    <m/>
    <s v="13 Apr 2022 – 12 Apr 2024"/>
    <s v="Knox Manage 2 Years"/>
    <s v="KLM09-7CYPY-TK8IV-9HDJR-6III9-IMNJK"/>
    <d v="2022-04-08T00:00:00"/>
    <n v="254545"/>
    <n v="4"/>
    <n v="1018180"/>
    <n v="275000"/>
    <n v="1100000"/>
  </r>
  <r>
    <n v="370"/>
    <s v="PD-22040076/001"/>
    <s v="PO-02/04-22/XX08"/>
    <x v="4"/>
    <s v="PD. Andhika Primajaya"/>
    <m/>
    <s v="13 Apr 2022 – 12 Apr 2024"/>
    <s v="Knox Manage 2 Years"/>
    <s v="KLM09-UBLSM-6ZBZQ-YR47I-5L1ZC-Z332K"/>
    <d v="2022-04-08T00:00:00"/>
    <n v="254545"/>
    <n v="4"/>
    <n v="1018180"/>
    <n v="275000"/>
    <n v="1100000"/>
  </r>
  <r>
    <n v="371"/>
    <s v="PD-22040077/001"/>
    <s v="PO-02/04-22/XX08"/>
    <x v="4"/>
    <s v="PT. Rukun Mitra Sejati Cibadak"/>
    <m/>
    <s v="13 Apr 2022 – 12 Apr 2024"/>
    <s v="Knox Manage 2 Years"/>
    <s v="KLM09-II91J-RMTI0-8B675-HPFRG-K3X4Y"/>
    <d v="2022-04-08T00:00:00"/>
    <n v="254545"/>
    <n v="8"/>
    <n v="2036360"/>
    <n v="275000"/>
    <n v="2200000"/>
  </r>
  <r>
    <n v="372"/>
    <s v="PD-22040078/001"/>
    <s v="PO-02/04-22/XX08"/>
    <x v="4"/>
    <s v="PT. Cahaya Lestari Teguh Makmur"/>
    <m/>
    <s v="13 Apr 2022 – 12 Apr 2024"/>
    <s v="Knox Manage 2 Years"/>
    <s v="KLM09-USH5G-9YLDO-WFE6E-LWILH-MAGRB"/>
    <d v="2022-04-08T00:00:00"/>
    <n v="254545"/>
    <n v="5"/>
    <n v="1272725"/>
    <n v="275000"/>
    <n v="1375000"/>
  </r>
  <r>
    <n v="373"/>
    <s v="PD-22040079/001"/>
    <s v="PO-02/04-22/XX08"/>
    <x v="4"/>
    <s v="PT. Plambopratama Joyosantoso Ajibarang"/>
    <m/>
    <s v="13 Apr 2022 – 12 Apr 2024"/>
    <s v="Knox Manage 2 Years"/>
    <s v="KLM09-AAV7B-MMWIM-FEBLW-0Y69D-1UFMN"/>
    <d v="2022-04-08T00:00:00"/>
    <n v="254545"/>
    <n v="4"/>
    <n v="1018180"/>
    <n v="275000"/>
    <n v="1100000"/>
  </r>
  <r>
    <n v="374"/>
    <s v="PD-22040080/001"/>
    <s v="PO-02/04-22/XX08"/>
    <x v="4"/>
    <s v="PT. Bumi Jasa Utama"/>
    <m/>
    <s v="13 Apr 2022 – 12 Apr 2024"/>
    <s v="Knox Manage 2 Years"/>
    <s v="KLM09-UQDVT-DAK8P-ZFVP2-QKUJC-BK9A9"/>
    <d v="2022-04-08T00:00:00"/>
    <n v="254545"/>
    <n v="1"/>
    <n v="254545"/>
    <n v="275000"/>
    <n v="27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>
  <location ref="A3:B25" firstHeaderRow="1" firstDataRow="1" firstDataCol="1"/>
  <pivotFields count="15">
    <pivotField showAll="0"/>
    <pivotField showAll="0"/>
    <pivotField showAll="0"/>
    <pivotField axis="axisRow" dataField="1" showAll="0">
      <items count="23">
        <item x="17"/>
        <item x="0"/>
        <item x="13"/>
        <item x="5"/>
        <item x="9"/>
        <item m="1" x="21"/>
        <item x="8"/>
        <item x="1"/>
        <item x="4"/>
        <item x="18"/>
        <item x="11"/>
        <item x="15"/>
        <item x="16"/>
        <item x="10"/>
        <item x="14"/>
        <item x="20"/>
        <item x="3"/>
        <item x="2"/>
        <item x="19"/>
        <item x="12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2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Count of Reseller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fransisca.desyanti@faasri.com" TargetMode="External"/><Relationship Id="rId117" Type="http://schemas.openxmlformats.org/officeDocument/2006/relationships/hyperlink" Target="mailto:admin.mkt@sima.id" TargetMode="External"/><Relationship Id="rId21" Type="http://schemas.openxmlformats.org/officeDocument/2006/relationships/hyperlink" Target="mailto:fransisca.desyanti@faasri.com" TargetMode="External"/><Relationship Id="rId42" Type="http://schemas.openxmlformats.org/officeDocument/2006/relationships/hyperlink" Target="mailto:fransisca.desyanti@faasri.com" TargetMode="External"/><Relationship Id="rId47" Type="http://schemas.openxmlformats.org/officeDocument/2006/relationships/hyperlink" Target="mailto:fransisca.desyanti@faasri.com" TargetMode="External"/><Relationship Id="rId63" Type="http://schemas.openxmlformats.org/officeDocument/2006/relationships/hyperlink" Target="mailto:asrida.djuwita@gdnusantara.com" TargetMode="External"/><Relationship Id="rId68" Type="http://schemas.openxmlformats.org/officeDocument/2006/relationships/hyperlink" Target="mailto:asrida.djuwita@gdnusantara.com" TargetMode="External"/><Relationship Id="rId84" Type="http://schemas.openxmlformats.org/officeDocument/2006/relationships/hyperlink" Target="mailto:miftah.agustini@ioh.co.id" TargetMode="External"/><Relationship Id="rId89" Type="http://schemas.openxmlformats.org/officeDocument/2006/relationships/hyperlink" Target="mailto:frilla.triyanditama@gdn-commerce.com" TargetMode="External"/><Relationship Id="rId112" Type="http://schemas.openxmlformats.org/officeDocument/2006/relationships/hyperlink" Target="mailto:mohamad.cholil@circlekindonesia.com" TargetMode="External"/><Relationship Id="rId133" Type="http://schemas.openxmlformats.org/officeDocument/2006/relationships/hyperlink" Target="mailto:ratih.prabandari@akr.co.id" TargetMode="External"/><Relationship Id="rId138" Type="http://schemas.openxmlformats.org/officeDocument/2006/relationships/hyperlink" Target="mailto:fransisca.desyanti@faasri.com" TargetMode="External"/><Relationship Id="rId16" Type="http://schemas.openxmlformats.org/officeDocument/2006/relationships/hyperlink" Target="mailto:fransisca.desyanti@faasri.com" TargetMode="External"/><Relationship Id="rId107" Type="http://schemas.openxmlformats.org/officeDocument/2006/relationships/hyperlink" Target="mailto:asrida.djuwita@gdnusantara.com" TargetMode="External"/><Relationship Id="rId11" Type="http://schemas.openxmlformats.org/officeDocument/2006/relationships/hyperlink" Target="mailto:fransisca.desyanti@faasri.com" TargetMode="External"/><Relationship Id="rId32" Type="http://schemas.openxmlformats.org/officeDocument/2006/relationships/hyperlink" Target="mailto:fransisca.desyanti@faasri.com" TargetMode="External"/><Relationship Id="rId37" Type="http://schemas.openxmlformats.org/officeDocument/2006/relationships/hyperlink" Target="mailto:fransisca.desyanti@faasri.com" TargetMode="External"/><Relationship Id="rId53" Type="http://schemas.openxmlformats.org/officeDocument/2006/relationships/hyperlink" Target="mailto:asrida.djuwita@gdnusantara.com" TargetMode="External"/><Relationship Id="rId58" Type="http://schemas.openxmlformats.org/officeDocument/2006/relationships/hyperlink" Target="mailto:asrida.djuwita@gdnusantara.com" TargetMode="External"/><Relationship Id="rId74" Type="http://schemas.openxmlformats.org/officeDocument/2006/relationships/hyperlink" Target="mailto:susan@pancaputra.co.id" TargetMode="External"/><Relationship Id="rId79" Type="http://schemas.openxmlformats.org/officeDocument/2006/relationships/hyperlink" Target="mailto:made_indra@datascrip.co.id" TargetMode="External"/><Relationship Id="rId102" Type="http://schemas.openxmlformats.org/officeDocument/2006/relationships/hyperlink" Target="mailto:siska@bhaktisolusindo.com" TargetMode="External"/><Relationship Id="rId123" Type="http://schemas.openxmlformats.org/officeDocument/2006/relationships/hyperlink" Target="mailto:Galih.b2b@buminet.co.id" TargetMode="External"/><Relationship Id="rId128" Type="http://schemas.openxmlformats.org/officeDocument/2006/relationships/hyperlink" Target="mailto:Marthen.elias@para-star.com" TargetMode="External"/><Relationship Id="rId5" Type="http://schemas.openxmlformats.org/officeDocument/2006/relationships/hyperlink" Target="mailto:fransisca.desyanti@faasri.com" TargetMode="External"/><Relationship Id="rId90" Type="http://schemas.openxmlformats.org/officeDocument/2006/relationships/hyperlink" Target="mailto:frilla.triyanditama@gdn-commerce.com" TargetMode="External"/><Relationship Id="rId95" Type="http://schemas.openxmlformats.org/officeDocument/2006/relationships/hyperlink" Target="mailto:frilla.triyanditama@gdn-commerce.com" TargetMode="External"/><Relationship Id="rId14" Type="http://schemas.openxmlformats.org/officeDocument/2006/relationships/hyperlink" Target="mailto:fransisca.desyanti@faasri.com" TargetMode="External"/><Relationship Id="rId22" Type="http://schemas.openxmlformats.org/officeDocument/2006/relationships/hyperlink" Target="mailto:fransisca.desyanti@faasri.com" TargetMode="External"/><Relationship Id="rId27" Type="http://schemas.openxmlformats.org/officeDocument/2006/relationships/hyperlink" Target="mailto:fransisca.desyanti@faasri.com" TargetMode="External"/><Relationship Id="rId30" Type="http://schemas.openxmlformats.org/officeDocument/2006/relationships/hyperlink" Target="mailto:fransisca.desyanti@faasri.com" TargetMode="External"/><Relationship Id="rId35" Type="http://schemas.openxmlformats.org/officeDocument/2006/relationships/hyperlink" Target="mailto:fransisca.desyanti@faasri.com" TargetMode="External"/><Relationship Id="rId43" Type="http://schemas.openxmlformats.org/officeDocument/2006/relationships/hyperlink" Target="mailto:fransisca.desyanti@faasri.com" TargetMode="External"/><Relationship Id="rId48" Type="http://schemas.openxmlformats.org/officeDocument/2006/relationships/hyperlink" Target="mailto:asrida.djuwita@gdnusantara.com" TargetMode="External"/><Relationship Id="rId56" Type="http://schemas.openxmlformats.org/officeDocument/2006/relationships/hyperlink" Target="mailto:asrida.djuwita@gdnusantara.com" TargetMode="External"/><Relationship Id="rId64" Type="http://schemas.openxmlformats.org/officeDocument/2006/relationships/hyperlink" Target="mailto:asrida.djuwita@gdnusantara.com" TargetMode="External"/><Relationship Id="rId69" Type="http://schemas.openxmlformats.org/officeDocument/2006/relationships/hyperlink" Target="mailto:asrida.djuwita@gdnusantara.com" TargetMode="External"/><Relationship Id="rId77" Type="http://schemas.openxmlformats.org/officeDocument/2006/relationships/hyperlink" Target="mailto:made_indra@datascrip.co.id" TargetMode="External"/><Relationship Id="rId100" Type="http://schemas.openxmlformats.org/officeDocument/2006/relationships/hyperlink" Target="mailto:siska@bhaktisolusindo.com" TargetMode="External"/><Relationship Id="rId105" Type="http://schemas.openxmlformats.org/officeDocument/2006/relationships/hyperlink" Target="mailto:asrida.djuwita@gdnusantara.com" TargetMode="External"/><Relationship Id="rId113" Type="http://schemas.openxmlformats.org/officeDocument/2006/relationships/hyperlink" Target="mailto:mohamad.cholil@circlekindonesia.com" TargetMode="External"/><Relationship Id="rId118" Type="http://schemas.openxmlformats.org/officeDocument/2006/relationships/hyperlink" Target="mailto:rudi@central.id" TargetMode="External"/><Relationship Id="rId126" Type="http://schemas.openxmlformats.org/officeDocument/2006/relationships/hyperlink" Target="mailto:zulakhyar90@gmail.com" TargetMode="External"/><Relationship Id="rId134" Type="http://schemas.openxmlformats.org/officeDocument/2006/relationships/hyperlink" Target="mailto:ratih.prabandari@akr.co.id" TargetMode="External"/><Relationship Id="rId8" Type="http://schemas.openxmlformats.org/officeDocument/2006/relationships/hyperlink" Target="mailto:fransisca.desyanti@faasri.com" TargetMode="External"/><Relationship Id="rId51" Type="http://schemas.openxmlformats.org/officeDocument/2006/relationships/hyperlink" Target="mailto:asrida.djuwita@gdnusantara.com" TargetMode="External"/><Relationship Id="rId72" Type="http://schemas.openxmlformats.org/officeDocument/2006/relationships/hyperlink" Target="mailto:susan@pancaputra.co.id" TargetMode="External"/><Relationship Id="rId80" Type="http://schemas.openxmlformats.org/officeDocument/2006/relationships/hyperlink" Target="mailto:made_indra@datascrip.co.id" TargetMode="External"/><Relationship Id="rId85" Type="http://schemas.openxmlformats.org/officeDocument/2006/relationships/hyperlink" Target="mailto:miftah.agustini@ioh.co.id" TargetMode="External"/><Relationship Id="rId93" Type="http://schemas.openxmlformats.org/officeDocument/2006/relationships/hyperlink" Target="mailto:frilla.triyanditama@gdn-commerce.com" TargetMode="External"/><Relationship Id="rId98" Type="http://schemas.openxmlformats.org/officeDocument/2006/relationships/hyperlink" Target="mailto:siska@bhaktisolusindo.com" TargetMode="External"/><Relationship Id="rId121" Type="http://schemas.openxmlformats.org/officeDocument/2006/relationships/hyperlink" Target="mailto:intan.raharni@obf.id" TargetMode="External"/><Relationship Id="rId3" Type="http://schemas.openxmlformats.org/officeDocument/2006/relationships/hyperlink" Target="mailto:fransisca.desyanti@faasri.com" TargetMode="External"/><Relationship Id="rId12" Type="http://schemas.openxmlformats.org/officeDocument/2006/relationships/hyperlink" Target="mailto:fransisca.desyanti@faasri.com" TargetMode="External"/><Relationship Id="rId17" Type="http://schemas.openxmlformats.org/officeDocument/2006/relationships/hyperlink" Target="mailto:fransisca.desyanti@faasri.com" TargetMode="External"/><Relationship Id="rId25" Type="http://schemas.openxmlformats.org/officeDocument/2006/relationships/hyperlink" Target="mailto:fransisca.desyanti@faasri.com" TargetMode="External"/><Relationship Id="rId33" Type="http://schemas.openxmlformats.org/officeDocument/2006/relationships/hyperlink" Target="mailto:fransisca.desyanti@faasri.com" TargetMode="External"/><Relationship Id="rId38" Type="http://schemas.openxmlformats.org/officeDocument/2006/relationships/hyperlink" Target="mailto:fransisca.desyanti@faasri.com" TargetMode="External"/><Relationship Id="rId46" Type="http://schemas.openxmlformats.org/officeDocument/2006/relationships/hyperlink" Target="mailto:fransisca.desyanti@faasri.com" TargetMode="External"/><Relationship Id="rId59" Type="http://schemas.openxmlformats.org/officeDocument/2006/relationships/hyperlink" Target="mailto:asrida.djuwita@gdnusantara.com" TargetMode="External"/><Relationship Id="rId67" Type="http://schemas.openxmlformats.org/officeDocument/2006/relationships/hyperlink" Target="mailto:asrida.djuwita@gdnusantara.com" TargetMode="External"/><Relationship Id="rId103" Type="http://schemas.openxmlformats.org/officeDocument/2006/relationships/hyperlink" Target="mailto:siska@bhaktisolusindo.com" TargetMode="External"/><Relationship Id="rId108" Type="http://schemas.openxmlformats.org/officeDocument/2006/relationships/hyperlink" Target="mailto:frilla.triyanditama@gdn-commerce.com" TargetMode="External"/><Relationship Id="rId116" Type="http://schemas.openxmlformats.org/officeDocument/2006/relationships/hyperlink" Target="mailto:admin.mkt@sima.id" TargetMode="External"/><Relationship Id="rId124" Type="http://schemas.openxmlformats.org/officeDocument/2006/relationships/hyperlink" Target="mailto:Galih.b2b@buminet.co.id" TargetMode="External"/><Relationship Id="rId129" Type="http://schemas.openxmlformats.org/officeDocument/2006/relationships/hyperlink" Target="mailto:Marthen.elias@para-star.com" TargetMode="External"/><Relationship Id="rId137" Type="http://schemas.openxmlformats.org/officeDocument/2006/relationships/hyperlink" Target="mailto:fransisca.desyanti@faasri.com" TargetMode="External"/><Relationship Id="rId20" Type="http://schemas.openxmlformats.org/officeDocument/2006/relationships/hyperlink" Target="mailto:fransisca.desyanti@faasri.com" TargetMode="External"/><Relationship Id="rId41" Type="http://schemas.openxmlformats.org/officeDocument/2006/relationships/hyperlink" Target="mailto:fransisca.desyanti@faasri.com" TargetMode="External"/><Relationship Id="rId54" Type="http://schemas.openxmlformats.org/officeDocument/2006/relationships/hyperlink" Target="mailto:asrida.djuwita@gdnusantara.com" TargetMode="External"/><Relationship Id="rId62" Type="http://schemas.openxmlformats.org/officeDocument/2006/relationships/hyperlink" Target="mailto:asrida.djuwita@gdnusantara.com" TargetMode="External"/><Relationship Id="rId70" Type="http://schemas.openxmlformats.org/officeDocument/2006/relationships/hyperlink" Target="mailto:asrida.djuwita@gdnusantara.com" TargetMode="External"/><Relationship Id="rId75" Type="http://schemas.openxmlformats.org/officeDocument/2006/relationships/hyperlink" Target="mailto:susan@pancaputra.co.id" TargetMode="External"/><Relationship Id="rId83" Type="http://schemas.openxmlformats.org/officeDocument/2006/relationships/hyperlink" Target="mailto:miftah.agustini@ioh.co.id" TargetMode="External"/><Relationship Id="rId88" Type="http://schemas.openxmlformats.org/officeDocument/2006/relationships/hyperlink" Target="mailto:frilla.triyanditama@gdn-commerce.com" TargetMode="External"/><Relationship Id="rId91" Type="http://schemas.openxmlformats.org/officeDocument/2006/relationships/hyperlink" Target="mailto:frilla.triyanditama@gdn-commerce.com" TargetMode="External"/><Relationship Id="rId96" Type="http://schemas.openxmlformats.org/officeDocument/2006/relationships/hyperlink" Target="mailto:frilla.triyanditama@gdn-commerce.com" TargetMode="External"/><Relationship Id="rId111" Type="http://schemas.openxmlformats.org/officeDocument/2006/relationships/hyperlink" Target="mailto:mohamad.cholil@circlekindonesia.com" TargetMode="External"/><Relationship Id="rId132" Type="http://schemas.openxmlformats.org/officeDocument/2006/relationships/hyperlink" Target="mailto:Galih.b2b@buminet.co.id" TargetMode="External"/><Relationship Id="rId1" Type="http://schemas.openxmlformats.org/officeDocument/2006/relationships/hyperlink" Target="mailto:fransisca.desyanti@faasri.com" TargetMode="External"/><Relationship Id="rId6" Type="http://schemas.openxmlformats.org/officeDocument/2006/relationships/hyperlink" Target="mailto:fransisca.desyanti@faasri.com" TargetMode="External"/><Relationship Id="rId15" Type="http://schemas.openxmlformats.org/officeDocument/2006/relationships/hyperlink" Target="mailto:fransisca.desyanti@faasri.com" TargetMode="External"/><Relationship Id="rId23" Type="http://schemas.openxmlformats.org/officeDocument/2006/relationships/hyperlink" Target="mailto:fransisca.desyanti@faasri.com" TargetMode="External"/><Relationship Id="rId28" Type="http://schemas.openxmlformats.org/officeDocument/2006/relationships/hyperlink" Target="mailto:fransisca.desyanti@faasri.com" TargetMode="External"/><Relationship Id="rId36" Type="http://schemas.openxmlformats.org/officeDocument/2006/relationships/hyperlink" Target="mailto:fransisca.desyanti@faasri.com" TargetMode="External"/><Relationship Id="rId49" Type="http://schemas.openxmlformats.org/officeDocument/2006/relationships/hyperlink" Target="mailto:asrida.djuwita@gdnusantara.com" TargetMode="External"/><Relationship Id="rId57" Type="http://schemas.openxmlformats.org/officeDocument/2006/relationships/hyperlink" Target="mailto:asrida.djuwita@gdnusantara.com" TargetMode="External"/><Relationship Id="rId106" Type="http://schemas.openxmlformats.org/officeDocument/2006/relationships/hyperlink" Target="mailto:asrida.djuwita@gdnusantara.com" TargetMode="External"/><Relationship Id="rId114" Type="http://schemas.openxmlformats.org/officeDocument/2006/relationships/hyperlink" Target="mailto:mohamad.cholil@circlekindonesia.com" TargetMode="External"/><Relationship Id="rId119" Type="http://schemas.openxmlformats.org/officeDocument/2006/relationships/hyperlink" Target="mailto:rudi@central.id" TargetMode="External"/><Relationship Id="rId127" Type="http://schemas.openxmlformats.org/officeDocument/2006/relationships/hyperlink" Target="mailto:siera@matautama.com" TargetMode="External"/><Relationship Id="rId10" Type="http://schemas.openxmlformats.org/officeDocument/2006/relationships/hyperlink" Target="mailto:fransisca.desyanti@faasri.com" TargetMode="External"/><Relationship Id="rId31" Type="http://schemas.openxmlformats.org/officeDocument/2006/relationships/hyperlink" Target="mailto:fransisca.desyanti@faasri.com" TargetMode="External"/><Relationship Id="rId44" Type="http://schemas.openxmlformats.org/officeDocument/2006/relationships/hyperlink" Target="mailto:fransisca.desyanti@faasri.com" TargetMode="External"/><Relationship Id="rId52" Type="http://schemas.openxmlformats.org/officeDocument/2006/relationships/hyperlink" Target="mailto:asrida.djuwita@gdnusantara.com" TargetMode="External"/><Relationship Id="rId60" Type="http://schemas.openxmlformats.org/officeDocument/2006/relationships/hyperlink" Target="mailto:asrida.djuwita@gdnusantara.com" TargetMode="External"/><Relationship Id="rId65" Type="http://schemas.openxmlformats.org/officeDocument/2006/relationships/hyperlink" Target="mailto:asrida.djuwita@gdnusantara.com" TargetMode="External"/><Relationship Id="rId73" Type="http://schemas.openxmlformats.org/officeDocument/2006/relationships/hyperlink" Target="mailto:susan@pancaputra.co.id" TargetMode="External"/><Relationship Id="rId78" Type="http://schemas.openxmlformats.org/officeDocument/2006/relationships/hyperlink" Target="mailto:made_indra@datascrip.co.id" TargetMode="External"/><Relationship Id="rId81" Type="http://schemas.openxmlformats.org/officeDocument/2006/relationships/hyperlink" Target="mailto:made_indra@datascrip.co.id" TargetMode="External"/><Relationship Id="rId86" Type="http://schemas.openxmlformats.org/officeDocument/2006/relationships/hyperlink" Target="mailto:miftah.agustini@ioh.co.id" TargetMode="External"/><Relationship Id="rId94" Type="http://schemas.openxmlformats.org/officeDocument/2006/relationships/hyperlink" Target="mailto:frilla.triyanditama@gdn-commerce.com" TargetMode="External"/><Relationship Id="rId99" Type="http://schemas.openxmlformats.org/officeDocument/2006/relationships/hyperlink" Target="mailto:siska@bhaktisolusindo.com" TargetMode="External"/><Relationship Id="rId101" Type="http://schemas.openxmlformats.org/officeDocument/2006/relationships/hyperlink" Target="mailto:siska@bhaktisolusindo.com" TargetMode="External"/><Relationship Id="rId122" Type="http://schemas.openxmlformats.org/officeDocument/2006/relationships/hyperlink" Target="mailto:Galih.b2b@buminet.co.id" TargetMode="External"/><Relationship Id="rId130" Type="http://schemas.openxmlformats.org/officeDocument/2006/relationships/hyperlink" Target="mailto:Marthen.elias@para-star.com" TargetMode="External"/><Relationship Id="rId135" Type="http://schemas.openxmlformats.org/officeDocument/2006/relationships/hyperlink" Target="mailto:Galih.b2b@buminet.co.id" TargetMode="External"/><Relationship Id="rId4" Type="http://schemas.openxmlformats.org/officeDocument/2006/relationships/hyperlink" Target="mailto:fransisca.desyanti@faasri.com" TargetMode="External"/><Relationship Id="rId9" Type="http://schemas.openxmlformats.org/officeDocument/2006/relationships/hyperlink" Target="mailto:fransisca.desyanti@faasri.com" TargetMode="External"/><Relationship Id="rId13" Type="http://schemas.openxmlformats.org/officeDocument/2006/relationships/hyperlink" Target="mailto:fransisca.desyanti@faasri.com" TargetMode="External"/><Relationship Id="rId18" Type="http://schemas.openxmlformats.org/officeDocument/2006/relationships/hyperlink" Target="mailto:fransisca.desyanti@faasri.com" TargetMode="External"/><Relationship Id="rId39" Type="http://schemas.openxmlformats.org/officeDocument/2006/relationships/hyperlink" Target="mailto:fransisca.desyanti@faasri.com" TargetMode="External"/><Relationship Id="rId109" Type="http://schemas.openxmlformats.org/officeDocument/2006/relationships/hyperlink" Target="mailto:mohamad.cholil@circlekindonesia.com" TargetMode="External"/><Relationship Id="rId34" Type="http://schemas.openxmlformats.org/officeDocument/2006/relationships/hyperlink" Target="mailto:fransisca.desyanti@faasri.com" TargetMode="External"/><Relationship Id="rId50" Type="http://schemas.openxmlformats.org/officeDocument/2006/relationships/hyperlink" Target="mailto:asrida.djuwita@gdnusantara.com" TargetMode="External"/><Relationship Id="rId55" Type="http://schemas.openxmlformats.org/officeDocument/2006/relationships/hyperlink" Target="mailto:asrida.djuwita@gdnusantara.com" TargetMode="External"/><Relationship Id="rId76" Type="http://schemas.openxmlformats.org/officeDocument/2006/relationships/hyperlink" Target="mailto:made_indra@datascrip.co.id" TargetMode="External"/><Relationship Id="rId97" Type="http://schemas.openxmlformats.org/officeDocument/2006/relationships/hyperlink" Target="mailto:frilla.triyanditama@gdn-commerce.com" TargetMode="External"/><Relationship Id="rId104" Type="http://schemas.openxmlformats.org/officeDocument/2006/relationships/hyperlink" Target="mailto:miftah.agustini@ioh.co.id" TargetMode="External"/><Relationship Id="rId120" Type="http://schemas.openxmlformats.org/officeDocument/2006/relationships/hyperlink" Target="mailto:cecep.gaos@gmail.com" TargetMode="External"/><Relationship Id="rId125" Type="http://schemas.openxmlformats.org/officeDocument/2006/relationships/hyperlink" Target="mailto:pt.buka@gmail.com" TargetMode="External"/><Relationship Id="rId7" Type="http://schemas.openxmlformats.org/officeDocument/2006/relationships/hyperlink" Target="mailto:fransisca.desyanti@faasri.com" TargetMode="External"/><Relationship Id="rId71" Type="http://schemas.openxmlformats.org/officeDocument/2006/relationships/hyperlink" Target="mailto:asrida.djuwita@gdnusantara.com" TargetMode="External"/><Relationship Id="rId92" Type="http://schemas.openxmlformats.org/officeDocument/2006/relationships/hyperlink" Target="mailto:frilla.triyanditama@gdn-commerce.com" TargetMode="External"/><Relationship Id="rId2" Type="http://schemas.openxmlformats.org/officeDocument/2006/relationships/hyperlink" Target="mailto:fransisca.desyanti@faasri.com" TargetMode="External"/><Relationship Id="rId29" Type="http://schemas.openxmlformats.org/officeDocument/2006/relationships/hyperlink" Target="mailto:fransisca.desyanti@faasri.com" TargetMode="External"/><Relationship Id="rId24" Type="http://schemas.openxmlformats.org/officeDocument/2006/relationships/hyperlink" Target="mailto:fransisca.desyanti@faasri.com" TargetMode="External"/><Relationship Id="rId40" Type="http://schemas.openxmlformats.org/officeDocument/2006/relationships/hyperlink" Target="mailto:fransisca.desyanti@faasri.com" TargetMode="External"/><Relationship Id="rId45" Type="http://schemas.openxmlformats.org/officeDocument/2006/relationships/hyperlink" Target="mailto:fransisca.desyanti@faasri.com" TargetMode="External"/><Relationship Id="rId66" Type="http://schemas.openxmlformats.org/officeDocument/2006/relationships/hyperlink" Target="mailto:asrida.djuwita@gdnusantara.com" TargetMode="External"/><Relationship Id="rId87" Type="http://schemas.openxmlformats.org/officeDocument/2006/relationships/hyperlink" Target="mailto:miftah.agustini@ioh.co.id" TargetMode="External"/><Relationship Id="rId110" Type="http://schemas.openxmlformats.org/officeDocument/2006/relationships/hyperlink" Target="mailto:mohamad.cholil@circlekindonesia.com" TargetMode="External"/><Relationship Id="rId115" Type="http://schemas.openxmlformats.org/officeDocument/2006/relationships/hyperlink" Target="mailto:mohamad.cholil@circlekindonesia.com" TargetMode="External"/><Relationship Id="rId131" Type="http://schemas.openxmlformats.org/officeDocument/2006/relationships/hyperlink" Target="mailto:Galih.b2b@buminet.co.id" TargetMode="External"/><Relationship Id="rId136" Type="http://schemas.openxmlformats.org/officeDocument/2006/relationships/hyperlink" Target="mailto:fannia.fellialnyoo@gdnusantara.com" TargetMode="External"/><Relationship Id="rId61" Type="http://schemas.openxmlformats.org/officeDocument/2006/relationships/hyperlink" Target="mailto:asrida.djuwita@gdnusantara.com" TargetMode="External"/><Relationship Id="rId82" Type="http://schemas.openxmlformats.org/officeDocument/2006/relationships/hyperlink" Target="mailto:miftah.agustini@ioh.co.id" TargetMode="External"/><Relationship Id="rId19" Type="http://schemas.openxmlformats.org/officeDocument/2006/relationships/hyperlink" Target="mailto:fransisca.desyanti@faasri.com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mailto:fransisca.desyanti@faasri.com" TargetMode="External"/><Relationship Id="rId117" Type="http://schemas.openxmlformats.org/officeDocument/2006/relationships/hyperlink" Target="mailto:mohamad.cholil@circlekindonesia.com" TargetMode="External"/><Relationship Id="rId21" Type="http://schemas.openxmlformats.org/officeDocument/2006/relationships/hyperlink" Target="mailto:fransisca.desyanti@faasri.com" TargetMode="External"/><Relationship Id="rId42" Type="http://schemas.openxmlformats.org/officeDocument/2006/relationships/hyperlink" Target="mailto:fransisca.desyanti@faasri.com" TargetMode="External"/><Relationship Id="rId47" Type="http://schemas.openxmlformats.org/officeDocument/2006/relationships/hyperlink" Target="mailto:fransisca.desyanti@faasri.com" TargetMode="External"/><Relationship Id="rId63" Type="http://schemas.openxmlformats.org/officeDocument/2006/relationships/hyperlink" Target="mailto:asrida.djuwita@gdnusantara.com" TargetMode="External"/><Relationship Id="rId68" Type="http://schemas.openxmlformats.org/officeDocument/2006/relationships/hyperlink" Target="mailto:asrida.djuwita@gdnusantara.com" TargetMode="External"/><Relationship Id="rId84" Type="http://schemas.openxmlformats.org/officeDocument/2006/relationships/hyperlink" Target="mailto:miftah.agustini@ioh.co.id" TargetMode="External"/><Relationship Id="rId89" Type="http://schemas.openxmlformats.org/officeDocument/2006/relationships/hyperlink" Target="mailto:frilla.triyanditama@gdn-commerce.com" TargetMode="External"/><Relationship Id="rId112" Type="http://schemas.openxmlformats.org/officeDocument/2006/relationships/hyperlink" Target="mailto:mohamad.cholil@circlekindonesia.com" TargetMode="External"/><Relationship Id="rId133" Type="http://schemas.openxmlformats.org/officeDocument/2006/relationships/hyperlink" Target="mailto:Galih.b2b@buminet.co.id" TargetMode="External"/><Relationship Id="rId138" Type="http://schemas.openxmlformats.org/officeDocument/2006/relationships/hyperlink" Target="mailto:fannia.fellialnyoo@gdnusantara.com" TargetMode="External"/><Relationship Id="rId16" Type="http://schemas.openxmlformats.org/officeDocument/2006/relationships/hyperlink" Target="mailto:fransisca.desyanti@faasri.com" TargetMode="External"/><Relationship Id="rId107" Type="http://schemas.openxmlformats.org/officeDocument/2006/relationships/hyperlink" Target="mailto:asrida.djuwita@gdnusantara.com" TargetMode="External"/><Relationship Id="rId11" Type="http://schemas.openxmlformats.org/officeDocument/2006/relationships/hyperlink" Target="mailto:fransisca.desyanti@faasri.com" TargetMode="External"/><Relationship Id="rId32" Type="http://schemas.openxmlformats.org/officeDocument/2006/relationships/hyperlink" Target="mailto:fransisca.desyanti@faasri.com" TargetMode="External"/><Relationship Id="rId37" Type="http://schemas.openxmlformats.org/officeDocument/2006/relationships/hyperlink" Target="mailto:fransisca.desyanti@faasri.com" TargetMode="External"/><Relationship Id="rId53" Type="http://schemas.openxmlformats.org/officeDocument/2006/relationships/hyperlink" Target="mailto:asrida.djuwita@gdnusantara.com" TargetMode="External"/><Relationship Id="rId58" Type="http://schemas.openxmlformats.org/officeDocument/2006/relationships/hyperlink" Target="mailto:asrida.djuwita@gdnusantara.com" TargetMode="External"/><Relationship Id="rId74" Type="http://schemas.openxmlformats.org/officeDocument/2006/relationships/hyperlink" Target="mailto:susan@pancaputra.co.id" TargetMode="External"/><Relationship Id="rId79" Type="http://schemas.openxmlformats.org/officeDocument/2006/relationships/hyperlink" Target="mailto:made_indra@datascrip.co.id" TargetMode="External"/><Relationship Id="rId102" Type="http://schemas.openxmlformats.org/officeDocument/2006/relationships/hyperlink" Target="mailto:siska@bhaktisolusindo.com" TargetMode="External"/><Relationship Id="rId123" Type="http://schemas.openxmlformats.org/officeDocument/2006/relationships/hyperlink" Target="mailto:intan.raharni@obf.id" TargetMode="External"/><Relationship Id="rId128" Type="http://schemas.openxmlformats.org/officeDocument/2006/relationships/hyperlink" Target="mailto:zulakhyar90@gmail.com" TargetMode="External"/><Relationship Id="rId5" Type="http://schemas.openxmlformats.org/officeDocument/2006/relationships/hyperlink" Target="mailto:fransisca.desyanti@faasri.com" TargetMode="External"/><Relationship Id="rId90" Type="http://schemas.openxmlformats.org/officeDocument/2006/relationships/hyperlink" Target="mailto:frilla.triyanditama@gdn-commerce.com" TargetMode="External"/><Relationship Id="rId95" Type="http://schemas.openxmlformats.org/officeDocument/2006/relationships/hyperlink" Target="mailto:frilla.triyanditama@gdn-commerce.com" TargetMode="External"/><Relationship Id="rId22" Type="http://schemas.openxmlformats.org/officeDocument/2006/relationships/hyperlink" Target="mailto:fransisca.desyanti@faasri.com" TargetMode="External"/><Relationship Id="rId27" Type="http://schemas.openxmlformats.org/officeDocument/2006/relationships/hyperlink" Target="mailto:fransisca.desyanti@faasri.com" TargetMode="External"/><Relationship Id="rId43" Type="http://schemas.openxmlformats.org/officeDocument/2006/relationships/hyperlink" Target="mailto:fransisca.desyanti@faasri.com" TargetMode="External"/><Relationship Id="rId48" Type="http://schemas.openxmlformats.org/officeDocument/2006/relationships/hyperlink" Target="mailto:fransisca.desyanti@faasri.com" TargetMode="External"/><Relationship Id="rId64" Type="http://schemas.openxmlformats.org/officeDocument/2006/relationships/hyperlink" Target="mailto:asrida.djuwita@gdnusantara.com" TargetMode="External"/><Relationship Id="rId69" Type="http://schemas.openxmlformats.org/officeDocument/2006/relationships/hyperlink" Target="mailto:asrida.djuwita@gdnusantara.com" TargetMode="External"/><Relationship Id="rId113" Type="http://schemas.openxmlformats.org/officeDocument/2006/relationships/hyperlink" Target="mailto:mohamad.cholil@circlekindonesia.com" TargetMode="External"/><Relationship Id="rId118" Type="http://schemas.openxmlformats.org/officeDocument/2006/relationships/hyperlink" Target="mailto:admin.mkt@sima.id" TargetMode="External"/><Relationship Id="rId134" Type="http://schemas.openxmlformats.org/officeDocument/2006/relationships/hyperlink" Target="mailto:Galih.b2b@buminet.co.id" TargetMode="External"/><Relationship Id="rId139" Type="http://schemas.openxmlformats.org/officeDocument/2006/relationships/hyperlink" Target="mailto:hadi.gunawan@bintangmahameruutama.com" TargetMode="External"/><Relationship Id="rId8" Type="http://schemas.openxmlformats.org/officeDocument/2006/relationships/hyperlink" Target="mailto:fransisca.desyanti@faasri.com" TargetMode="External"/><Relationship Id="rId51" Type="http://schemas.openxmlformats.org/officeDocument/2006/relationships/hyperlink" Target="mailto:asrida.djuwita@gdnusantara.com" TargetMode="External"/><Relationship Id="rId72" Type="http://schemas.openxmlformats.org/officeDocument/2006/relationships/hyperlink" Target="mailto:asrida.djuwita@gdnusantara.com" TargetMode="External"/><Relationship Id="rId80" Type="http://schemas.openxmlformats.org/officeDocument/2006/relationships/hyperlink" Target="mailto:made_indra@datascrip.co.id" TargetMode="External"/><Relationship Id="rId85" Type="http://schemas.openxmlformats.org/officeDocument/2006/relationships/hyperlink" Target="mailto:miftah.agustini@ioh.co.id" TargetMode="External"/><Relationship Id="rId93" Type="http://schemas.openxmlformats.org/officeDocument/2006/relationships/hyperlink" Target="mailto:frilla.triyanditama@gdn-commerce.com" TargetMode="External"/><Relationship Id="rId98" Type="http://schemas.openxmlformats.org/officeDocument/2006/relationships/hyperlink" Target="mailto:frilla.triyanditama@gdn-commerce.com" TargetMode="External"/><Relationship Id="rId121" Type="http://schemas.openxmlformats.org/officeDocument/2006/relationships/hyperlink" Target="mailto:rudi@central.id" TargetMode="External"/><Relationship Id="rId3" Type="http://schemas.openxmlformats.org/officeDocument/2006/relationships/hyperlink" Target="mailto:fransisca.desyanti@faasri.com" TargetMode="External"/><Relationship Id="rId12" Type="http://schemas.openxmlformats.org/officeDocument/2006/relationships/hyperlink" Target="mailto:fransisca.desyanti@faasri.com" TargetMode="External"/><Relationship Id="rId17" Type="http://schemas.openxmlformats.org/officeDocument/2006/relationships/hyperlink" Target="mailto:fransisca.desyanti@faasri.com" TargetMode="External"/><Relationship Id="rId25" Type="http://schemas.openxmlformats.org/officeDocument/2006/relationships/hyperlink" Target="mailto:fransisca.desyanti@faasri.com" TargetMode="External"/><Relationship Id="rId33" Type="http://schemas.openxmlformats.org/officeDocument/2006/relationships/hyperlink" Target="mailto:fransisca.desyanti@faasri.com" TargetMode="External"/><Relationship Id="rId38" Type="http://schemas.openxmlformats.org/officeDocument/2006/relationships/hyperlink" Target="mailto:fransisca.desyanti@faasri.com" TargetMode="External"/><Relationship Id="rId46" Type="http://schemas.openxmlformats.org/officeDocument/2006/relationships/hyperlink" Target="mailto:fransisca.desyanti@faasri.com" TargetMode="External"/><Relationship Id="rId59" Type="http://schemas.openxmlformats.org/officeDocument/2006/relationships/hyperlink" Target="mailto:asrida.djuwita@gdnusantara.com" TargetMode="External"/><Relationship Id="rId67" Type="http://schemas.openxmlformats.org/officeDocument/2006/relationships/hyperlink" Target="mailto:asrida.djuwita@gdnusantara.com" TargetMode="External"/><Relationship Id="rId103" Type="http://schemas.openxmlformats.org/officeDocument/2006/relationships/hyperlink" Target="mailto:siska@bhaktisolusindo.com" TargetMode="External"/><Relationship Id="rId108" Type="http://schemas.openxmlformats.org/officeDocument/2006/relationships/hyperlink" Target="mailto:asrida.djuwita@gdnusantara.com" TargetMode="External"/><Relationship Id="rId116" Type="http://schemas.openxmlformats.org/officeDocument/2006/relationships/hyperlink" Target="mailto:mohamad.cholil@circlekindonesia.com" TargetMode="External"/><Relationship Id="rId124" Type="http://schemas.openxmlformats.org/officeDocument/2006/relationships/hyperlink" Target="mailto:Galih.b2b@buminet.co.id" TargetMode="External"/><Relationship Id="rId129" Type="http://schemas.openxmlformats.org/officeDocument/2006/relationships/hyperlink" Target="mailto:siera@matautama.com" TargetMode="External"/><Relationship Id="rId137" Type="http://schemas.openxmlformats.org/officeDocument/2006/relationships/hyperlink" Target="mailto:Galih.b2b@buminet.co.id" TargetMode="External"/><Relationship Id="rId20" Type="http://schemas.openxmlformats.org/officeDocument/2006/relationships/hyperlink" Target="mailto:fransisca.desyanti@faasri.com" TargetMode="External"/><Relationship Id="rId41" Type="http://schemas.openxmlformats.org/officeDocument/2006/relationships/hyperlink" Target="mailto:fransisca.desyanti@faasri.com" TargetMode="External"/><Relationship Id="rId54" Type="http://schemas.openxmlformats.org/officeDocument/2006/relationships/hyperlink" Target="mailto:asrida.djuwita@gdnusantara.com" TargetMode="External"/><Relationship Id="rId62" Type="http://schemas.openxmlformats.org/officeDocument/2006/relationships/hyperlink" Target="mailto:asrida.djuwita@gdnusantara.com" TargetMode="External"/><Relationship Id="rId70" Type="http://schemas.openxmlformats.org/officeDocument/2006/relationships/hyperlink" Target="mailto:asrida.djuwita@gdnusantara.com" TargetMode="External"/><Relationship Id="rId75" Type="http://schemas.openxmlformats.org/officeDocument/2006/relationships/hyperlink" Target="mailto:susan@pancaputra.co.id" TargetMode="External"/><Relationship Id="rId83" Type="http://schemas.openxmlformats.org/officeDocument/2006/relationships/hyperlink" Target="mailto:miftah.agustini@ioh.co.id" TargetMode="External"/><Relationship Id="rId88" Type="http://schemas.openxmlformats.org/officeDocument/2006/relationships/hyperlink" Target="mailto:miftah.agustini@ioh.co.id" TargetMode="External"/><Relationship Id="rId91" Type="http://schemas.openxmlformats.org/officeDocument/2006/relationships/hyperlink" Target="mailto:frilla.triyanditama@gdn-commerce.com" TargetMode="External"/><Relationship Id="rId96" Type="http://schemas.openxmlformats.org/officeDocument/2006/relationships/hyperlink" Target="mailto:frilla.triyanditama@gdn-commerce.com" TargetMode="External"/><Relationship Id="rId111" Type="http://schemas.openxmlformats.org/officeDocument/2006/relationships/hyperlink" Target="mailto:mohamad.cholil@circlekindonesia.com" TargetMode="External"/><Relationship Id="rId132" Type="http://schemas.openxmlformats.org/officeDocument/2006/relationships/hyperlink" Target="mailto:Marthen.elias@para-star.com" TargetMode="External"/><Relationship Id="rId140" Type="http://schemas.openxmlformats.org/officeDocument/2006/relationships/hyperlink" Target="mailto:fransisca.desyanti@faasri.com" TargetMode="External"/><Relationship Id="rId1" Type="http://schemas.openxmlformats.org/officeDocument/2006/relationships/hyperlink" Target="mailto:fransisca.desyanti@faasri.com" TargetMode="External"/><Relationship Id="rId6" Type="http://schemas.openxmlformats.org/officeDocument/2006/relationships/hyperlink" Target="mailto:fransisca.desyanti@faasri.com" TargetMode="External"/><Relationship Id="rId15" Type="http://schemas.openxmlformats.org/officeDocument/2006/relationships/hyperlink" Target="mailto:fransisca.desyanti@faasri.com" TargetMode="External"/><Relationship Id="rId23" Type="http://schemas.openxmlformats.org/officeDocument/2006/relationships/hyperlink" Target="mailto:fransisca.desyanti@faasri.com" TargetMode="External"/><Relationship Id="rId28" Type="http://schemas.openxmlformats.org/officeDocument/2006/relationships/hyperlink" Target="mailto:fransisca.desyanti@faasri.com" TargetMode="External"/><Relationship Id="rId36" Type="http://schemas.openxmlformats.org/officeDocument/2006/relationships/hyperlink" Target="mailto:fransisca.desyanti@faasri.com" TargetMode="External"/><Relationship Id="rId49" Type="http://schemas.openxmlformats.org/officeDocument/2006/relationships/hyperlink" Target="mailto:asrida.djuwita@gdnusantara.com" TargetMode="External"/><Relationship Id="rId57" Type="http://schemas.openxmlformats.org/officeDocument/2006/relationships/hyperlink" Target="mailto:asrida.djuwita@gdnusantara.com" TargetMode="External"/><Relationship Id="rId106" Type="http://schemas.openxmlformats.org/officeDocument/2006/relationships/hyperlink" Target="mailto:asrida.djuwita@gdnusantara.com" TargetMode="External"/><Relationship Id="rId114" Type="http://schemas.openxmlformats.org/officeDocument/2006/relationships/hyperlink" Target="mailto:mohamad.cholil@circlekindonesia.com" TargetMode="External"/><Relationship Id="rId119" Type="http://schemas.openxmlformats.org/officeDocument/2006/relationships/hyperlink" Target="mailto:admin.mkt@sima.id" TargetMode="External"/><Relationship Id="rId127" Type="http://schemas.openxmlformats.org/officeDocument/2006/relationships/hyperlink" Target="mailto:pt.buka@gmail.com" TargetMode="External"/><Relationship Id="rId10" Type="http://schemas.openxmlformats.org/officeDocument/2006/relationships/hyperlink" Target="mailto:fransisca.desyanti@faasri.com" TargetMode="External"/><Relationship Id="rId31" Type="http://schemas.openxmlformats.org/officeDocument/2006/relationships/hyperlink" Target="mailto:fransisca.desyanti@faasri.com" TargetMode="External"/><Relationship Id="rId44" Type="http://schemas.openxmlformats.org/officeDocument/2006/relationships/hyperlink" Target="mailto:fransisca.desyanti@faasri.com" TargetMode="External"/><Relationship Id="rId52" Type="http://schemas.openxmlformats.org/officeDocument/2006/relationships/hyperlink" Target="mailto:asrida.djuwita@gdnusantara.com" TargetMode="External"/><Relationship Id="rId60" Type="http://schemas.openxmlformats.org/officeDocument/2006/relationships/hyperlink" Target="mailto:asrida.djuwita@gdnusantara.com" TargetMode="External"/><Relationship Id="rId65" Type="http://schemas.openxmlformats.org/officeDocument/2006/relationships/hyperlink" Target="mailto:asrida.djuwita@gdnusantara.com" TargetMode="External"/><Relationship Id="rId73" Type="http://schemas.openxmlformats.org/officeDocument/2006/relationships/hyperlink" Target="mailto:susan@pancaputra.co.id" TargetMode="External"/><Relationship Id="rId78" Type="http://schemas.openxmlformats.org/officeDocument/2006/relationships/hyperlink" Target="mailto:made_indra@datascrip.co.id" TargetMode="External"/><Relationship Id="rId81" Type="http://schemas.openxmlformats.org/officeDocument/2006/relationships/hyperlink" Target="mailto:made_indra@datascrip.co.id" TargetMode="External"/><Relationship Id="rId86" Type="http://schemas.openxmlformats.org/officeDocument/2006/relationships/hyperlink" Target="mailto:miftah.agustini@ioh.co.id" TargetMode="External"/><Relationship Id="rId94" Type="http://schemas.openxmlformats.org/officeDocument/2006/relationships/hyperlink" Target="mailto:frilla.triyanditama@gdn-commerce.com" TargetMode="External"/><Relationship Id="rId99" Type="http://schemas.openxmlformats.org/officeDocument/2006/relationships/hyperlink" Target="mailto:siska@bhaktisolusindo.com" TargetMode="External"/><Relationship Id="rId101" Type="http://schemas.openxmlformats.org/officeDocument/2006/relationships/hyperlink" Target="mailto:siska@bhaktisolusindo.com" TargetMode="External"/><Relationship Id="rId122" Type="http://schemas.openxmlformats.org/officeDocument/2006/relationships/hyperlink" Target="mailto:cecep.gaos@gmail.com" TargetMode="External"/><Relationship Id="rId130" Type="http://schemas.openxmlformats.org/officeDocument/2006/relationships/hyperlink" Target="mailto:Marthen.elias@para-star.com" TargetMode="External"/><Relationship Id="rId135" Type="http://schemas.openxmlformats.org/officeDocument/2006/relationships/hyperlink" Target="mailto:ratih.prabandari@akr.co.id" TargetMode="External"/><Relationship Id="rId4" Type="http://schemas.openxmlformats.org/officeDocument/2006/relationships/hyperlink" Target="mailto:fransisca.desyanti@faasri.com" TargetMode="External"/><Relationship Id="rId9" Type="http://schemas.openxmlformats.org/officeDocument/2006/relationships/hyperlink" Target="mailto:fransisca.desyanti@faasri.com" TargetMode="External"/><Relationship Id="rId13" Type="http://schemas.openxmlformats.org/officeDocument/2006/relationships/hyperlink" Target="mailto:fransisca.desyanti@faasri.com" TargetMode="External"/><Relationship Id="rId18" Type="http://schemas.openxmlformats.org/officeDocument/2006/relationships/hyperlink" Target="mailto:fransisca.desyanti@faasri.com" TargetMode="External"/><Relationship Id="rId39" Type="http://schemas.openxmlformats.org/officeDocument/2006/relationships/hyperlink" Target="mailto:fransisca.desyanti@faasri.com" TargetMode="External"/><Relationship Id="rId109" Type="http://schemas.openxmlformats.org/officeDocument/2006/relationships/hyperlink" Target="mailto:asrida.djuwita@gdnusantara.com" TargetMode="External"/><Relationship Id="rId34" Type="http://schemas.openxmlformats.org/officeDocument/2006/relationships/hyperlink" Target="mailto:fransisca.desyanti@faasri.com" TargetMode="External"/><Relationship Id="rId50" Type="http://schemas.openxmlformats.org/officeDocument/2006/relationships/hyperlink" Target="mailto:asrida.djuwita@gdnusantara.com" TargetMode="External"/><Relationship Id="rId55" Type="http://schemas.openxmlformats.org/officeDocument/2006/relationships/hyperlink" Target="mailto:asrida.djuwita@gdnusantara.com" TargetMode="External"/><Relationship Id="rId76" Type="http://schemas.openxmlformats.org/officeDocument/2006/relationships/hyperlink" Target="mailto:susan@pancaputra.co.id" TargetMode="External"/><Relationship Id="rId97" Type="http://schemas.openxmlformats.org/officeDocument/2006/relationships/hyperlink" Target="mailto:frilla.triyanditama@gdn-commerce.com" TargetMode="External"/><Relationship Id="rId104" Type="http://schemas.openxmlformats.org/officeDocument/2006/relationships/hyperlink" Target="mailto:siska@bhaktisolusindo.com" TargetMode="External"/><Relationship Id="rId120" Type="http://schemas.openxmlformats.org/officeDocument/2006/relationships/hyperlink" Target="mailto:rudi@central.id" TargetMode="External"/><Relationship Id="rId125" Type="http://schemas.openxmlformats.org/officeDocument/2006/relationships/hyperlink" Target="mailto:Galih.b2b@buminet.co.id" TargetMode="External"/><Relationship Id="rId141" Type="http://schemas.openxmlformats.org/officeDocument/2006/relationships/hyperlink" Target="mailto:fransisca.desyanti@faasri.com" TargetMode="External"/><Relationship Id="rId7" Type="http://schemas.openxmlformats.org/officeDocument/2006/relationships/hyperlink" Target="mailto:fransisca.desyanti@faasri.com" TargetMode="External"/><Relationship Id="rId71" Type="http://schemas.openxmlformats.org/officeDocument/2006/relationships/hyperlink" Target="mailto:asrida.djuwita@gdnusantara.com" TargetMode="External"/><Relationship Id="rId92" Type="http://schemas.openxmlformats.org/officeDocument/2006/relationships/hyperlink" Target="mailto:frilla.triyanditama@gdn-commerce.com" TargetMode="External"/><Relationship Id="rId2" Type="http://schemas.openxmlformats.org/officeDocument/2006/relationships/hyperlink" Target="mailto:fransisca.desyanti@faasri.com" TargetMode="External"/><Relationship Id="rId29" Type="http://schemas.openxmlformats.org/officeDocument/2006/relationships/hyperlink" Target="mailto:fransisca.desyanti@faasri.com" TargetMode="External"/><Relationship Id="rId24" Type="http://schemas.openxmlformats.org/officeDocument/2006/relationships/hyperlink" Target="mailto:fransisca.desyanti@faasri.com" TargetMode="External"/><Relationship Id="rId40" Type="http://schemas.openxmlformats.org/officeDocument/2006/relationships/hyperlink" Target="mailto:fransisca.desyanti@faasri.com" TargetMode="External"/><Relationship Id="rId45" Type="http://schemas.openxmlformats.org/officeDocument/2006/relationships/hyperlink" Target="mailto:fransisca.desyanti@faasri.com" TargetMode="External"/><Relationship Id="rId66" Type="http://schemas.openxmlformats.org/officeDocument/2006/relationships/hyperlink" Target="mailto:asrida.djuwita@gdnusantara.com" TargetMode="External"/><Relationship Id="rId87" Type="http://schemas.openxmlformats.org/officeDocument/2006/relationships/hyperlink" Target="mailto:miftah.agustini@ioh.co.id" TargetMode="External"/><Relationship Id="rId110" Type="http://schemas.openxmlformats.org/officeDocument/2006/relationships/hyperlink" Target="mailto:frilla.triyanditama@gdn-commerce.com" TargetMode="External"/><Relationship Id="rId115" Type="http://schemas.openxmlformats.org/officeDocument/2006/relationships/hyperlink" Target="mailto:mohamad.cholil@circlekindonesia.com" TargetMode="External"/><Relationship Id="rId131" Type="http://schemas.openxmlformats.org/officeDocument/2006/relationships/hyperlink" Target="mailto:Marthen.elias@para-star.com" TargetMode="External"/><Relationship Id="rId136" Type="http://schemas.openxmlformats.org/officeDocument/2006/relationships/hyperlink" Target="mailto:ratih.prabandari@akr.co.id" TargetMode="External"/><Relationship Id="rId61" Type="http://schemas.openxmlformats.org/officeDocument/2006/relationships/hyperlink" Target="mailto:asrida.djuwita@gdnusantara.com" TargetMode="External"/><Relationship Id="rId82" Type="http://schemas.openxmlformats.org/officeDocument/2006/relationships/hyperlink" Target="mailto:made_indra@datascrip.co.id" TargetMode="External"/><Relationship Id="rId19" Type="http://schemas.openxmlformats.org/officeDocument/2006/relationships/hyperlink" Target="mailto:fransisca.desyanti@faasri.com" TargetMode="External"/><Relationship Id="rId14" Type="http://schemas.openxmlformats.org/officeDocument/2006/relationships/hyperlink" Target="mailto:fransisca.desyanti@faasri.com" TargetMode="External"/><Relationship Id="rId30" Type="http://schemas.openxmlformats.org/officeDocument/2006/relationships/hyperlink" Target="mailto:fransisca.desyanti@faasri.com" TargetMode="External"/><Relationship Id="rId35" Type="http://schemas.openxmlformats.org/officeDocument/2006/relationships/hyperlink" Target="mailto:fransisca.desyanti@faasri.com" TargetMode="External"/><Relationship Id="rId56" Type="http://schemas.openxmlformats.org/officeDocument/2006/relationships/hyperlink" Target="mailto:asrida.djuwita@gdnusantara.com" TargetMode="External"/><Relationship Id="rId77" Type="http://schemas.openxmlformats.org/officeDocument/2006/relationships/hyperlink" Target="mailto:made_indra@datascrip.co.id" TargetMode="External"/><Relationship Id="rId100" Type="http://schemas.openxmlformats.org/officeDocument/2006/relationships/hyperlink" Target="mailto:siska@bhaktisolusindo.com" TargetMode="External"/><Relationship Id="rId105" Type="http://schemas.openxmlformats.org/officeDocument/2006/relationships/hyperlink" Target="mailto:miftah.agustini@ioh.co.id" TargetMode="External"/><Relationship Id="rId126" Type="http://schemas.openxmlformats.org/officeDocument/2006/relationships/hyperlink" Target="mailto:Galih.b2b@buminet.co.id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mailto:fransisca.desyanti@faasri.com" TargetMode="External"/><Relationship Id="rId117" Type="http://schemas.openxmlformats.org/officeDocument/2006/relationships/hyperlink" Target="mailto:mohamad.cholil@circlekindonesia.com" TargetMode="External"/><Relationship Id="rId21" Type="http://schemas.openxmlformats.org/officeDocument/2006/relationships/hyperlink" Target="mailto:fransisca.desyanti@faasri.com" TargetMode="External"/><Relationship Id="rId42" Type="http://schemas.openxmlformats.org/officeDocument/2006/relationships/hyperlink" Target="mailto:fransisca.desyanti@faasri.com" TargetMode="External"/><Relationship Id="rId47" Type="http://schemas.openxmlformats.org/officeDocument/2006/relationships/hyperlink" Target="mailto:fransisca.desyanti@faasri.com" TargetMode="External"/><Relationship Id="rId63" Type="http://schemas.openxmlformats.org/officeDocument/2006/relationships/hyperlink" Target="mailto:asrida.djuwita@gdnusantara.com" TargetMode="External"/><Relationship Id="rId68" Type="http://schemas.openxmlformats.org/officeDocument/2006/relationships/hyperlink" Target="mailto:asrida.djuwita@gdnusantara.com" TargetMode="External"/><Relationship Id="rId84" Type="http://schemas.openxmlformats.org/officeDocument/2006/relationships/hyperlink" Target="mailto:miftah.agustini@ioh.co.id" TargetMode="External"/><Relationship Id="rId89" Type="http://schemas.openxmlformats.org/officeDocument/2006/relationships/hyperlink" Target="mailto:frilla.triyanditama@gdn-commerce.com" TargetMode="External"/><Relationship Id="rId112" Type="http://schemas.openxmlformats.org/officeDocument/2006/relationships/hyperlink" Target="mailto:mohamad.cholil@circlekindonesia.com" TargetMode="External"/><Relationship Id="rId133" Type="http://schemas.openxmlformats.org/officeDocument/2006/relationships/hyperlink" Target="mailto:Galih.b2b@buminet.co.id" TargetMode="External"/><Relationship Id="rId138" Type="http://schemas.openxmlformats.org/officeDocument/2006/relationships/hyperlink" Target="mailto:fannia.fellialnyoo@gdnusantara.com" TargetMode="External"/><Relationship Id="rId16" Type="http://schemas.openxmlformats.org/officeDocument/2006/relationships/hyperlink" Target="mailto:fransisca.desyanti@faasri.com" TargetMode="External"/><Relationship Id="rId107" Type="http://schemas.openxmlformats.org/officeDocument/2006/relationships/hyperlink" Target="mailto:asrida.djuwita@gdnusantara.com" TargetMode="External"/><Relationship Id="rId11" Type="http://schemas.openxmlformats.org/officeDocument/2006/relationships/hyperlink" Target="mailto:fransisca.desyanti@faasri.com" TargetMode="External"/><Relationship Id="rId32" Type="http://schemas.openxmlformats.org/officeDocument/2006/relationships/hyperlink" Target="mailto:fransisca.desyanti@faasri.com" TargetMode="External"/><Relationship Id="rId37" Type="http://schemas.openxmlformats.org/officeDocument/2006/relationships/hyperlink" Target="mailto:fransisca.desyanti@faasri.com" TargetMode="External"/><Relationship Id="rId53" Type="http://schemas.openxmlformats.org/officeDocument/2006/relationships/hyperlink" Target="mailto:asrida.djuwita@gdnusantara.com" TargetMode="External"/><Relationship Id="rId58" Type="http://schemas.openxmlformats.org/officeDocument/2006/relationships/hyperlink" Target="mailto:asrida.djuwita@gdnusantara.com" TargetMode="External"/><Relationship Id="rId74" Type="http://schemas.openxmlformats.org/officeDocument/2006/relationships/hyperlink" Target="mailto:susan@pancaputra.co.id" TargetMode="External"/><Relationship Id="rId79" Type="http://schemas.openxmlformats.org/officeDocument/2006/relationships/hyperlink" Target="mailto:made_indra@datascrip.co.id" TargetMode="External"/><Relationship Id="rId102" Type="http://schemas.openxmlformats.org/officeDocument/2006/relationships/hyperlink" Target="mailto:siska@bhaktisolusindo.com" TargetMode="External"/><Relationship Id="rId123" Type="http://schemas.openxmlformats.org/officeDocument/2006/relationships/hyperlink" Target="mailto:intan.raharni@obf.id" TargetMode="External"/><Relationship Id="rId128" Type="http://schemas.openxmlformats.org/officeDocument/2006/relationships/hyperlink" Target="mailto:zulakhyar90@gmail.com" TargetMode="External"/><Relationship Id="rId144" Type="http://schemas.openxmlformats.org/officeDocument/2006/relationships/hyperlink" Target="mailto:debby.suparta@fonel.com" TargetMode="External"/><Relationship Id="rId149" Type="http://schemas.openxmlformats.org/officeDocument/2006/relationships/hyperlink" Target="mailto:Marthen.elias@para-star.com" TargetMode="External"/><Relationship Id="rId5" Type="http://schemas.openxmlformats.org/officeDocument/2006/relationships/hyperlink" Target="mailto:fransisca.desyanti@faasri.com" TargetMode="External"/><Relationship Id="rId90" Type="http://schemas.openxmlformats.org/officeDocument/2006/relationships/hyperlink" Target="mailto:frilla.triyanditama@gdn-commerce.com" TargetMode="External"/><Relationship Id="rId95" Type="http://schemas.openxmlformats.org/officeDocument/2006/relationships/hyperlink" Target="mailto:frilla.triyanditama@gdn-commerce.com" TargetMode="External"/><Relationship Id="rId22" Type="http://schemas.openxmlformats.org/officeDocument/2006/relationships/hyperlink" Target="mailto:fransisca.desyanti@faasri.com" TargetMode="External"/><Relationship Id="rId27" Type="http://schemas.openxmlformats.org/officeDocument/2006/relationships/hyperlink" Target="mailto:fransisca.desyanti@faasri.com" TargetMode="External"/><Relationship Id="rId43" Type="http://schemas.openxmlformats.org/officeDocument/2006/relationships/hyperlink" Target="mailto:fransisca.desyanti@faasri.com" TargetMode="External"/><Relationship Id="rId48" Type="http://schemas.openxmlformats.org/officeDocument/2006/relationships/hyperlink" Target="mailto:fransisca.desyanti@faasri.com" TargetMode="External"/><Relationship Id="rId64" Type="http://schemas.openxmlformats.org/officeDocument/2006/relationships/hyperlink" Target="mailto:asrida.djuwita@gdnusantara.com" TargetMode="External"/><Relationship Id="rId69" Type="http://schemas.openxmlformats.org/officeDocument/2006/relationships/hyperlink" Target="mailto:asrida.djuwita@gdnusantara.com" TargetMode="External"/><Relationship Id="rId113" Type="http://schemas.openxmlformats.org/officeDocument/2006/relationships/hyperlink" Target="mailto:mohamad.cholil@circlekindonesia.com" TargetMode="External"/><Relationship Id="rId118" Type="http://schemas.openxmlformats.org/officeDocument/2006/relationships/hyperlink" Target="mailto:admin.mkt@sima.id" TargetMode="External"/><Relationship Id="rId134" Type="http://schemas.openxmlformats.org/officeDocument/2006/relationships/hyperlink" Target="mailto:Galih.b2b@buminet.co.id" TargetMode="External"/><Relationship Id="rId139" Type="http://schemas.openxmlformats.org/officeDocument/2006/relationships/hyperlink" Target="mailto:hadi.gunawan@bintangmahameruutama.com" TargetMode="External"/><Relationship Id="rId80" Type="http://schemas.openxmlformats.org/officeDocument/2006/relationships/hyperlink" Target="mailto:made_indra@datascrip.co.id" TargetMode="External"/><Relationship Id="rId85" Type="http://schemas.openxmlformats.org/officeDocument/2006/relationships/hyperlink" Target="mailto:miftah.agustini@ioh.co.id" TargetMode="External"/><Relationship Id="rId150" Type="http://schemas.openxmlformats.org/officeDocument/2006/relationships/hyperlink" Target="mailto:Marthen.elias@para-star.com" TargetMode="External"/><Relationship Id="rId12" Type="http://schemas.openxmlformats.org/officeDocument/2006/relationships/hyperlink" Target="mailto:fransisca.desyanti@faasri.com" TargetMode="External"/><Relationship Id="rId17" Type="http://schemas.openxmlformats.org/officeDocument/2006/relationships/hyperlink" Target="mailto:fransisca.desyanti@faasri.com" TargetMode="External"/><Relationship Id="rId25" Type="http://schemas.openxmlformats.org/officeDocument/2006/relationships/hyperlink" Target="mailto:fransisca.desyanti@faasri.com" TargetMode="External"/><Relationship Id="rId33" Type="http://schemas.openxmlformats.org/officeDocument/2006/relationships/hyperlink" Target="mailto:fransisca.desyanti@faasri.com" TargetMode="External"/><Relationship Id="rId38" Type="http://schemas.openxmlformats.org/officeDocument/2006/relationships/hyperlink" Target="mailto:fransisca.desyanti@faasri.com" TargetMode="External"/><Relationship Id="rId46" Type="http://schemas.openxmlformats.org/officeDocument/2006/relationships/hyperlink" Target="mailto:fransisca.desyanti@faasri.com" TargetMode="External"/><Relationship Id="rId59" Type="http://schemas.openxmlformats.org/officeDocument/2006/relationships/hyperlink" Target="mailto:asrida.djuwita@gdnusantara.com" TargetMode="External"/><Relationship Id="rId67" Type="http://schemas.openxmlformats.org/officeDocument/2006/relationships/hyperlink" Target="mailto:asrida.djuwita@gdnusantara.com" TargetMode="External"/><Relationship Id="rId103" Type="http://schemas.openxmlformats.org/officeDocument/2006/relationships/hyperlink" Target="mailto:siska@bhaktisolusindo.com" TargetMode="External"/><Relationship Id="rId108" Type="http://schemas.openxmlformats.org/officeDocument/2006/relationships/hyperlink" Target="mailto:asrida.djuwita@gdnusantara.com" TargetMode="External"/><Relationship Id="rId116" Type="http://schemas.openxmlformats.org/officeDocument/2006/relationships/hyperlink" Target="mailto:mohamad.cholil@circlekindonesia.com" TargetMode="External"/><Relationship Id="rId124" Type="http://schemas.openxmlformats.org/officeDocument/2006/relationships/hyperlink" Target="mailto:Galih.b2b@buminet.co.id" TargetMode="External"/><Relationship Id="rId129" Type="http://schemas.openxmlformats.org/officeDocument/2006/relationships/hyperlink" Target="mailto:siera@matautama.com" TargetMode="External"/><Relationship Id="rId137" Type="http://schemas.openxmlformats.org/officeDocument/2006/relationships/hyperlink" Target="mailto:Galih.b2b@buminet.co.id" TargetMode="External"/><Relationship Id="rId20" Type="http://schemas.openxmlformats.org/officeDocument/2006/relationships/hyperlink" Target="mailto:fransisca.desyanti@faasri.com" TargetMode="External"/><Relationship Id="rId41" Type="http://schemas.openxmlformats.org/officeDocument/2006/relationships/hyperlink" Target="mailto:fransisca.desyanti@faasri.com" TargetMode="External"/><Relationship Id="rId54" Type="http://schemas.openxmlformats.org/officeDocument/2006/relationships/hyperlink" Target="mailto:asrida.djuwita@gdnusantara.com" TargetMode="External"/><Relationship Id="rId62" Type="http://schemas.openxmlformats.org/officeDocument/2006/relationships/hyperlink" Target="mailto:asrida.djuwita@gdnusantara.com" TargetMode="External"/><Relationship Id="rId70" Type="http://schemas.openxmlformats.org/officeDocument/2006/relationships/hyperlink" Target="mailto:asrida.djuwita@gdnusantara.com" TargetMode="External"/><Relationship Id="rId75" Type="http://schemas.openxmlformats.org/officeDocument/2006/relationships/hyperlink" Target="mailto:susan@pancaputra.co.id" TargetMode="External"/><Relationship Id="rId83" Type="http://schemas.openxmlformats.org/officeDocument/2006/relationships/hyperlink" Target="mailto:miftah.agustini@ioh.co.id" TargetMode="External"/><Relationship Id="rId88" Type="http://schemas.openxmlformats.org/officeDocument/2006/relationships/hyperlink" Target="mailto:miftah.agustini@ioh.co.id" TargetMode="External"/><Relationship Id="rId91" Type="http://schemas.openxmlformats.org/officeDocument/2006/relationships/hyperlink" Target="mailto:frilla.triyanditama@gdn-commerce.com" TargetMode="External"/><Relationship Id="rId96" Type="http://schemas.openxmlformats.org/officeDocument/2006/relationships/hyperlink" Target="mailto:frilla.triyanditama@gdn-commerce.com" TargetMode="External"/><Relationship Id="rId111" Type="http://schemas.openxmlformats.org/officeDocument/2006/relationships/hyperlink" Target="mailto:mohamad.cholil@circlekindonesia.com" TargetMode="External"/><Relationship Id="rId132" Type="http://schemas.openxmlformats.org/officeDocument/2006/relationships/hyperlink" Target="mailto:Marthen.elias@para-star.com" TargetMode="External"/><Relationship Id="rId140" Type="http://schemas.openxmlformats.org/officeDocument/2006/relationships/hyperlink" Target="mailto:fransisca.desyanti@faasri.com" TargetMode="External"/><Relationship Id="rId145" Type="http://schemas.openxmlformats.org/officeDocument/2006/relationships/hyperlink" Target="mailto:susan@pancaputra.co.id" TargetMode="External"/><Relationship Id="rId153" Type="http://schemas.openxmlformats.org/officeDocument/2006/relationships/hyperlink" Target="mailto:cecep.gaos@gmail.com" TargetMode="External"/><Relationship Id="rId1" Type="http://schemas.openxmlformats.org/officeDocument/2006/relationships/hyperlink" Target="mailto:fransisca.desyanti@faasri.com" TargetMode="External"/><Relationship Id="rId6" Type="http://schemas.openxmlformats.org/officeDocument/2006/relationships/hyperlink" Target="mailto:fransisca.desyanti@faasri.com" TargetMode="External"/><Relationship Id="rId15" Type="http://schemas.openxmlformats.org/officeDocument/2006/relationships/hyperlink" Target="mailto:fransisca.desyanti@faasri.com" TargetMode="External"/><Relationship Id="rId23" Type="http://schemas.openxmlformats.org/officeDocument/2006/relationships/hyperlink" Target="mailto:fransisca.desyanti@faasri.com" TargetMode="External"/><Relationship Id="rId28" Type="http://schemas.openxmlformats.org/officeDocument/2006/relationships/hyperlink" Target="mailto:fransisca.desyanti@faasri.com" TargetMode="External"/><Relationship Id="rId36" Type="http://schemas.openxmlformats.org/officeDocument/2006/relationships/hyperlink" Target="mailto:fransisca.desyanti@faasri.com" TargetMode="External"/><Relationship Id="rId49" Type="http://schemas.openxmlformats.org/officeDocument/2006/relationships/hyperlink" Target="mailto:asrida.djuwita@gdnusantara.com" TargetMode="External"/><Relationship Id="rId57" Type="http://schemas.openxmlformats.org/officeDocument/2006/relationships/hyperlink" Target="mailto:asrida.djuwita@gdnusantara.com" TargetMode="External"/><Relationship Id="rId106" Type="http://schemas.openxmlformats.org/officeDocument/2006/relationships/hyperlink" Target="mailto:asrida.djuwita@gdnusantara.com" TargetMode="External"/><Relationship Id="rId114" Type="http://schemas.openxmlformats.org/officeDocument/2006/relationships/hyperlink" Target="mailto:mohamad.cholil@circlekindonesia.com" TargetMode="External"/><Relationship Id="rId119" Type="http://schemas.openxmlformats.org/officeDocument/2006/relationships/hyperlink" Target="mailto:admin.mkt@sima.id" TargetMode="External"/><Relationship Id="rId127" Type="http://schemas.openxmlformats.org/officeDocument/2006/relationships/hyperlink" Target="mailto:pt.buka@gmail.com" TargetMode="External"/><Relationship Id="rId10" Type="http://schemas.openxmlformats.org/officeDocument/2006/relationships/hyperlink" Target="mailto:fransisca.desyanti@faasri.com" TargetMode="External"/><Relationship Id="rId31" Type="http://schemas.openxmlformats.org/officeDocument/2006/relationships/hyperlink" Target="mailto:fransisca.desyanti@faasri.com" TargetMode="External"/><Relationship Id="rId44" Type="http://schemas.openxmlformats.org/officeDocument/2006/relationships/hyperlink" Target="mailto:fransisca.desyanti@faasri.com" TargetMode="External"/><Relationship Id="rId52" Type="http://schemas.openxmlformats.org/officeDocument/2006/relationships/hyperlink" Target="mailto:asrida.djuwita@gdnusantara.com" TargetMode="External"/><Relationship Id="rId60" Type="http://schemas.openxmlformats.org/officeDocument/2006/relationships/hyperlink" Target="mailto:asrida.djuwita@gdnusantara.com" TargetMode="External"/><Relationship Id="rId65" Type="http://schemas.openxmlformats.org/officeDocument/2006/relationships/hyperlink" Target="mailto:asrida.djuwita@gdnusantara.com" TargetMode="External"/><Relationship Id="rId73" Type="http://schemas.openxmlformats.org/officeDocument/2006/relationships/hyperlink" Target="mailto:susan@pancaputra.co.id" TargetMode="External"/><Relationship Id="rId78" Type="http://schemas.openxmlformats.org/officeDocument/2006/relationships/hyperlink" Target="mailto:made_indra@datascrip.co.id" TargetMode="External"/><Relationship Id="rId81" Type="http://schemas.openxmlformats.org/officeDocument/2006/relationships/hyperlink" Target="mailto:made_indra@datascrip.co.id" TargetMode="External"/><Relationship Id="rId86" Type="http://schemas.openxmlformats.org/officeDocument/2006/relationships/hyperlink" Target="mailto:miftah.agustini@ioh.co.id" TargetMode="External"/><Relationship Id="rId94" Type="http://schemas.openxmlformats.org/officeDocument/2006/relationships/hyperlink" Target="mailto:frilla.triyanditama@gdn-commerce.com" TargetMode="External"/><Relationship Id="rId99" Type="http://schemas.openxmlformats.org/officeDocument/2006/relationships/hyperlink" Target="mailto:siska@bhaktisolusindo.com" TargetMode="External"/><Relationship Id="rId101" Type="http://schemas.openxmlformats.org/officeDocument/2006/relationships/hyperlink" Target="mailto:siska@bhaktisolusindo.com" TargetMode="External"/><Relationship Id="rId122" Type="http://schemas.openxmlformats.org/officeDocument/2006/relationships/hyperlink" Target="mailto:cecep.gaos@gmail.com" TargetMode="External"/><Relationship Id="rId130" Type="http://schemas.openxmlformats.org/officeDocument/2006/relationships/hyperlink" Target="mailto:Marthen.elias@para-star.com" TargetMode="External"/><Relationship Id="rId135" Type="http://schemas.openxmlformats.org/officeDocument/2006/relationships/hyperlink" Target="mailto:ratih.prabandari@akr.co.id" TargetMode="External"/><Relationship Id="rId143" Type="http://schemas.openxmlformats.org/officeDocument/2006/relationships/hyperlink" Target="mailto:cisilia_purchasing@yahoo.com" TargetMode="External"/><Relationship Id="rId148" Type="http://schemas.openxmlformats.org/officeDocument/2006/relationships/hyperlink" Target="mailto:fannia.fellialnyoo@gdnusantara.com" TargetMode="External"/><Relationship Id="rId151" Type="http://schemas.openxmlformats.org/officeDocument/2006/relationships/hyperlink" Target="mailto:Marthen.elias@para-star.com" TargetMode="External"/><Relationship Id="rId4" Type="http://schemas.openxmlformats.org/officeDocument/2006/relationships/hyperlink" Target="mailto:fransisca.desyanti@faasri.com" TargetMode="External"/><Relationship Id="rId9" Type="http://schemas.openxmlformats.org/officeDocument/2006/relationships/hyperlink" Target="mailto:fransisca.desyanti@faasri.com" TargetMode="External"/><Relationship Id="rId13" Type="http://schemas.openxmlformats.org/officeDocument/2006/relationships/hyperlink" Target="mailto:fransisca.desyanti@faasri.com" TargetMode="External"/><Relationship Id="rId18" Type="http://schemas.openxmlformats.org/officeDocument/2006/relationships/hyperlink" Target="mailto:fransisca.desyanti@faasri.com" TargetMode="External"/><Relationship Id="rId39" Type="http://schemas.openxmlformats.org/officeDocument/2006/relationships/hyperlink" Target="mailto:fransisca.desyanti@faasri.com" TargetMode="External"/><Relationship Id="rId109" Type="http://schemas.openxmlformats.org/officeDocument/2006/relationships/hyperlink" Target="mailto:asrida.djuwita@gdnusantara.com" TargetMode="External"/><Relationship Id="rId34" Type="http://schemas.openxmlformats.org/officeDocument/2006/relationships/hyperlink" Target="mailto:fransisca.desyanti@faasri.com" TargetMode="External"/><Relationship Id="rId50" Type="http://schemas.openxmlformats.org/officeDocument/2006/relationships/hyperlink" Target="mailto:asrida.djuwita@gdnusantara.com" TargetMode="External"/><Relationship Id="rId55" Type="http://schemas.openxmlformats.org/officeDocument/2006/relationships/hyperlink" Target="mailto:asrida.djuwita@gdnusantara.com" TargetMode="External"/><Relationship Id="rId76" Type="http://schemas.openxmlformats.org/officeDocument/2006/relationships/hyperlink" Target="mailto:susan@pancaputra.co.id" TargetMode="External"/><Relationship Id="rId97" Type="http://schemas.openxmlformats.org/officeDocument/2006/relationships/hyperlink" Target="mailto:frilla.triyanditama@gdn-commerce.com" TargetMode="External"/><Relationship Id="rId104" Type="http://schemas.openxmlformats.org/officeDocument/2006/relationships/hyperlink" Target="mailto:siska@bhaktisolusindo.com" TargetMode="External"/><Relationship Id="rId120" Type="http://schemas.openxmlformats.org/officeDocument/2006/relationships/hyperlink" Target="mailto:rudi@central.id" TargetMode="External"/><Relationship Id="rId125" Type="http://schemas.openxmlformats.org/officeDocument/2006/relationships/hyperlink" Target="mailto:Galih.b2b@buminet.co.id" TargetMode="External"/><Relationship Id="rId141" Type="http://schemas.openxmlformats.org/officeDocument/2006/relationships/hyperlink" Target="mailto:fransisca.desyanti@faasri.com" TargetMode="External"/><Relationship Id="rId146" Type="http://schemas.openxmlformats.org/officeDocument/2006/relationships/hyperlink" Target="mailto:stephi.melissa@akr.co.id" TargetMode="External"/><Relationship Id="rId7" Type="http://schemas.openxmlformats.org/officeDocument/2006/relationships/hyperlink" Target="mailto:fransisca.desyanti@faasri.com" TargetMode="External"/><Relationship Id="rId71" Type="http://schemas.openxmlformats.org/officeDocument/2006/relationships/hyperlink" Target="mailto:asrida.djuwita@gdnusantara.com" TargetMode="External"/><Relationship Id="rId92" Type="http://schemas.openxmlformats.org/officeDocument/2006/relationships/hyperlink" Target="mailto:frilla.triyanditama@gdn-commerce.com" TargetMode="External"/><Relationship Id="rId2" Type="http://schemas.openxmlformats.org/officeDocument/2006/relationships/hyperlink" Target="mailto:fransisca.desyanti@faasri.com" TargetMode="External"/><Relationship Id="rId29" Type="http://schemas.openxmlformats.org/officeDocument/2006/relationships/hyperlink" Target="mailto:fransisca.desyanti@faasri.com" TargetMode="External"/><Relationship Id="rId24" Type="http://schemas.openxmlformats.org/officeDocument/2006/relationships/hyperlink" Target="mailto:fransisca.desyanti@faasri.com" TargetMode="External"/><Relationship Id="rId40" Type="http://schemas.openxmlformats.org/officeDocument/2006/relationships/hyperlink" Target="mailto:fransisca.desyanti@faasri.com" TargetMode="External"/><Relationship Id="rId45" Type="http://schemas.openxmlformats.org/officeDocument/2006/relationships/hyperlink" Target="mailto:fransisca.desyanti@faasri.com" TargetMode="External"/><Relationship Id="rId66" Type="http://schemas.openxmlformats.org/officeDocument/2006/relationships/hyperlink" Target="mailto:asrida.djuwita@gdnusantara.com" TargetMode="External"/><Relationship Id="rId87" Type="http://schemas.openxmlformats.org/officeDocument/2006/relationships/hyperlink" Target="mailto:miftah.agustini@ioh.co.id" TargetMode="External"/><Relationship Id="rId110" Type="http://schemas.openxmlformats.org/officeDocument/2006/relationships/hyperlink" Target="mailto:frilla.triyanditama@gdn-commerce.com" TargetMode="External"/><Relationship Id="rId115" Type="http://schemas.openxmlformats.org/officeDocument/2006/relationships/hyperlink" Target="mailto:mohamad.cholil@circlekindonesia.com" TargetMode="External"/><Relationship Id="rId131" Type="http://schemas.openxmlformats.org/officeDocument/2006/relationships/hyperlink" Target="mailto:Marthen.elias@para-star.com" TargetMode="External"/><Relationship Id="rId136" Type="http://schemas.openxmlformats.org/officeDocument/2006/relationships/hyperlink" Target="mailto:ratih.prabandari@akr.co.id" TargetMode="External"/><Relationship Id="rId61" Type="http://schemas.openxmlformats.org/officeDocument/2006/relationships/hyperlink" Target="mailto:asrida.djuwita@gdnusantara.com" TargetMode="External"/><Relationship Id="rId82" Type="http://schemas.openxmlformats.org/officeDocument/2006/relationships/hyperlink" Target="mailto:made_indra@datascrip.co.id" TargetMode="External"/><Relationship Id="rId152" Type="http://schemas.openxmlformats.org/officeDocument/2006/relationships/hyperlink" Target="mailto:fannia.fellialnyoo@gdnusantara.com" TargetMode="External"/><Relationship Id="rId19" Type="http://schemas.openxmlformats.org/officeDocument/2006/relationships/hyperlink" Target="mailto:fransisca.desyanti@faasri.com" TargetMode="External"/><Relationship Id="rId14" Type="http://schemas.openxmlformats.org/officeDocument/2006/relationships/hyperlink" Target="mailto:fransisca.desyanti@faasri.com" TargetMode="External"/><Relationship Id="rId30" Type="http://schemas.openxmlformats.org/officeDocument/2006/relationships/hyperlink" Target="mailto:fransisca.desyanti@faasri.com" TargetMode="External"/><Relationship Id="rId35" Type="http://schemas.openxmlformats.org/officeDocument/2006/relationships/hyperlink" Target="mailto:fransisca.desyanti@faasri.com" TargetMode="External"/><Relationship Id="rId56" Type="http://schemas.openxmlformats.org/officeDocument/2006/relationships/hyperlink" Target="mailto:asrida.djuwita@gdnusantara.com" TargetMode="External"/><Relationship Id="rId77" Type="http://schemas.openxmlformats.org/officeDocument/2006/relationships/hyperlink" Target="mailto:made_indra@datascrip.co.id" TargetMode="External"/><Relationship Id="rId100" Type="http://schemas.openxmlformats.org/officeDocument/2006/relationships/hyperlink" Target="mailto:siska@bhaktisolusindo.com" TargetMode="External"/><Relationship Id="rId105" Type="http://schemas.openxmlformats.org/officeDocument/2006/relationships/hyperlink" Target="mailto:miftah.agustini@ioh.co.id" TargetMode="External"/><Relationship Id="rId126" Type="http://schemas.openxmlformats.org/officeDocument/2006/relationships/hyperlink" Target="mailto:Galih.b2b@buminet.co.id" TargetMode="External"/><Relationship Id="rId147" Type="http://schemas.openxmlformats.org/officeDocument/2006/relationships/hyperlink" Target="mailto:fannia.fellialnyoo@gdnusantara.com" TargetMode="External"/><Relationship Id="rId8" Type="http://schemas.openxmlformats.org/officeDocument/2006/relationships/hyperlink" Target="mailto:fransisca.desyanti@faasri.com" TargetMode="External"/><Relationship Id="rId51" Type="http://schemas.openxmlformats.org/officeDocument/2006/relationships/hyperlink" Target="mailto:asrida.djuwita@gdnusantara.com" TargetMode="External"/><Relationship Id="rId72" Type="http://schemas.openxmlformats.org/officeDocument/2006/relationships/hyperlink" Target="mailto:asrida.djuwita@gdnusantara.com" TargetMode="External"/><Relationship Id="rId93" Type="http://schemas.openxmlformats.org/officeDocument/2006/relationships/hyperlink" Target="mailto:frilla.triyanditama@gdn-commerce.com" TargetMode="External"/><Relationship Id="rId98" Type="http://schemas.openxmlformats.org/officeDocument/2006/relationships/hyperlink" Target="mailto:frilla.triyanditama@gdn-commerce.com" TargetMode="External"/><Relationship Id="rId121" Type="http://schemas.openxmlformats.org/officeDocument/2006/relationships/hyperlink" Target="mailto:rudi@central.id" TargetMode="External"/><Relationship Id="rId142" Type="http://schemas.openxmlformats.org/officeDocument/2006/relationships/hyperlink" Target="mailto:cisilia_purchasing@yahoo.com" TargetMode="External"/><Relationship Id="rId3" Type="http://schemas.openxmlformats.org/officeDocument/2006/relationships/hyperlink" Target="mailto:fransisca.desyanti@faasri.com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mailto:fransisca.desyanti@faasri.com" TargetMode="External"/><Relationship Id="rId117" Type="http://schemas.openxmlformats.org/officeDocument/2006/relationships/hyperlink" Target="mailto:cecep.gaos@gmail.com" TargetMode="External"/><Relationship Id="rId21" Type="http://schemas.openxmlformats.org/officeDocument/2006/relationships/hyperlink" Target="mailto:fransisca.desyanti@faasri.com" TargetMode="External"/><Relationship Id="rId42" Type="http://schemas.openxmlformats.org/officeDocument/2006/relationships/hyperlink" Target="mailto:fransisca.desyanti@faasri.com" TargetMode="External"/><Relationship Id="rId47" Type="http://schemas.openxmlformats.org/officeDocument/2006/relationships/hyperlink" Target="mailto:asrida.djuwita@gdnusantara.com" TargetMode="External"/><Relationship Id="rId63" Type="http://schemas.openxmlformats.org/officeDocument/2006/relationships/hyperlink" Target="mailto:asrida.djuwita@gdnusantara.com" TargetMode="External"/><Relationship Id="rId68" Type="http://schemas.openxmlformats.org/officeDocument/2006/relationships/hyperlink" Target="mailto:asrida.djuwita@gdnusantara.com" TargetMode="External"/><Relationship Id="rId84" Type="http://schemas.openxmlformats.org/officeDocument/2006/relationships/hyperlink" Target="mailto:miftah.agustini@ioh.co.id" TargetMode="External"/><Relationship Id="rId89" Type="http://schemas.openxmlformats.org/officeDocument/2006/relationships/hyperlink" Target="mailto:frilla.triyanditama@gdn-commerce.com" TargetMode="External"/><Relationship Id="rId112" Type="http://schemas.openxmlformats.org/officeDocument/2006/relationships/hyperlink" Target="mailto:mohamad.cholil@circlekindonesia.com" TargetMode="External"/><Relationship Id="rId133" Type="http://schemas.openxmlformats.org/officeDocument/2006/relationships/hyperlink" Target="mailto:fannia.fellialnyoo@gdnusantara.com" TargetMode="External"/><Relationship Id="rId138" Type="http://schemas.openxmlformats.org/officeDocument/2006/relationships/hyperlink" Target="mailto:cisilia_purchasing@yahoo.com" TargetMode="External"/><Relationship Id="rId154" Type="http://schemas.openxmlformats.org/officeDocument/2006/relationships/hyperlink" Target="mailto:asuryanto@ho.otsuka.co.id" TargetMode="External"/><Relationship Id="rId159" Type="http://schemas.openxmlformats.org/officeDocument/2006/relationships/hyperlink" Target="mailto:Marthen.elias@para-star.com" TargetMode="External"/><Relationship Id="rId170" Type="http://schemas.openxmlformats.org/officeDocument/2006/relationships/hyperlink" Target="mailto:annisa.subroto@gdn-commerce.com" TargetMode="External"/><Relationship Id="rId16" Type="http://schemas.openxmlformats.org/officeDocument/2006/relationships/hyperlink" Target="mailto:fransisca.desyanti@faasri.com" TargetMode="External"/><Relationship Id="rId107" Type="http://schemas.openxmlformats.org/officeDocument/2006/relationships/hyperlink" Target="mailto:mohamad.cholil@circlekindonesia.com" TargetMode="External"/><Relationship Id="rId11" Type="http://schemas.openxmlformats.org/officeDocument/2006/relationships/hyperlink" Target="mailto:fransisca.desyanti@faasri.com" TargetMode="External"/><Relationship Id="rId32" Type="http://schemas.openxmlformats.org/officeDocument/2006/relationships/hyperlink" Target="mailto:fransisca.desyanti@faasri.com" TargetMode="External"/><Relationship Id="rId37" Type="http://schemas.openxmlformats.org/officeDocument/2006/relationships/hyperlink" Target="mailto:fransisca.desyanti@faasri.com" TargetMode="External"/><Relationship Id="rId53" Type="http://schemas.openxmlformats.org/officeDocument/2006/relationships/hyperlink" Target="mailto:asrida.djuwita@gdnusantara.com" TargetMode="External"/><Relationship Id="rId58" Type="http://schemas.openxmlformats.org/officeDocument/2006/relationships/hyperlink" Target="mailto:asrida.djuwita@gdnusantara.com" TargetMode="External"/><Relationship Id="rId74" Type="http://schemas.openxmlformats.org/officeDocument/2006/relationships/hyperlink" Target="mailto:made_indra@datascrip.co.id" TargetMode="External"/><Relationship Id="rId79" Type="http://schemas.openxmlformats.org/officeDocument/2006/relationships/hyperlink" Target="mailto:miftah.agustini@ioh.co.id" TargetMode="External"/><Relationship Id="rId102" Type="http://schemas.openxmlformats.org/officeDocument/2006/relationships/hyperlink" Target="mailto:asrida.djuwita@gdnusantara.com" TargetMode="External"/><Relationship Id="rId123" Type="http://schemas.openxmlformats.org/officeDocument/2006/relationships/hyperlink" Target="mailto:zulakhyar90@gmail.com" TargetMode="External"/><Relationship Id="rId128" Type="http://schemas.openxmlformats.org/officeDocument/2006/relationships/hyperlink" Target="mailto:Galih.b2b@buminet.co.id" TargetMode="External"/><Relationship Id="rId144" Type="http://schemas.openxmlformats.org/officeDocument/2006/relationships/hyperlink" Target="mailto:Marthen.elias@para-star.com" TargetMode="External"/><Relationship Id="rId149" Type="http://schemas.openxmlformats.org/officeDocument/2006/relationships/hyperlink" Target="mailto:Marthen.elias@para-star.com" TargetMode="External"/><Relationship Id="rId5" Type="http://schemas.openxmlformats.org/officeDocument/2006/relationships/hyperlink" Target="mailto:fransisca.desyanti@faasri.com" TargetMode="External"/><Relationship Id="rId90" Type="http://schemas.openxmlformats.org/officeDocument/2006/relationships/hyperlink" Target="mailto:frilla.triyanditama@gdn-commerce.com" TargetMode="External"/><Relationship Id="rId95" Type="http://schemas.openxmlformats.org/officeDocument/2006/relationships/hyperlink" Target="mailto:siska@bhaktisolusindo.com" TargetMode="External"/><Relationship Id="rId160" Type="http://schemas.openxmlformats.org/officeDocument/2006/relationships/hyperlink" Target="mailto:Marthen.elias@para-star.com" TargetMode="External"/><Relationship Id="rId165" Type="http://schemas.openxmlformats.org/officeDocument/2006/relationships/hyperlink" Target="mailto:mohamad.cholil@circlekindonesia.com" TargetMode="External"/><Relationship Id="rId22" Type="http://schemas.openxmlformats.org/officeDocument/2006/relationships/hyperlink" Target="mailto:fransisca.desyanti@faasri.com" TargetMode="External"/><Relationship Id="rId27" Type="http://schemas.openxmlformats.org/officeDocument/2006/relationships/hyperlink" Target="mailto:fransisca.desyanti@faasri.com" TargetMode="External"/><Relationship Id="rId43" Type="http://schemas.openxmlformats.org/officeDocument/2006/relationships/hyperlink" Target="mailto:fransisca.desyanti@faasri.com" TargetMode="External"/><Relationship Id="rId48" Type="http://schemas.openxmlformats.org/officeDocument/2006/relationships/hyperlink" Target="mailto:asrida.djuwita@gdnusantara.com" TargetMode="External"/><Relationship Id="rId64" Type="http://schemas.openxmlformats.org/officeDocument/2006/relationships/hyperlink" Target="mailto:asrida.djuwita@gdnusantara.com" TargetMode="External"/><Relationship Id="rId69" Type="http://schemas.openxmlformats.org/officeDocument/2006/relationships/hyperlink" Target="mailto:susan@pancaputra.co.id" TargetMode="External"/><Relationship Id="rId113" Type="http://schemas.openxmlformats.org/officeDocument/2006/relationships/hyperlink" Target="mailto:admin.mkt@sima.id" TargetMode="External"/><Relationship Id="rId118" Type="http://schemas.openxmlformats.org/officeDocument/2006/relationships/hyperlink" Target="mailto:intan.raharni@obf.id" TargetMode="External"/><Relationship Id="rId134" Type="http://schemas.openxmlformats.org/officeDocument/2006/relationships/hyperlink" Target="mailto:hadi.gunawan@bintangmahameruutama.com" TargetMode="External"/><Relationship Id="rId139" Type="http://schemas.openxmlformats.org/officeDocument/2006/relationships/hyperlink" Target="mailto:debby.suparta@fonel.com" TargetMode="External"/><Relationship Id="rId80" Type="http://schemas.openxmlformats.org/officeDocument/2006/relationships/hyperlink" Target="mailto:miftah.agustini@ioh.co.id" TargetMode="External"/><Relationship Id="rId85" Type="http://schemas.openxmlformats.org/officeDocument/2006/relationships/hyperlink" Target="mailto:frilla.triyanditama@gdn-commerce.com" TargetMode="External"/><Relationship Id="rId150" Type="http://schemas.openxmlformats.org/officeDocument/2006/relationships/hyperlink" Target="mailto:fannia.fellialnyoo@gdnusantara.com" TargetMode="External"/><Relationship Id="rId155" Type="http://schemas.openxmlformats.org/officeDocument/2006/relationships/hyperlink" Target="mailto:asuryanto@ho.otsuka.co.id" TargetMode="External"/><Relationship Id="rId12" Type="http://schemas.openxmlformats.org/officeDocument/2006/relationships/hyperlink" Target="mailto:fransisca.desyanti@faasri.com" TargetMode="External"/><Relationship Id="rId17" Type="http://schemas.openxmlformats.org/officeDocument/2006/relationships/hyperlink" Target="mailto:fransisca.desyanti@faasri.com" TargetMode="External"/><Relationship Id="rId33" Type="http://schemas.openxmlformats.org/officeDocument/2006/relationships/hyperlink" Target="mailto:fransisca.desyanti@faasri.com" TargetMode="External"/><Relationship Id="rId38" Type="http://schemas.openxmlformats.org/officeDocument/2006/relationships/hyperlink" Target="mailto:fransisca.desyanti@faasri.com" TargetMode="External"/><Relationship Id="rId59" Type="http://schemas.openxmlformats.org/officeDocument/2006/relationships/hyperlink" Target="mailto:asrida.djuwita@gdnusantara.com" TargetMode="External"/><Relationship Id="rId103" Type="http://schemas.openxmlformats.org/officeDocument/2006/relationships/hyperlink" Target="mailto:asrida.djuwita@gdnusantara.com" TargetMode="External"/><Relationship Id="rId108" Type="http://schemas.openxmlformats.org/officeDocument/2006/relationships/hyperlink" Target="mailto:mohamad.cholil@circlekindonesia.com" TargetMode="External"/><Relationship Id="rId124" Type="http://schemas.openxmlformats.org/officeDocument/2006/relationships/hyperlink" Target="mailto:siera@matautama.com" TargetMode="External"/><Relationship Id="rId129" Type="http://schemas.openxmlformats.org/officeDocument/2006/relationships/hyperlink" Target="mailto:Galih.b2b@buminet.co.id" TargetMode="External"/><Relationship Id="rId54" Type="http://schemas.openxmlformats.org/officeDocument/2006/relationships/hyperlink" Target="mailto:asrida.djuwita@gdnusantara.com" TargetMode="External"/><Relationship Id="rId70" Type="http://schemas.openxmlformats.org/officeDocument/2006/relationships/hyperlink" Target="mailto:susan@pancaputra.co.id" TargetMode="External"/><Relationship Id="rId75" Type="http://schemas.openxmlformats.org/officeDocument/2006/relationships/hyperlink" Target="mailto:made_indra@datascrip.co.id" TargetMode="External"/><Relationship Id="rId91" Type="http://schemas.openxmlformats.org/officeDocument/2006/relationships/hyperlink" Target="mailto:frilla.triyanditama@gdn-commerce.com" TargetMode="External"/><Relationship Id="rId96" Type="http://schemas.openxmlformats.org/officeDocument/2006/relationships/hyperlink" Target="mailto:siska@bhaktisolusindo.com" TargetMode="External"/><Relationship Id="rId140" Type="http://schemas.openxmlformats.org/officeDocument/2006/relationships/hyperlink" Target="mailto:susan@pancaputra.co.id" TargetMode="External"/><Relationship Id="rId145" Type="http://schemas.openxmlformats.org/officeDocument/2006/relationships/hyperlink" Target="mailto:Marthen.elias@para-star.com" TargetMode="External"/><Relationship Id="rId161" Type="http://schemas.openxmlformats.org/officeDocument/2006/relationships/hyperlink" Target="mailto:fannia.fellialnyoo@gdnusantara.com" TargetMode="External"/><Relationship Id="rId166" Type="http://schemas.openxmlformats.org/officeDocument/2006/relationships/hyperlink" Target="mailto:Galih.b2b@buminet.co.id" TargetMode="External"/><Relationship Id="rId1" Type="http://schemas.openxmlformats.org/officeDocument/2006/relationships/hyperlink" Target="mailto:fransisca.desyanti@faasri.com" TargetMode="External"/><Relationship Id="rId6" Type="http://schemas.openxmlformats.org/officeDocument/2006/relationships/hyperlink" Target="mailto:fransisca.desyanti@faasri.com" TargetMode="External"/><Relationship Id="rId15" Type="http://schemas.openxmlformats.org/officeDocument/2006/relationships/hyperlink" Target="mailto:fransisca.desyanti@faasri.com" TargetMode="External"/><Relationship Id="rId23" Type="http://schemas.openxmlformats.org/officeDocument/2006/relationships/hyperlink" Target="mailto:fransisca.desyanti@faasri.com" TargetMode="External"/><Relationship Id="rId28" Type="http://schemas.openxmlformats.org/officeDocument/2006/relationships/hyperlink" Target="mailto:fransisca.desyanti@faasri.com" TargetMode="External"/><Relationship Id="rId36" Type="http://schemas.openxmlformats.org/officeDocument/2006/relationships/hyperlink" Target="mailto:fransisca.desyanti@faasri.com" TargetMode="External"/><Relationship Id="rId49" Type="http://schemas.openxmlformats.org/officeDocument/2006/relationships/hyperlink" Target="mailto:asrida.djuwita@gdnusantara.com" TargetMode="External"/><Relationship Id="rId57" Type="http://schemas.openxmlformats.org/officeDocument/2006/relationships/hyperlink" Target="mailto:asrida.djuwita@gdnusantara.com" TargetMode="External"/><Relationship Id="rId106" Type="http://schemas.openxmlformats.org/officeDocument/2006/relationships/hyperlink" Target="mailto:mohamad.cholil@circlekindonesia.com" TargetMode="External"/><Relationship Id="rId114" Type="http://schemas.openxmlformats.org/officeDocument/2006/relationships/hyperlink" Target="mailto:admin.mkt@sima.id" TargetMode="External"/><Relationship Id="rId119" Type="http://schemas.openxmlformats.org/officeDocument/2006/relationships/hyperlink" Target="mailto:Galih.b2b@buminet.co.id" TargetMode="External"/><Relationship Id="rId127" Type="http://schemas.openxmlformats.org/officeDocument/2006/relationships/hyperlink" Target="mailto:Marthen.elias@para-star.com" TargetMode="External"/><Relationship Id="rId10" Type="http://schemas.openxmlformats.org/officeDocument/2006/relationships/hyperlink" Target="mailto:fransisca.desyanti@faasri.com" TargetMode="External"/><Relationship Id="rId31" Type="http://schemas.openxmlformats.org/officeDocument/2006/relationships/hyperlink" Target="mailto:fransisca.desyanti@faasri.com" TargetMode="External"/><Relationship Id="rId44" Type="http://schemas.openxmlformats.org/officeDocument/2006/relationships/hyperlink" Target="mailto:fransisca.desyanti@faasri.com" TargetMode="External"/><Relationship Id="rId52" Type="http://schemas.openxmlformats.org/officeDocument/2006/relationships/hyperlink" Target="mailto:asrida.djuwita@gdnusantara.com" TargetMode="External"/><Relationship Id="rId60" Type="http://schemas.openxmlformats.org/officeDocument/2006/relationships/hyperlink" Target="mailto:asrida.djuwita@gdnusantara.com" TargetMode="External"/><Relationship Id="rId65" Type="http://schemas.openxmlformats.org/officeDocument/2006/relationships/hyperlink" Target="mailto:asrida.djuwita@gdnusantara.com" TargetMode="External"/><Relationship Id="rId73" Type="http://schemas.openxmlformats.org/officeDocument/2006/relationships/hyperlink" Target="mailto:made_indra@datascrip.co.id" TargetMode="External"/><Relationship Id="rId78" Type="http://schemas.openxmlformats.org/officeDocument/2006/relationships/hyperlink" Target="mailto:made_indra@datascrip.co.id" TargetMode="External"/><Relationship Id="rId81" Type="http://schemas.openxmlformats.org/officeDocument/2006/relationships/hyperlink" Target="mailto:miftah.agustini@ioh.co.id" TargetMode="External"/><Relationship Id="rId86" Type="http://schemas.openxmlformats.org/officeDocument/2006/relationships/hyperlink" Target="mailto:frilla.triyanditama@gdn-commerce.com" TargetMode="External"/><Relationship Id="rId94" Type="http://schemas.openxmlformats.org/officeDocument/2006/relationships/hyperlink" Target="mailto:frilla.triyanditama@gdn-commerce.com" TargetMode="External"/><Relationship Id="rId99" Type="http://schemas.openxmlformats.org/officeDocument/2006/relationships/hyperlink" Target="mailto:siska@bhaktisolusindo.com" TargetMode="External"/><Relationship Id="rId101" Type="http://schemas.openxmlformats.org/officeDocument/2006/relationships/hyperlink" Target="mailto:asrida.djuwita@gdnusantara.com" TargetMode="External"/><Relationship Id="rId122" Type="http://schemas.openxmlformats.org/officeDocument/2006/relationships/hyperlink" Target="mailto:pt.buka@gmail.com" TargetMode="External"/><Relationship Id="rId130" Type="http://schemas.openxmlformats.org/officeDocument/2006/relationships/hyperlink" Target="mailto:ratih.prabandari@akr.co.id" TargetMode="External"/><Relationship Id="rId135" Type="http://schemas.openxmlformats.org/officeDocument/2006/relationships/hyperlink" Target="mailto:fransisca.desyanti@faasri.com" TargetMode="External"/><Relationship Id="rId143" Type="http://schemas.openxmlformats.org/officeDocument/2006/relationships/hyperlink" Target="mailto:fannia.fellialnyoo@gdnusantara.com" TargetMode="External"/><Relationship Id="rId148" Type="http://schemas.openxmlformats.org/officeDocument/2006/relationships/hyperlink" Target="mailto:cecep.gaos@gmail.com" TargetMode="External"/><Relationship Id="rId151" Type="http://schemas.openxmlformats.org/officeDocument/2006/relationships/hyperlink" Target="mailto:fannia.fellialnyoo@gdnusantara.com" TargetMode="External"/><Relationship Id="rId156" Type="http://schemas.openxmlformats.org/officeDocument/2006/relationships/hyperlink" Target="mailto:fannia.fellialnyoo@gdnusantara.com" TargetMode="External"/><Relationship Id="rId164" Type="http://schemas.openxmlformats.org/officeDocument/2006/relationships/hyperlink" Target="mailto:fannia.fellialnyoo@gdnusantara.com" TargetMode="External"/><Relationship Id="rId169" Type="http://schemas.openxmlformats.org/officeDocument/2006/relationships/hyperlink" Target="mailto:jannah@v2indonesia.com" TargetMode="External"/><Relationship Id="rId4" Type="http://schemas.openxmlformats.org/officeDocument/2006/relationships/hyperlink" Target="mailto:fransisca.desyanti@faasri.com" TargetMode="External"/><Relationship Id="rId9" Type="http://schemas.openxmlformats.org/officeDocument/2006/relationships/hyperlink" Target="mailto:fransisca.desyanti@faasri.com" TargetMode="External"/><Relationship Id="rId13" Type="http://schemas.openxmlformats.org/officeDocument/2006/relationships/hyperlink" Target="mailto:fransisca.desyanti@faasri.com" TargetMode="External"/><Relationship Id="rId18" Type="http://schemas.openxmlformats.org/officeDocument/2006/relationships/hyperlink" Target="mailto:fransisca.desyanti@faasri.com" TargetMode="External"/><Relationship Id="rId39" Type="http://schemas.openxmlformats.org/officeDocument/2006/relationships/hyperlink" Target="mailto:fransisca.desyanti@faasri.com" TargetMode="External"/><Relationship Id="rId109" Type="http://schemas.openxmlformats.org/officeDocument/2006/relationships/hyperlink" Target="mailto:mohamad.cholil@circlekindonesia.com" TargetMode="External"/><Relationship Id="rId34" Type="http://schemas.openxmlformats.org/officeDocument/2006/relationships/hyperlink" Target="mailto:fransisca.desyanti@faasri.com" TargetMode="External"/><Relationship Id="rId50" Type="http://schemas.openxmlformats.org/officeDocument/2006/relationships/hyperlink" Target="mailto:asrida.djuwita@gdnusantara.com" TargetMode="External"/><Relationship Id="rId55" Type="http://schemas.openxmlformats.org/officeDocument/2006/relationships/hyperlink" Target="mailto:asrida.djuwita@gdnusantara.com" TargetMode="External"/><Relationship Id="rId76" Type="http://schemas.openxmlformats.org/officeDocument/2006/relationships/hyperlink" Target="mailto:made_indra@datascrip.co.id" TargetMode="External"/><Relationship Id="rId97" Type="http://schemas.openxmlformats.org/officeDocument/2006/relationships/hyperlink" Target="mailto:siska@bhaktisolusindo.com" TargetMode="External"/><Relationship Id="rId104" Type="http://schemas.openxmlformats.org/officeDocument/2006/relationships/hyperlink" Target="mailto:asrida.djuwita@gdnusantara.com" TargetMode="External"/><Relationship Id="rId120" Type="http://schemas.openxmlformats.org/officeDocument/2006/relationships/hyperlink" Target="mailto:Galih.b2b@buminet.co.id" TargetMode="External"/><Relationship Id="rId125" Type="http://schemas.openxmlformats.org/officeDocument/2006/relationships/hyperlink" Target="mailto:Marthen.elias@para-star.com" TargetMode="External"/><Relationship Id="rId141" Type="http://schemas.openxmlformats.org/officeDocument/2006/relationships/hyperlink" Target="mailto:stephi.melissa@akr.co.id" TargetMode="External"/><Relationship Id="rId146" Type="http://schemas.openxmlformats.org/officeDocument/2006/relationships/hyperlink" Target="mailto:Marthen.elias@para-star.com" TargetMode="External"/><Relationship Id="rId167" Type="http://schemas.openxmlformats.org/officeDocument/2006/relationships/hyperlink" Target="mailto:susan@pancaputra.co.id" TargetMode="External"/><Relationship Id="rId7" Type="http://schemas.openxmlformats.org/officeDocument/2006/relationships/hyperlink" Target="mailto:fransisca.desyanti@faasri.com" TargetMode="External"/><Relationship Id="rId71" Type="http://schemas.openxmlformats.org/officeDocument/2006/relationships/hyperlink" Target="mailto:susan@pancaputra.co.id" TargetMode="External"/><Relationship Id="rId92" Type="http://schemas.openxmlformats.org/officeDocument/2006/relationships/hyperlink" Target="mailto:frilla.triyanditama@gdn-commerce.com" TargetMode="External"/><Relationship Id="rId162" Type="http://schemas.openxmlformats.org/officeDocument/2006/relationships/hyperlink" Target="mailto:fannia.fellialnyoo@gdnusantara.com" TargetMode="External"/><Relationship Id="rId2" Type="http://schemas.openxmlformats.org/officeDocument/2006/relationships/hyperlink" Target="mailto:fransisca.desyanti@faasri.com" TargetMode="External"/><Relationship Id="rId29" Type="http://schemas.openxmlformats.org/officeDocument/2006/relationships/hyperlink" Target="mailto:fransisca.desyanti@faasri.com" TargetMode="External"/><Relationship Id="rId24" Type="http://schemas.openxmlformats.org/officeDocument/2006/relationships/hyperlink" Target="mailto:fransisca.desyanti@faasri.com" TargetMode="External"/><Relationship Id="rId40" Type="http://schemas.openxmlformats.org/officeDocument/2006/relationships/hyperlink" Target="mailto:fransisca.desyanti@faasri.com" TargetMode="External"/><Relationship Id="rId45" Type="http://schemas.openxmlformats.org/officeDocument/2006/relationships/hyperlink" Target="mailto:fransisca.desyanti@faasri.com" TargetMode="External"/><Relationship Id="rId66" Type="http://schemas.openxmlformats.org/officeDocument/2006/relationships/hyperlink" Target="mailto:asrida.djuwita@gdnusantara.com" TargetMode="External"/><Relationship Id="rId87" Type="http://schemas.openxmlformats.org/officeDocument/2006/relationships/hyperlink" Target="mailto:frilla.triyanditama@gdn-commerce.com" TargetMode="External"/><Relationship Id="rId110" Type="http://schemas.openxmlformats.org/officeDocument/2006/relationships/hyperlink" Target="mailto:mohamad.cholil@circlekindonesia.com" TargetMode="External"/><Relationship Id="rId115" Type="http://schemas.openxmlformats.org/officeDocument/2006/relationships/hyperlink" Target="mailto:rudi@central.id" TargetMode="External"/><Relationship Id="rId131" Type="http://schemas.openxmlformats.org/officeDocument/2006/relationships/hyperlink" Target="mailto:ratih.prabandari@akr.co.id" TargetMode="External"/><Relationship Id="rId136" Type="http://schemas.openxmlformats.org/officeDocument/2006/relationships/hyperlink" Target="mailto:fransisca.desyanti@faasri.com" TargetMode="External"/><Relationship Id="rId157" Type="http://schemas.openxmlformats.org/officeDocument/2006/relationships/hyperlink" Target="mailto:fannia.fellialnyoo@gdnusantara.com" TargetMode="External"/><Relationship Id="rId61" Type="http://schemas.openxmlformats.org/officeDocument/2006/relationships/hyperlink" Target="mailto:asrida.djuwita@gdnusantara.com" TargetMode="External"/><Relationship Id="rId82" Type="http://schemas.openxmlformats.org/officeDocument/2006/relationships/hyperlink" Target="mailto:miftah.agustini@ioh.co.id" TargetMode="External"/><Relationship Id="rId152" Type="http://schemas.openxmlformats.org/officeDocument/2006/relationships/hyperlink" Target="mailto:Marthen.elias@para-star.com" TargetMode="External"/><Relationship Id="rId19" Type="http://schemas.openxmlformats.org/officeDocument/2006/relationships/hyperlink" Target="mailto:fransisca.desyanti@faasri.com" TargetMode="External"/><Relationship Id="rId14" Type="http://schemas.openxmlformats.org/officeDocument/2006/relationships/hyperlink" Target="mailto:fransisca.desyanti@faasri.com" TargetMode="External"/><Relationship Id="rId30" Type="http://schemas.openxmlformats.org/officeDocument/2006/relationships/hyperlink" Target="mailto:fransisca.desyanti@faasri.com" TargetMode="External"/><Relationship Id="rId35" Type="http://schemas.openxmlformats.org/officeDocument/2006/relationships/hyperlink" Target="mailto:fransisca.desyanti@faasri.com" TargetMode="External"/><Relationship Id="rId56" Type="http://schemas.openxmlformats.org/officeDocument/2006/relationships/hyperlink" Target="mailto:asrida.djuwita@gdnusantara.com" TargetMode="External"/><Relationship Id="rId77" Type="http://schemas.openxmlformats.org/officeDocument/2006/relationships/hyperlink" Target="mailto:made_indra@datascrip.co.id" TargetMode="External"/><Relationship Id="rId100" Type="http://schemas.openxmlformats.org/officeDocument/2006/relationships/hyperlink" Target="mailto:miftah.agustini@ioh.co.id" TargetMode="External"/><Relationship Id="rId105" Type="http://schemas.openxmlformats.org/officeDocument/2006/relationships/hyperlink" Target="mailto:frilla.triyanditama@gdn-commerce.com" TargetMode="External"/><Relationship Id="rId126" Type="http://schemas.openxmlformats.org/officeDocument/2006/relationships/hyperlink" Target="mailto:Marthen.elias@para-star.com" TargetMode="External"/><Relationship Id="rId147" Type="http://schemas.openxmlformats.org/officeDocument/2006/relationships/hyperlink" Target="mailto:fannia.fellialnyoo@gdnusantara.com" TargetMode="External"/><Relationship Id="rId168" Type="http://schemas.openxmlformats.org/officeDocument/2006/relationships/hyperlink" Target="mailto:susan@pancaputra.co.id" TargetMode="External"/><Relationship Id="rId8" Type="http://schemas.openxmlformats.org/officeDocument/2006/relationships/hyperlink" Target="mailto:fransisca.desyanti@faasri.com" TargetMode="External"/><Relationship Id="rId51" Type="http://schemas.openxmlformats.org/officeDocument/2006/relationships/hyperlink" Target="mailto:asrida.djuwita@gdnusantara.com" TargetMode="External"/><Relationship Id="rId72" Type="http://schemas.openxmlformats.org/officeDocument/2006/relationships/hyperlink" Target="mailto:susan@pancaputra.co.id" TargetMode="External"/><Relationship Id="rId93" Type="http://schemas.openxmlformats.org/officeDocument/2006/relationships/hyperlink" Target="mailto:frilla.triyanditama@gdn-commerce.com" TargetMode="External"/><Relationship Id="rId98" Type="http://schemas.openxmlformats.org/officeDocument/2006/relationships/hyperlink" Target="mailto:siska@bhaktisolusindo.com" TargetMode="External"/><Relationship Id="rId121" Type="http://schemas.openxmlformats.org/officeDocument/2006/relationships/hyperlink" Target="mailto:Galih.b2b@buminet.co.id" TargetMode="External"/><Relationship Id="rId142" Type="http://schemas.openxmlformats.org/officeDocument/2006/relationships/hyperlink" Target="mailto:fannia.fellialnyoo@gdnusantara.com" TargetMode="External"/><Relationship Id="rId163" Type="http://schemas.openxmlformats.org/officeDocument/2006/relationships/hyperlink" Target="mailto:fitri.luciana@obf.id" TargetMode="External"/><Relationship Id="rId3" Type="http://schemas.openxmlformats.org/officeDocument/2006/relationships/hyperlink" Target="mailto:fransisca.desyanti@faasri.com" TargetMode="External"/><Relationship Id="rId25" Type="http://schemas.openxmlformats.org/officeDocument/2006/relationships/hyperlink" Target="mailto:fransisca.desyanti@faasri.com" TargetMode="External"/><Relationship Id="rId46" Type="http://schemas.openxmlformats.org/officeDocument/2006/relationships/hyperlink" Target="mailto:asrida.djuwita@gdnusantara.com" TargetMode="External"/><Relationship Id="rId67" Type="http://schemas.openxmlformats.org/officeDocument/2006/relationships/hyperlink" Target="mailto:asrida.djuwita@gdnusantara.com" TargetMode="External"/><Relationship Id="rId116" Type="http://schemas.openxmlformats.org/officeDocument/2006/relationships/hyperlink" Target="mailto:rudi@central.id" TargetMode="External"/><Relationship Id="rId137" Type="http://schemas.openxmlformats.org/officeDocument/2006/relationships/hyperlink" Target="mailto:cisilia_purchasing@yahoo.com" TargetMode="External"/><Relationship Id="rId158" Type="http://schemas.openxmlformats.org/officeDocument/2006/relationships/hyperlink" Target="mailto:rosma.a@partner.samsung.com" TargetMode="External"/><Relationship Id="rId20" Type="http://schemas.openxmlformats.org/officeDocument/2006/relationships/hyperlink" Target="mailto:fransisca.desyanti@faasri.com" TargetMode="External"/><Relationship Id="rId41" Type="http://schemas.openxmlformats.org/officeDocument/2006/relationships/hyperlink" Target="mailto:fransisca.desyanti@faasri.com" TargetMode="External"/><Relationship Id="rId62" Type="http://schemas.openxmlformats.org/officeDocument/2006/relationships/hyperlink" Target="mailto:asrida.djuwita@gdnusantara.com" TargetMode="External"/><Relationship Id="rId83" Type="http://schemas.openxmlformats.org/officeDocument/2006/relationships/hyperlink" Target="mailto:miftah.agustini@ioh.co.id" TargetMode="External"/><Relationship Id="rId88" Type="http://schemas.openxmlformats.org/officeDocument/2006/relationships/hyperlink" Target="mailto:frilla.triyanditama@gdn-commerce.com" TargetMode="External"/><Relationship Id="rId111" Type="http://schemas.openxmlformats.org/officeDocument/2006/relationships/hyperlink" Target="mailto:mohamad.cholil@circlekindonesia.com" TargetMode="External"/><Relationship Id="rId132" Type="http://schemas.openxmlformats.org/officeDocument/2006/relationships/hyperlink" Target="mailto:Galih.b2b@buminet.co.id" TargetMode="External"/><Relationship Id="rId153" Type="http://schemas.openxmlformats.org/officeDocument/2006/relationships/hyperlink" Target="mailto:asuryanto@ho.otsuka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25"/>
  <sheetViews>
    <sheetView topLeftCell="A13" workbookViewId="0">
      <selection activeCell="E11" sqref="E11"/>
    </sheetView>
  </sheetViews>
  <sheetFormatPr defaultColWidth="9" defaultRowHeight="15"/>
  <cols>
    <col min="1" max="1" width="28.7109375" customWidth="1"/>
    <col min="2" max="2" width="16.42578125" customWidth="1"/>
  </cols>
  <sheetData>
    <row r="3" spans="1:2">
      <c r="A3" t="s">
        <v>0</v>
      </c>
      <c r="B3" t="s">
        <v>1</v>
      </c>
    </row>
    <row r="4" spans="1:2">
      <c r="A4" s="3" t="s">
        <v>2</v>
      </c>
      <c r="B4">
        <v>1</v>
      </c>
    </row>
    <row r="5" spans="1:2">
      <c r="A5" s="3" t="s">
        <v>3</v>
      </c>
      <c r="B5">
        <v>1</v>
      </c>
    </row>
    <row r="6" spans="1:2">
      <c r="A6" s="3" t="s">
        <v>4</v>
      </c>
      <c r="B6">
        <v>1</v>
      </c>
    </row>
    <row r="7" spans="1:2">
      <c r="A7" s="3" t="s">
        <v>5</v>
      </c>
      <c r="B7">
        <v>8</v>
      </c>
    </row>
    <row r="8" spans="1:2">
      <c r="A8" s="3" t="s">
        <v>6</v>
      </c>
      <c r="B8">
        <v>4</v>
      </c>
    </row>
    <row r="9" spans="1:2">
      <c r="A9" s="3" t="s">
        <v>7</v>
      </c>
      <c r="B9">
        <v>7</v>
      </c>
    </row>
    <row r="10" spans="1:2">
      <c r="A10" s="3" t="s">
        <v>8</v>
      </c>
      <c r="B10">
        <v>1</v>
      </c>
    </row>
    <row r="11" spans="1:2">
      <c r="A11" s="3" t="s">
        <v>9</v>
      </c>
      <c r="B11">
        <v>282</v>
      </c>
    </row>
    <row r="12" spans="1:2">
      <c r="A12" s="3" t="s">
        <v>10</v>
      </c>
      <c r="B12">
        <v>6</v>
      </c>
    </row>
    <row r="13" spans="1:2">
      <c r="A13" s="3" t="s">
        <v>11</v>
      </c>
      <c r="B13">
        <v>10</v>
      </c>
    </row>
    <row r="14" spans="1:2">
      <c r="A14" s="3" t="s">
        <v>12</v>
      </c>
      <c r="B14">
        <v>8</v>
      </c>
    </row>
    <row r="15" spans="1:2">
      <c r="A15" s="3" t="s">
        <v>13</v>
      </c>
      <c r="B15">
        <v>1</v>
      </c>
    </row>
    <row r="16" spans="1:2">
      <c r="A16" s="3" t="s">
        <v>14</v>
      </c>
      <c r="B16">
        <v>1</v>
      </c>
    </row>
    <row r="17" spans="1:2">
      <c r="A17" s="3" t="s">
        <v>15</v>
      </c>
      <c r="B17">
        <v>2</v>
      </c>
    </row>
    <row r="18" spans="1:2">
      <c r="A18" s="3" t="s">
        <v>16</v>
      </c>
      <c r="B18">
        <v>1</v>
      </c>
    </row>
    <row r="19" spans="1:2">
      <c r="A19" s="3" t="s">
        <v>17</v>
      </c>
      <c r="B19">
        <v>23</v>
      </c>
    </row>
    <row r="20" spans="1:2">
      <c r="A20" s="3" t="s">
        <v>18</v>
      </c>
      <c r="B20">
        <v>7</v>
      </c>
    </row>
    <row r="21" spans="1:2">
      <c r="A21" s="3" t="s">
        <v>19</v>
      </c>
      <c r="B21">
        <v>1</v>
      </c>
    </row>
    <row r="22" spans="1:2">
      <c r="A22" s="3" t="s">
        <v>20</v>
      </c>
      <c r="B22">
        <v>1</v>
      </c>
    </row>
    <row r="23" spans="1:2">
      <c r="A23" s="3" t="s">
        <v>21</v>
      </c>
      <c r="B23">
        <v>1</v>
      </c>
    </row>
    <row r="24" spans="1:2">
      <c r="A24" s="3" t="s">
        <v>22</v>
      </c>
    </row>
    <row r="25" spans="1:2">
      <c r="A25" s="3" t="s">
        <v>23</v>
      </c>
      <c r="B25">
        <v>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Q429"/>
  <sheetViews>
    <sheetView zoomScale="85" zoomScaleNormal="85" workbookViewId="0">
      <pane ySplit="3" topLeftCell="A420" activePane="bottomLeft" state="frozen"/>
      <selection pane="bottomLeft" activeCell="F431" sqref="F431"/>
    </sheetView>
  </sheetViews>
  <sheetFormatPr defaultColWidth="9.140625" defaultRowHeight="15"/>
  <cols>
    <col min="1" max="1" width="4.140625" customWidth="1"/>
    <col min="2" max="2" width="5.7109375" style="2" customWidth="1"/>
    <col min="3" max="3" width="20" customWidth="1"/>
    <col min="4" max="4" width="28.140625" style="3" customWidth="1"/>
    <col min="5" max="5" width="29.28515625" style="4" customWidth="1"/>
    <col min="6" max="6" width="56.140625" customWidth="1"/>
    <col min="7" max="7" width="23.85546875" customWidth="1"/>
    <col min="8" max="8" width="24" customWidth="1"/>
    <col min="9" max="9" width="21.7109375" customWidth="1"/>
    <col min="10" max="10" width="42" style="6" customWidth="1"/>
    <col min="11" max="11" width="37.85546875" customWidth="1"/>
    <col min="12" max="12" width="10.7109375" style="7" customWidth="1"/>
    <col min="13" max="13" width="16.28515625" customWidth="1"/>
    <col min="14" max="14" width="9.140625" customWidth="1"/>
    <col min="15" max="15" width="17.140625" customWidth="1"/>
    <col min="16" max="16" width="18.42578125" customWidth="1"/>
    <col min="17" max="17" width="18" customWidth="1"/>
    <col min="19" max="19" width="14.28515625" customWidth="1"/>
  </cols>
  <sheetData>
    <row r="2" spans="2:17">
      <c r="B2" s="374" t="s">
        <v>24</v>
      </c>
      <c r="C2" s="372" t="s">
        <v>25</v>
      </c>
      <c r="D2" s="10"/>
      <c r="E2" s="376" t="s">
        <v>26</v>
      </c>
      <c r="F2" s="372" t="s">
        <v>27</v>
      </c>
      <c r="G2" s="13" t="s">
        <v>28</v>
      </c>
      <c r="H2" s="13" t="s">
        <v>29</v>
      </c>
      <c r="I2" s="13" t="s">
        <v>30</v>
      </c>
      <c r="J2" s="372" t="s">
        <v>31</v>
      </c>
      <c r="K2" s="372" t="s">
        <v>32</v>
      </c>
      <c r="L2" s="33"/>
      <c r="M2" s="370" t="s">
        <v>33</v>
      </c>
      <c r="N2" s="372" t="s">
        <v>34</v>
      </c>
      <c r="O2" s="370" t="s">
        <v>35</v>
      </c>
      <c r="P2" s="370" t="s">
        <v>36</v>
      </c>
      <c r="Q2" s="370" t="s">
        <v>37</v>
      </c>
    </row>
    <row r="3" spans="2:17">
      <c r="B3" s="375"/>
      <c r="C3" s="373"/>
      <c r="D3" s="14" t="s">
        <v>38</v>
      </c>
      <c r="E3" s="377"/>
      <c r="F3" s="373"/>
      <c r="G3" s="13" t="s">
        <v>28</v>
      </c>
      <c r="H3" s="13" t="s">
        <v>29</v>
      </c>
      <c r="I3" s="13" t="s">
        <v>30</v>
      </c>
      <c r="J3" s="373"/>
      <c r="K3" s="373"/>
      <c r="L3" s="35" t="s">
        <v>39</v>
      </c>
      <c r="M3" s="371"/>
      <c r="N3" s="373"/>
      <c r="O3" s="371"/>
      <c r="P3" s="371"/>
      <c r="Q3" s="371"/>
    </row>
    <row r="4" spans="2:17">
      <c r="B4" s="200">
        <v>1</v>
      </c>
      <c r="C4" s="201" t="s">
        <v>40</v>
      </c>
      <c r="D4" s="202" t="s">
        <v>41</v>
      </c>
      <c r="E4" s="203" t="s">
        <v>8</v>
      </c>
      <c r="F4" s="203" t="s">
        <v>42</v>
      </c>
      <c r="G4" s="201"/>
      <c r="H4" s="201" t="s">
        <v>43</v>
      </c>
      <c r="I4" s="201"/>
      <c r="J4" s="203" t="s">
        <v>44</v>
      </c>
      <c r="K4" s="201" t="s">
        <v>45</v>
      </c>
      <c r="L4" s="218">
        <v>43893</v>
      </c>
      <c r="M4" s="219">
        <v>41205</v>
      </c>
      <c r="N4" s="220">
        <v>200</v>
      </c>
      <c r="O4" s="219">
        <f t="shared" ref="O4:O20" si="0">SUM(M4*N4)</f>
        <v>8241000</v>
      </c>
      <c r="P4" s="220">
        <v>45000</v>
      </c>
      <c r="Q4" s="220">
        <f>P4*N4</f>
        <v>9000000</v>
      </c>
    </row>
    <row r="5" spans="2:17">
      <c r="B5" s="200">
        <v>2</v>
      </c>
      <c r="C5" s="204" t="s">
        <v>46</v>
      </c>
      <c r="D5" s="205" t="s">
        <v>47</v>
      </c>
      <c r="E5" s="206" t="s">
        <v>9</v>
      </c>
      <c r="F5" s="206" t="s">
        <v>48</v>
      </c>
      <c r="G5" s="204"/>
      <c r="H5" s="204" t="s">
        <v>49</v>
      </c>
      <c r="I5" s="204"/>
      <c r="J5" s="206" t="s">
        <v>50</v>
      </c>
      <c r="K5" s="204" t="s">
        <v>51</v>
      </c>
      <c r="L5" s="221">
        <v>44193</v>
      </c>
      <c r="M5" s="222">
        <v>254545</v>
      </c>
      <c r="N5" s="223">
        <v>1</v>
      </c>
      <c r="O5" s="222">
        <f t="shared" si="0"/>
        <v>254545</v>
      </c>
      <c r="P5" s="223">
        <v>275000</v>
      </c>
      <c r="Q5" s="223">
        <f t="shared" ref="Q5:Q15" si="1">P5*N5</f>
        <v>275000</v>
      </c>
    </row>
    <row r="6" spans="2:17">
      <c r="B6" s="200">
        <v>3</v>
      </c>
      <c r="C6" s="204" t="s">
        <v>52</v>
      </c>
      <c r="D6" s="205" t="s">
        <v>53</v>
      </c>
      <c r="E6" s="206" t="s">
        <v>9</v>
      </c>
      <c r="F6" s="206" t="s">
        <v>54</v>
      </c>
      <c r="G6" s="204"/>
      <c r="H6" s="204" t="s">
        <v>55</v>
      </c>
      <c r="I6" s="204"/>
      <c r="J6" s="206" t="s">
        <v>50</v>
      </c>
      <c r="K6" s="204" t="s">
        <v>56</v>
      </c>
      <c r="L6" s="221">
        <v>43836</v>
      </c>
      <c r="M6" s="222">
        <v>254545</v>
      </c>
      <c r="N6" s="223">
        <v>5</v>
      </c>
      <c r="O6" s="222">
        <f t="shared" si="0"/>
        <v>1272725</v>
      </c>
      <c r="P6" s="223">
        <v>275000</v>
      </c>
      <c r="Q6" s="223">
        <f t="shared" si="1"/>
        <v>1375000</v>
      </c>
    </row>
    <row r="7" spans="2:17">
      <c r="B7" s="200">
        <v>4</v>
      </c>
      <c r="C7" s="204" t="s">
        <v>52</v>
      </c>
      <c r="D7" s="205" t="s">
        <v>53</v>
      </c>
      <c r="E7" s="206" t="s">
        <v>9</v>
      </c>
      <c r="F7" s="206" t="s">
        <v>57</v>
      </c>
      <c r="G7" s="204"/>
      <c r="H7" s="204" t="s">
        <v>55</v>
      </c>
      <c r="I7" s="204"/>
      <c r="J7" s="206" t="s">
        <v>50</v>
      </c>
      <c r="K7" s="204" t="s">
        <v>58</v>
      </c>
      <c r="L7" s="221">
        <v>43836</v>
      </c>
      <c r="M7" s="222">
        <v>254545</v>
      </c>
      <c r="N7" s="223">
        <v>7</v>
      </c>
      <c r="O7" s="222">
        <f t="shared" si="0"/>
        <v>1781815</v>
      </c>
      <c r="P7" s="223">
        <v>275000</v>
      </c>
      <c r="Q7" s="223">
        <f t="shared" si="1"/>
        <v>1925000</v>
      </c>
    </row>
    <row r="8" spans="2:17">
      <c r="B8" s="200">
        <v>5</v>
      </c>
      <c r="C8" s="204" t="s">
        <v>59</v>
      </c>
      <c r="D8" s="205" t="s">
        <v>60</v>
      </c>
      <c r="E8" s="206"/>
      <c r="F8" s="206" t="s">
        <v>61</v>
      </c>
      <c r="G8" s="204"/>
      <c r="H8" s="204" t="s">
        <v>62</v>
      </c>
      <c r="I8" s="204"/>
      <c r="J8" s="206" t="s">
        <v>63</v>
      </c>
      <c r="K8" s="204" t="s">
        <v>64</v>
      </c>
      <c r="L8" s="221">
        <v>43837</v>
      </c>
      <c r="M8" s="222">
        <v>92727</v>
      </c>
      <c r="N8" s="223">
        <v>10</v>
      </c>
      <c r="O8" s="222">
        <f t="shared" si="0"/>
        <v>927270</v>
      </c>
      <c r="P8" s="223">
        <v>198400</v>
      </c>
      <c r="Q8" s="223">
        <f t="shared" si="1"/>
        <v>1984000</v>
      </c>
    </row>
    <row r="9" spans="2:17">
      <c r="B9" s="200">
        <v>6</v>
      </c>
      <c r="C9" s="204" t="s">
        <v>65</v>
      </c>
      <c r="D9" s="205" t="s">
        <v>66</v>
      </c>
      <c r="E9" s="206" t="s">
        <v>9</v>
      </c>
      <c r="F9" s="206" t="s">
        <v>67</v>
      </c>
      <c r="G9" s="204"/>
      <c r="H9" s="204" t="s">
        <v>68</v>
      </c>
      <c r="I9" s="204"/>
      <c r="J9" s="206" t="s">
        <v>50</v>
      </c>
      <c r="K9" s="204" t="s">
        <v>69</v>
      </c>
      <c r="L9" s="221">
        <v>44211</v>
      </c>
      <c r="M9" s="222">
        <v>254545</v>
      </c>
      <c r="N9" s="223">
        <v>2</v>
      </c>
      <c r="O9" s="222">
        <f t="shared" si="0"/>
        <v>509090</v>
      </c>
      <c r="P9" s="223">
        <v>275000</v>
      </c>
      <c r="Q9" s="223">
        <f t="shared" si="1"/>
        <v>550000</v>
      </c>
    </row>
    <row r="10" spans="2:17">
      <c r="B10" s="200">
        <v>7</v>
      </c>
      <c r="C10" s="204" t="s">
        <v>70</v>
      </c>
      <c r="D10" s="205" t="s">
        <v>71</v>
      </c>
      <c r="E10" s="206" t="s">
        <v>9</v>
      </c>
      <c r="F10" s="206" t="s">
        <v>72</v>
      </c>
      <c r="G10" s="204"/>
      <c r="H10" s="204" t="s">
        <v>73</v>
      </c>
      <c r="I10" s="204"/>
      <c r="J10" s="206" t="s">
        <v>50</v>
      </c>
      <c r="K10" s="204" t="s">
        <v>74</v>
      </c>
      <c r="L10" s="221">
        <v>44214</v>
      </c>
      <c r="M10" s="222">
        <v>254545</v>
      </c>
      <c r="N10" s="223">
        <v>1</v>
      </c>
      <c r="O10" s="222">
        <f t="shared" si="0"/>
        <v>254545</v>
      </c>
      <c r="P10" s="223">
        <v>275000</v>
      </c>
      <c r="Q10" s="223">
        <f t="shared" si="1"/>
        <v>275000</v>
      </c>
    </row>
    <row r="11" spans="2:17">
      <c r="B11" s="200">
        <v>8</v>
      </c>
      <c r="C11" s="204" t="s">
        <v>75</v>
      </c>
      <c r="D11" s="205" t="s">
        <v>76</v>
      </c>
      <c r="E11" s="206" t="s">
        <v>9</v>
      </c>
      <c r="F11" s="206" t="s">
        <v>77</v>
      </c>
      <c r="G11" s="204"/>
      <c r="H11" s="204" t="s">
        <v>78</v>
      </c>
      <c r="I11" s="204"/>
      <c r="J11" s="206" t="s">
        <v>50</v>
      </c>
      <c r="K11" s="204" t="s">
        <v>79</v>
      </c>
      <c r="L11" s="221">
        <v>44221</v>
      </c>
      <c r="M11" s="222">
        <v>254545</v>
      </c>
      <c r="N11" s="223">
        <v>1</v>
      </c>
      <c r="O11" s="222">
        <f t="shared" si="0"/>
        <v>254545</v>
      </c>
      <c r="P11" s="223">
        <v>275000</v>
      </c>
      <c r="Q11" s="223">
        <f t="shared" si="1"/>
        <v>275000</v>
      </c>
    </row>
    <row r="12" spans="2:17">
      <c r="B12" s="200">
        <v>9</v>
      </c>
      <c r="C12" s="204" t="s">
        <v>80</v>
      </c>
      <c r="D12" s="205" t="s">
        <v>81</v>
      </c>
      <c r="E12" s="206" t="s">
        <v>82</v>
      </c>
      <c r="F12" s="206" t="s">
        <v>83</v>
      </c>
      <c r="G12" s="204"/>
      <c r="H12" s="204" t="s">
        <v>84</v>
      </c>
      <c r="I12" s="204"/>
      <c r="J12" s="206" t="s">
        <v>85</v>
      </c>
      <c r="K12" s="204" t="s">
        <v>86</v>
      </c>
      <c r="L12" s="221">
        <v>44222</v>
      </c>
      <c r="M12" s="222">
        <v>222727</v>
      </c>
      <c r="N12" s="223">
        <v>250</v>
      </c>
      <c r="O12" s="222">
        <f t="shared" si="0"/>
        <v>55681750</v>
      </c>
      <c r="P12" s="223">
        <v>279090.90999999997</v>
      </c>
      <c r="Q12" s="223">
        <f t="shared" si="1"/>
        <v>69772727.5</v>
      </c>
    </row>
    <row r="13" spans="2:17">
      <c r="B13" s="200">
        <v>10</v>
      </c>
      <c r="C13" s="204" t="s">
        <v>87</v>
      </c>
      <c r="D13" s="205">
        <v>78130</v>
      </c>
      <c r="E13" s="206" t="s">
        <v>17</v>
      </c>
      <c r="F13" s="206" t="s">
        <v>88</v>
      </c>
      <c r="G13" s="204"/>
      <c r="H13" s="204" t="s">
        <v>89</v>
      </c>
      <c r="I13" s="204"/>
      <c r="J13" s="206" t="s">
        <v>85</v>
      </c>
      <c r="K13" s="204" t="s">
        <v>90</v>
      </c>
      <c r="L13" s="221">
        <v>44224</v>
      </c>
      <c r="M13" s="222">
        <v>222727</v>
      </c>
      <c r="N13" s="223">
        <v>49</v>
      </c>
      <c r="O13" s="222">
        <f t="shared" si="0"/>
        <v>10913623</v>
      </c>
      <c r="P13" s="223">
        <v>279090.90999999997</v>
      </c>
      <c r="Q13" s="223">
        <f t="shared" si="1"/>
        <v>13675454.589999998</v>
      </c>
    </row>
    <row r="14" spans="2:17">
      <c r="B14" s="200">
        <v>11</v>
      </c>
      <c r="C14" s="204" t="s">
        <v>91</v>
      </c>
      <c r="D14" s="205">
        <v>78130</v>
      </c>
      <c r="E14" s="206" t="s">
        <v>17</v>
      </c>
      <c r="F14" s="206" t="s">
        <v>88</v>
      </c>
      <c r="G14" s="204"/>
      <c r="H14" s="204" t="s">
        <v>89</v>
      </c>
      <c r="I14" s="204"/>
      <c r="J14" s="206" t="s">
        <v>92</v>
      </c>
      <c r="K14" s="204" t="s">
        <v>93</v>
      </c>
      <c r="L14" s="221">
        <v>44224</v>
      </c>
      <c r="M14" s="222">
        <v>46364</v>
      </c>
      <c r="N14" s="223">
        <v>49</v>
      </c>
      <c r="O14" s="222">
        <f t="shared" si="0"/>
        <v>2271836</v>
      </c>
      <c r="P14" s="223">
        <v>58181.82</v>
      </c>
      <c r="Q14" s="223">
        <f t="shared" si="1"/>
        <v>2850909.18</v>
      </c>
    </row>
    <row r="15" spans="2:17">
      <c r="B15" s="200">
        <v>12</v>
      </c>
      <c r="C15" s="207" t="s">
        <v>94</v>
      </c>
      <c r="D15" s="208" t="s">
        <v>95</v>
      </c>
      <c r="E15" s="209" t="s">
        <v>9</v>
      </c>
      <c r="F15" s="209" t="s">
        <v>96</v>
      </c>
      <c r="G15" s="207"/>
      <c r="H15" s="207" t="s">
        <v>97</v>
      </c>
      <c r="I15" s="207"/>
      <c r="J15" s="209" t="s">
        <v>50</v>
      </c>
      <c r="K15" s="207" t="s">
        <v>98</v>
      </c>
      <c r="L15" s="224">
        <v>44224</v>
      </c>
      <c r="M15" s="225">
        <v>254545</v>
      </c>
      <c r="N15" s="226">
        <v>1</v>
      </c>
      <c r="O15" s="225">
        <f t="shared" si="0"/>
        <v>254545</v>
      </c>
      <c r="P15" s="226">
        <v>275000</v>
      </c>
      <c r="Q15" s="226">
        <f t="shared" si="1"/>
        <v>275000</v>
      </c>
    </row>
    <row r="16" spans="2:17">
      <c r="B16" s="200">
        <v>13</v>
      </c>
      <c r="C16" s="207" t="s">
        <v>99</v>
      </c>
      <c r="D16" s="208" t="s">
        <v>100</v>
      </c>
      <c r="E16" s="209" t="s">
        <v>9</v>
      </c>
      <c r="F16" s="209" t="s">
        <v>101</v>
      </c>
      <c r="G16" s="207"/>
      <c r="H16" s="207" t="s">
        <v>102</v>
      </c>
      <c r="I16" s="207"/>
      <c r="J16" s="209" t="s">
        <v>50</v>
      </c>
      <c r="K16" s="207" t="s">
        <v>103</v>
      </c>
      <c r="L16" s="224">
        <v>44229</v>
      </c>
      <c r="M16" s="225">
        <v>254545</v>
      </c>
      <c r="N16" s="226">
        <v>1</v>
      </c>
      <c r="O16" s="225">
        <f t="shared" si="0"/>
        <v>254545</v>
      </c>
      <c r="P16" s="226">
        <v>275000</v>
      </c>
      <c r="Q16" s="226">
        <f t="shared" ref="Q16:Q79" si="2">P16*N16</f>
        <v>275000</v>
      </c>
    </row>
    <row r="17" spans="2:17">
      <c r="B17" s="200">
        <v>14</v>
      </c>
      <c r="C17" s="207" t="s">
        <v>104</v>
      </c>
      <c r="D17" s="208" t="s">
        <v>105</v>
      </c>
      <c r="E17" s="209" t="s">
        <v>9</v>
      </c>
      <c r="F17" s="209" t="s">
        <v>106</v>
      </c>
      <c r="G17" s="207"/>
      <c r="H17" s="207" t="s">
        <v>107</v>
      </c>
      <c r="I17" s="207"/>
      <c r="J17" s="209" t="s">
        <v>50</v>
      </c>
      <c r="K17" s="207" t="s">
        <v>108</v>
      </c>
      <c r="L17" s="224">
        <v>44232</v>
      </c>
      <c r="M17" s="225">
        <v>254545</v>
      </c>
      <c r="N17" s="226">
        <v>1</v>
      </c>
      <c r="O17" s="225">
        <f t="shared" si="0"/>
        <v>254545</v>
      </c>
      <c r="P17" s="226">
        <v>275000</v>
      </c>
      <c r="Q17" s="226">
        <f t="shared" si="2"/>
        <v>275000</v>
      </c>
    </row>
    <row r="18" spans="2:17">
      <c r="B18" s="200">
        <v>15</v>
      </c>
      <c r="C18" s="207" t="s">
        <v>109</v>
      </c>
      <c r="D18" s="208" t="s">
        <v>105</v>
      </c>
      <c r="E18" s="209" t="s">
        <v>9</v>
      </c>
      <c r="F18" s="209" t="s">
        <v>110</v>
      </c>
      <c r="G18" s="207"/>
      <c r="H18" s="207" t="s">
        <v>111</v>
      </c>
      <c r="I18" s="207"/>
      <c r="J18" s="209" t="s">
        <v>50</v>
      </c>
      <c r="K18" s="207" t="s">
        <v>112</v>
      </c>
      <c r="L18" s="224">
        <v>44237</v>
      </c>
      <c r="M18" s="225">
        <v>254545</v>
      </c>
      <c r="N18" s="226">
        <v>1</v>
      </c>
      <c r="O18" s="225">
        <f t="shared" si="0"/>
        <v>254545</v>
      </c>
      <c r="P18" s="226">
        <v>275000</v>
      </c>
      <c r="Q18" s="226">
        <f t="shared" si="2"/>
        <v>275000</v>
      </c>
    </row>
    <row r="19" spans="2:17">
      <c r="B19" s="200">
        <v>16</v>
      </c>
      <c r="C19" s="207" t="s">
        <v>113</v>
      </c>
      <c r="D19" s="208">
        <v>78349</v>
      </c>
      <c r="E19" s="209" t="s">
        <v>17</v>
      </c>
      <c r="F19" s="209" t="s">
        <v>114</v>
      </c>
      <c r="G19" s="207"/>
      <c r="H19" s="207" t="s">
        <v>115</v>
      </c>
      <c r="I19" s="207"/>
      <c r="J19" s="209" t="s">
        <v>85</v>
      </c>
      <c r="K19" s="207" t="s">
        <v>116</v>
      </c>
      <c r="L19" s="224">
        <v>44245</v>
      </c>
      <c r="M19" s="225">
        <v>171818</v>
      </c>
      <c r="N19" s="226">
        <v>20</v>
      </c>
      <c r="O19" s="225">
        <f t="shared" si="0"/>
        <v>3436360</v>
      </c>
      <c r="P19" s="226">
        <v>279090.90999999997</v>
      </c>
      <c r="Q19" s="226">
        <f t="shared" si="2"/>
        <v>5581818.1999999993</v>
      </c>
    </row>
    <row r="20" spans="2:17">
      <c r="B20" s="200">
        <v>17</v>
      </c>
      <c r="C20" s="207" t="s">
        <v>117</v>
      </c>
      <c r="D20" s="208">
        <v>78349</v>
      </c>
      <c r="E20" s="209" t="s">
        <v>17</v>
      </c>
      <c r="F20" s="209" t="s">
        <v>114</v>
      </c>
      <c r="G20" s="207"/>
      <c r="H20" s="207" t="s">
        <v>115</v>
      </c>
      <c r="I20" s="207"/>
      <c r="J20" s="209" t="s">
        <v>92</v>
      </c>
      <c r="K20" s="207" t="s">
        <v>118</v>
      </c>
      <c r="L20" s="224">
        <v>44245</v>
      </c>
      <c r="M20" s="225">
        <v>40909</v>
      </c>
      <c r="N20" s="226">
        <v>20</v>
      </c>
      <c r="O20" s="225">
        <f t="shared" si="0"/>
        <v>818180</v>
      </c>
      <c r="P20" s="226">
        <v>58181.82</v>
      </c>
      <c r="Q20" s="226">
        <f t="shared" si="2"/>
        <v>1163636.3999999999</v>
      </c>
    </row>
    <row r="21" spans="2:17">
      <c r="B21" s="200">
        <v>18</v>
      </c>
      <c r="C21" s="207" t="s">
        <v>119</v>
      </c>
      <c r="D21" s="208" t="s">
        <v>120</v>
      </c>
      <c r="E21" s="209" t="s">
        <v>9</v>
      </c>
      <c r="F21" s="209" t="s">
        <v>121</v>
      </c>
      <c r="G21" s="207"/>
      <c r="H21" s="207" t="s">
        <v>122</v>
      </c>
      <c r="I21" s="207"/>
      <c r="J21" s="209" t="s">
        <v>50</v>
      </c>
      <c r="K21" s="207" t="s">
        <v>123</v>
      </c>
      <c r="L21" s="224">
        <v>44251</v>
      </c>
      <c r="M21" s="225">
        <v>254545</v>
      </c>
      <c r="N21" s="226">
        <v>2</v>
      </c>
      <c r="O21" s="225">
        <f t="shared" ref="O21" si="3">SUM(M21*N21)</f>
        <v>509090</v>
      </c>
      <c r="P21" s="226">
        <v>275000</v>
      </c>
      <c r="Q21" s="226">
        <f t="shared" si="2"/>
        <v>550000</v>
      </c>
    </row>
    <row r="22" spans="2:17">
      <c r="B22" s="200">
        <v>19</v>
      </c>
      <c r="C22" s="210" t="s">
        <v>124</v>
      </c>
      <c r="D22" s="211" t="s">
        <v>125</v>
      </c>
      <c r="E22" s="212" t="s">
        <v>9</v>
      </c>
      <c r="F22" s="213" t="s">
        <v>126</v>
      </c>
      <c r="G22" s="210"/>
      <c r="H22" s="210" t="s">
        <v>127</v>
      </c>
      <c r="I22" s="210"/>
      <c r="J22" s="213" t="s">
        <v>50</v>
      </c>
      <c r="K22" s="210" t="s">
        <v>128</v>
      </c>
      <c r="L22" s="227">
        <v>44257</v>
      </c>
      <c r="M22" s="228">
        <v>254545</v>
      </c>
      <c r="N22" s="210">
        <v>2</v>
      </c>
      <c r="O22" s="229">
        <f>N22*M22</f>
        <v>509090</v>
      </c>
      <c r="P22" s="229">
        <v>275000</v>
      </c>
      <c r="Q22" s="229">
        <f t="shared" si="2"/>
        <v>550000</v>
      </c>
    </row>
    <row r="23" spans="2:17">
      <c r="B23" s="200">
        <v>20</v>
      </c>
      <c r="C23" s="210" t="s">
        <v>129</v>
      </c>
      <c r="D23" s="211" t="s">
        <v>130</v>
      </c>
      <c r="E23" s="212" t="s">
        <v>5</v>
      </c>
      <c r="F23" s="213" t="s">
        <v>131</v>
      </c>
      <c r="G23" s="210"/>
      <c r="H23" s="210" t="s">
        <v>132</v>
      </c>
      <c r="I23" s="210"/>
      <c r="J23" s="213" t="s">
        <v>50</v>
      </c>
      <c r="K23" s="210" t="s">
        <v>133</v>
      </c>
      <c r="L23" s="227">
        <v>44259</v>
      </c>
      <c r="M23" s="228">
        <v>444545</v>
      </c>
      <c r="N23" s="210">
        <v>38</v>
      </c>
      <c r="O23" s="229">
        <f>N23*M23</f>
        <v>16892710</v>
      </c>
      <c r="P23" s="229">
        <v>545455</v>
      </c>
      <c r="Q23" s="229">
        <f t="shared" si="2"/>
        <v>20727290</v>
      </c>
    </row>
    <row r="24" spans="2:17">
      <c r="B24" s="200">
        <v>21</v>
      </c>
      <c r="C24" s="210" t="s">
        <v>134</v>
      </c>
      <c r="D24" s="211" t="s">
        <v>135</v>
      </c>
      <c r="E24" s="212" t="s">
        <v>9</v>
      </c>
      <c r="F24" s="213" t="s">
        <v>136</v>
      </c>
      <c r="G24" s="210"/>
      <c r="H24" s="210" t="s">
        <v>137</v>
      </c>
      <c r="I24" s="210"/>
      <c r="J24" s="213" t="s">
        <v>50</v>
      </c>
      <c r="K24" s="210" t="s">
        <v>138</v>
      </c>
      <c r="L24" s="227">
        <v>44264</v>
      </c>
      <c r="M24" s="228">
        <v>254545</v>
      </c>
      <c r="N24" s="210">
        <v>3</v>
      </c>
      <c r="O24" s="229">
        <f>N24*M24</f>
        <v>763635</v>
      </c>
      <c r="P24" s="229">
        <v>275000</v>
      </c>
      <c r="Q24" s="229">
        <f t="shared" si="2"/>
        <v>825000</v>
      </c>
    </row>
    <row r="25" spans="2:17">
      <c r="B25" s="200">
        <v>22</v>
      </c>
      <c r="C25" s="210" t="s">
        <v>139</v>
      </c>
      <c r="D25" s="211" t="s">
        <v>140</v>
      </c>
      <c r="E25" s="212" t="s">
        <v>9</v>
      </c>
      <c r="F25" s="213" t="s">
        <v>141</v>
      </c>
      <c r="G25" s="210"/>
      <c r="H25" s="210" t="s">
        <v>142</v>
      </c>
      <c r="I25" s="210"/>
      <c r="J25" s="213" t="s">
        <v>50</v>
      </c>
      <c r="K25" s="210" t="s">
        <v>143</v>
      </c>
      <c r="L25" s="227">
        <v>44271</v>
      </c>
      <c r="M25" s="228">
        <v>254545</v>
      </c>
      <c r="N25" s="210">
        <v>1</v>
      </c>
      <c r="O25" s="229">
        <f t="shared" ref="O25:O57" si="4">N25*M25</f>
        <v>254545</v>
      </c>
      <c r="P25" s="229">
        <v>275000</v>
      </c>
      <c r="Q25" s="229">
        <f t="shared" si="2"/>
        <v>275000</v>
      </c>
    </row>
    <row r="26" spans="2:17">
      <c r="B26" s="200">
        <v>23</v>
      </c>
      <c r="C26" s="210" t="s">
        <v>144</v>
      </c>
      <c r="D26" s="211" t="s">
        <v>140</v>
      </c>
      <c r="E26" s="212" t="s">
        <v>9</v>
      </c>
      <c r="F26" s="213" t="s">
        <v>145</v>
      </c>
      <c r="G26" s="210"/>
      <c r="H26" s="210" t="s">
        <v>142</v>
      </c>
      <c r="I26" s="210"/>
      <c r="J26" s="213" t="s">
        <v>50</v>
      </c>
      <c r="K26" s="210" t="s">
        <v>146</v>
      </c>
      <c r="L26" s="227">
        <v>44271</v>
      </c>
      <c r="M26" s="228">
        <v>254545</v>
      </c>
      <c r="N26" s="210">
        <v>1</v>
      </c>
      <c r="O26" s="229">
        <f t="shared" si="4"/>
        <v>254545</v>
      </c>
      <c r="P26" s="229">
        <v>275000</v>
      </c>
      <c r="Q26" s="229">
        <f t="shared" si="2"/>
        <v>275000</v>
      </c>
    </row>
    <row r="27" spans="2:17">
      <c r="B27" s="200">
        <v>24</v>
      </c>
      <c r="C27" s="210" t="s">
        <v>147</v>
      </c>
      <c r="D27" s="211" t="s">
        <v>148</v>
      </c>
      <c r="E27" s="212" t="s">
        <v>9</v>
      </c>
      <c r="F27" s="213" t="s">
        <v>149</v>
      </c>
      <c r="G27" s="210"/>
      <c r="H27" s="210" t="s">
        <v>150</v>
      </c>
      <c r="I27" s="210"/>
      <c r="J27" s="213" t="s">
        <v>50</v>
      </c>
      <c r="K27" s="210" t="s">
        <v>151</v>
      </c>
      <c r="L27" s="227">
        <v>44274</v>
      </c>
      <c r="M27" s="228">
        <v>254545</v>
      </c>
      <c r="N27" s="210">
        <v>2</v>
      </c>
      <c r="O27" s="229">
        <f t="shared" si="4"/>
        <v>509090</v>
      </c>
      <c r="P27" s="229">
        <v>275000</v>
      </c>
      <c r="Q27" s="229">
        <f t="shared" si="2"/>
        <v>550000</v>
      </c>
    </row>
    <row r="28" spans="2:17">
      <c r="B28" s="200">
        <v>25</v>
      </c>
      <c r="C28" s="210" t="s">
        <v>152</v>
      </c>
      <c r="D28" s="211" t="s">
        <v>148</v>
      </c>
      <c r="E28" s="212" t="s">
        <v>9</v>
      </c>
      <c r="F28" s="213" t="s">
        <v>153</v>
      </c>
      <c r="G28" s="210"/>
      <c r="H28" s="210" t="s">
        <v>150</v>
      </c>
      <c r="I28" s="210"/>
      <c r="J28" s="213" t="s">
        <v>50</v>
      </c>
      <c r="K28" s="210" t="s">
        <v>154</v>
      </c>
      <c r="L28" s="227">
        <v>44274</v>
      </c>
      <c r="M28" s="228">
        <v>254545</v>
      </c>
      <c r="N28" s="210">
        <v>5</v>
      </c>
      <c r="O28" s="229">
        <f t="shared" si="4"/>
        <v>1272725</v>
      </c>
      <c r="P28" s="229">
        <v>275000</v>
      </c>
      <c r="Q28" s="229">
        <f t="shared" si="2"/>
        <v>1375000</v>
      </c>
    </row>
    <row r="29" spans="2:17">
      <c r="B29" s="200">
        <v>26</v>
      </c>
      <c r="C29" s="210" t="s">
        <v>155</v>
      </c>
      <c r="D29" s="211" t="s">
        <v>148</v>
      </c>
      <c r="E29" s="212" t="s">
        <v>9</v>
      </c>
      <c r="F29" s="213" t="s">
        <v>149</v>
      </c>
      <c r="G29" s="210"/>
      <c r="H29" s="210" t="s">
        <v>150</v>
      </c>
      <c r="I29" s="210"/>
      <c r="J29" s="213" t="s">
        <v>50</v>
      </c>
      <c r="K29" s="210" t="s">
        <v>156</v>
      </c>
      <c r="L29" s="227">
        <v>44274</v>
      </c>
      <c r="M29" s="228">
        <v>254545</v>
      </c>
      <c r="N29" s="210">
        <v>10</v>
      </c>
      <c r="O29" s="229">
        <f t="shared" si="4"/>
        <v>2545450</v>
      </c>
      <c r="P29" s="229">
        <v>275000</v>
      </c>
      <c r="Q29" s="229">
        <f t="shared" si="2"/>
        <v>2750000</v>
      </c>
    </row>
    <row r="30" spans="2:17">
      <c r="B30" s="200">
        <v>27</v>
      </c>
      <c r="C30" s="210" t="s">
        <v>157</v>
      </c>
      <c r="D30" s="211" t="s">
        <v>148</v>
      </c>
      <c r="E30" s="212" t="s">
        <v>9</v>
      </c>
      <c r="F30" s="213" t="s">
        <v>158</v>
      </c>
      <c r="G30" s="210"/>
      <c r="H30" s="210" t="s">
        <v>150</v>
      </c>
      <c r="I30" s="210"/>
      <c r="J30" s="213" t="s">
        <v>50</v>
      </c>
      <c r="K30" s="210" t="s">
        <v>159</v>
      </c>
      <c r="L30" s="227">
        <v>44274</v>
      </c>
      <c r="M30" s="228">
        <v>254545</v>
      </c>
      <c r="N30" s="210">
        <v>7</v>
      </c>
      <c r="O30" s="229">
        <f t="shared" si="4"/>
        <v>1781815</v>
      </c>
      <c r="P30" s="229">
        <v>275000</v>
      </c>
      <c r="Q30" s="229">
        <f t="shared" si="2"/>
        <v>1925000</v>
      </c>
    </row>
    <row r="31" spans="2:17">
      <c r="B31" s="200">
        <v>28</v>
      </c>
      <c r="C31" s="210" t="s">
        <v>160</v>
      </c>
      <c r="D31" s="211" t="s">
        <v>148</v>
      </c>
      <c r="E31" s="212" t="s">
        <v>9</v>
      </c>
      <c r="F31" s="213" t="s">
        <v>161</v>
      </c>
      <c r="G31" s="210"/>
      <c r="H31" s="210" t="s">
        <v>150</v>
      </c>
      <c r="I31" s="210"/>
      <c r="J31" s="213" t="s">
        <v>50</v>
      </c>
      <c r="K31" s="210" t="s">
        <v>162</v>
      </c>
      <c r="L31" s="227">
        <v>44274</v>
      </c>
      <c r="M31" s="228">
        <v>254545</v>
      </c>
      <c r="N31" s="210">
        <v>5</v>
      </c>
      <c r="O31" s="229">
        <f t="shared" si="4"/>
        <v>1272725</v>
      </c>
      <c r="P31" s="229">
        <v>275000</v>
      </c>
      <c r="Q31" s="229">
        <f t="shared" si="2"/>
        <v>1375000</v>
      </c>
    </row>
    <row r="32" spans="2:17">
      <c r="B32" s="200">
        <v>29</v>
      </c>
      <c r="C32" s="210" t="s">
        <v>163</v>
      </c>
      <c r="D32" s="211" t="s">
        <v>164</v>
      </c>
      <c r="E32" s="212"/>
      <c r="F32" s="213" t="s">
        <v>165</v>
      </c>
      <c r="G32" s="210"/>
      <c r="H32" s="210" t="s">
        <v>166</v>
      </c>
      <c r="I32" s="210"/>
      <c r="J32" s="213" t="s">
        <v>85</v>
      </c>
      <c r="K32" s="210" t="s">
        <v>167</v>
      </c>
      <c r="L32" s="227">
        <v>44278</v>
      </c>
      <c r="M32" s="228">
        <v>222727</v>
      </c>
      <c r="N32" s="210">
        <v>20</v>
      </c>
      <c r="O32" s="229">
        <f t="shared" si="4"/>
        <v>4454540</v>
      </c>
      <c r="P32" s="229">
        <v>432591</v>
      </c>
      <c r="Q32" s="229">
        <f t="shared" si="2"/>
        <v>8651820</v>
      </c>
    </row>
    <row r="33" spans="2:17">
      <c r="B33" s="200">
        <v>30</v>
      </c>
      <c r="C33" s="210" t="s">
        <v>168</v>
      </c>
      <c r="D33" s="210" t="s">
        <v>169</v>
      </c>
      <c r="E33" s="212" t="s">
        <v>9</v>
      </c>
      <c r="F33" s="213" t="s">
        <v>170</v>
      </c>
      <c r="G33" s="210"/>
      <c r="H33" s="210" t="s">
        <v>171</v>
      </c>
      <c r="I33" s="210"/>
      <c r="J33" s="213" t="s">
        <v>50</v>
      </c>
      <c r="K33" s="210" t="s">
        <v>172</v>
      </c>
      <c r="L33" s="227">
        <v>44278</v>
      </c>
      <c r="M33" s="228">
        <v>254545</v>
      </c>
      <c r="N33" s="210">
        <v>1</v>
      </c>
      <c r="O33" s="229">
        <f t="shared" si="4"/>
        <v>254545</v>
      </c>
      <c r="P33" s="229">
        <v>275000</v>
      </c>
      <c r="Q33" s="229">
        <f t="shared" si="2"/>
        <v>275000</v>
      </c>
    </row>
    <row r="34" spans="2:17">
      <c r="B34" s="200">
        <v>31</v>
      </c>
      <c r="C34" s="210" t="s">
        <v>173</v>
      </c>
      <c r="D34" s="210" t="s">
        <v>174</v>
      </c>
      <c r="E34" s="212" t="s">
        <v>9</v>
      </c>
      <c r="F34" s="213" t="s">
        <v>175</v>
      </c>
      <c r="G34" s="210"/>
      <c r="H34" s="210" t="s">
        <v>176</v>
      </c>
      <c r="I34" s="210"/>
      <c r="J34" s="213" t="s">
        <v>50</v>
      </c>
      <c r="K34" s="210" t="s">
        <v>177</v>
      </c>
      <c r="L34" s="227">
        <v>44279</v>
      </c>
      <c r="M34" s="228">
        <v>254545</v>
      </c>
      <c r="N34" s="210">
        <v>6</v>
      </c>
      <c r="O34" s="229">
        <f t="shared" si="4"/>
        <v>1527270</v>
      </c>
      <c r="P34" s="229">
        <v>275000</v>
      </c>
      <c r="Q34" s="229">
        <f t="shared" si="2"/>
        <v>1650000</v>
      </c>
    </row>
    <row r="35" spans="2:17">
      <c r="B35" s="200">
        <v>32</v>
      </c>
      <c r="C35" s="210" t="s">
        <v>178</v>
      </c>
      <c r="D35" s="211" t="s">
        <v>179</v>
      </c>
      <c r="E35" s="212" t="s">
        <v>5</v>
      </c>
      <c r="F35" s="213" t="s">
        <v>180</v>
      </c>
      <c r="G35" s="210"/>
      <c r="H35" s="210" t="s">
        <v>181</v>
      </c>
      <c r="I35" s="210"/>
      <c r="J35" s="213" t="s">
        <v>85</v>
      </c>
      <c r="K35" s="210" t="s">
        <v>182</v>
      </c>
      <c r="L35" s="227">
        <v>44279</v>
      </c>
      <c r="M35" s="228">
        <v>222727</v>
      </c>
      <c r="N35" s="210">
        <v>130</v>
      </c>
      <c r="O35" s="229">
        <f t="shared" si="4"/>
        <v>28954510</v>
      </c>
      <c r="P35" s="229">
        <v>279091</v>
      </c>
      <c r="Q35" s="229">
        <f t="shared" si="2"/>
        <v>36281830</v>
      </c>
    </row>
    <row r="36" spans="2:17">
      <c r="B36" s="200">
        <v>33</v>
      </c>
      <c r="C36" s="210" t="s">
        <v>183</v>
      </c>
      <c r="D36" s="211" t="s">
        <v>184</v>
      </c>
      <c r="E36" s="212" t="s">
        <v>6</v>
      </c>
      <c r="F36" s="213" t="s">
        <v>185</v>
      </c>
      <c r="G36" s="210"/>
      <c r="H36" s="210" t="s">
        <v>186</v>
      </c>
      <c r="I36" s="210"/>
      <c r="J36" s="213" t="s">
        <v>50</v>
      </c>
      <c r="K36" s="210" t="s">
        <v>187</v>
      </c>
      <c r="L36" s="227">
        <v>44285</v>
      </c>
      <c r="M36" s="228">
        <v>345455</v>
      </c>
      <c r="N36" s="210">
        <v>350</v>
      </c>
      <c r="O36" s="229">
        <f t="shared" si="4"/>
        <v>120909250</v>
      </c>
      <c r="P36" s="229">
        <v>388181.82</v>
      </c>
      <c r="Q36" s="229">
        <f t="shared" si="2"/>
        <v>135863637</v>
      </c>
    </row>
    <row r="37" spans="2:17">
      <c r="B37" s="200">
        <v>34</v>
      </c>
      <c r="C37" s="210" t="s">
        <v>188</v>
      </c>
      <c r="D37" s="210" t="s">
        <v>189</v>
      </c>
      <c r="E37" s="212" t="s">
        <v>9</v>
      </c>
      <c r="F37" s="213" t="s">
        <v>190</v>
      </c>
      <c r="G37" s="210"/>
      <c r="H37" s="210" t="s">
        <v>191</v>
      </c>
      <c r="I37" s="210"/>
      <c r="J37" s="213" t="s">
        <v>50</v>
      </c>
      <c r="K37" s="210" t="s">
        <v>192</v>
      </c>
      <c r="L37" s="227">
        <v>44281</v>
      </c>
      <c r="M37" s="228">
        <v>254545</v>
      </c>
      <c r="N37" s="210">
        <v>6</v>
      </c>
      <c r="O37" s="229">
        <f t="shared" si="4"/>
        <v>1527270</v>
      </c>
      <c r="P37" s="229">
        <v>275000</v>
      </c>
      <c r="Q37" s="229">
        <f t="shared" si="2"/>
        <v>1650000</v>
      </c>
    </row>
    <row r="38" spans="2:17">
      <c r="B38" s="200">
        <v>35</v>
      </c>
      <c r="C38" s="210" t="s">
        <v>193</v>
      </c>
      <c r="D38" s="210" t="s">
        <v>189</v>
      </c>
      <c r="E38" s="212" t="s">
        <v>9</v>
      </c>
      <c r="F38" s="213" t="s">
        <v>194</v>
      </c>
      <c r="G38" s="210"/>
      <c r="H38" s="210" t="s">
        <v>191</v>
      </c>
      <c r="I38" s="210"/>
      <c r="J38" s="213" t="s">
        <v>50</v>
      </c>
      <c r="K38" s="210" t="s">
        <v>195</v>
      </c>
      <c r="L38" s="227">
        <v>44281</v>
      </c>
      <c r="M38" s="228">
        <v>254545</v>
      </c>
      <c r="N38" s="210">
        <v>3</v>
      </c>
      <c r="O38" s="229">
        <f t="shared" si="4"/>
        <v>763635</v>
      </c>
      <c r="P38" s="229">
        <v>275000</v>
      </c>
      <c r="Q38" s="229">
        <f t="shared" si="2"/>
        <v>825000</v>
      </c>
    </row>
    <row r="39" spans="2:17">
      <c r="B39" s="200">
        <v>36</v>
      </c>
      <c r="C39" s="210" t="s">
        <v>196</v>
      </c>
      <c r="D39" s="210" t="s">
        <v>189</v>
      </c>
      <c r="E39" s="212" t="s">
        <v>9</v>
      </c>
      <c r="F39" s="213" t="s">
        <v>197</v>
      </c>
      <c r="G39" s="210"/>
      <c r="H39" s="210" t="s">
        <v>191</v>
      </c>
      <c r="I39" s="210"/>
      <c r="J39" s="213" t="s">
        <v>50</v>
      </c>
      <c r="K39" s="210" t="s">
        <v>198</v>
      </c>
      <c r="L39" s="227">
        <v>44281</v>
      </c>
      <c r="M39" s="228">
        <v>254545</v>
      </c>
      <c r="N39" s="210">
        <v>2</v>
      </c>
      <c r="O39" s="229">
        <f t="shared" si="4"/>
        <v>509090</v>
      </c>
      <c r="P39" s="229">
        <v>275000</v>
      </c>
      <c r="Q39" s="229">
        <f t="shared" si="2"/>
        <v>550000</v>
      </c>
    </row>
    <row r="40" spans="2:17">
      <c r="B40" s="200">
        <v>37</v>
      </c>
      <c r="C40" s="210" t="s">
        <v>199</v>
      </c>
      <c r="D40" s="210" t="s">
        <v>189</v>
      </c>
      <c r="E40" s="212" t="s">
        <v>9</v>
      </c>
      <c r="F40" s="213" t="s">
        <v>194</v>
      </c>
      <c r="G40" s="210"/>
      <c r="H40" s="210" t="s">
        <v>191</v>
      </c>
      <c r="I40" s="210"/>
      <c r="J40" s="213" t="s">
        <v>50</v>
      </c>
      <c r="K40" s="210" t="s">
        <v>200</v>
      </c>
      <c r="L40" s="227">
        <v>44281</v>
      </c>
      <c r="M40" s="228">
        <v>254545</v>
      </c>
      <c r="N40" s="210">
        <v>5</v>
      </c>
      <c r="O40" s="229">
        <f t="shared" si="4"/>
        <v>1272725</v>
      </c>
      <c r="P40" s="229">
        <v>275000</v>
      </c>
      <c r="Q40" s="229">
        <f t="shared" si="2"/>
        <v>1375000</v>
      </c>
    </row>
    <row r="41" spans="2:17">
      <c r="B41" s="200">
        <v>38</v>
      </c>
      <c r="C41" s="210" t="s">
        <v>201</v>
      </c>
      <c r="D41" s="211" t="s">
        <v>202</v>
      </c>
      <c r="E41" s="212" t="s">
        <v>9</v>
      </c>
      <c r="F41" s="213" t="s">
        <v>203</v>
      </c>
      <c r="G41" s="210"/>
      <c r="H41" s="210" t="s">
        <v>186</v>
      </c>
      <c r="I41" s="210"/>
      <c r="J41" s="213" t="s">
        <v>50</v>
      </c>
      <c r="K41" s="210" t="s">
        <v>204</v>
      </c>
      <c r="L41" s="227">
        <v>44285</v>
      </c>
      <c r="M41" s="228">
        <v>254545</v>
      </c>
      <c r="N41" s="210">
        <v>2</v>
      </c>
      <c r="O41" s="229">
        <f t="shared" si="4"/>
        <v>509090</v>
      </c>
      <c r="P41" s="229">
        <v>275000</v>
      </c>
      <c r="Q41" s="229">
        <f t="shared" si="2"/>
        <v>550000</v>
      </c>
    </row>
    <row r="42" spans="2:17">
      <c r="B42" s="200">
        <v>39</v>
      </c>
      <c r="C42" s="210" t="s">
        <v>205</v>
      </c>
      <c r="D42" s="211" t="s">
        <v>202</v>
      </c>
      <c r="E42" s="212" t="s">
        <v>9</v>
      </c>
      <c r="F42" s="213" t="s">
        <v>206</v>
      </c>
      <c r="G42" s="210"/>
      <c r="H42" s="210" t="s">
        <v>186</v>
      </c>
      <c r="I42" s="210"/>
      <c r="J42" s="213" t="s">
        <v>50</v>
      </c>
      <c r="K42" s="210" t="s">
        <v>207</v>
      </c>
      <c r="L42" s="227">
        <v>44285</v>
      </c>
      <c r="M42" s="228">
        <v>254545</v>
      </c>
      <c r="N42" s="210">
        <v>3</v>
      </c>
      <c r="O42" s="229">
        <f t="shared" si="4"/>
        <v>763635</v>
      </c>
      <c r="P42" s="229">
        <v>275000</v>
      </c>
      <c r="Q42" s="229">
        <f t="shared" si="2"/>
        <v>825000</v>
      </c>
    </row>
    <row r="43" spans="2:17">
      <c r="B43" s="200">
        <v>40</v>
      </c>
      <c r="C43" s="210" t="s">
        <v>208</v>
      </c>
      <c r="D43" s="211" t="s">
        <v>209</v>
      </c>
      <c r="E43" s="212" t="s">
        <v>9</v>
      </c>
      <c r="F43" s="213" t="s">
        <v>210</v>
      </c>
      <c r="G43" s="210"/>
      <c r="H43" s="210" t="s">
        <v>211</v>
      </c>
      <c r="I43" s="210"/>
      <c r="J43" s="213" t="s">
        <v>50</v>
      </c>
      <c r="K43" s="210" t="s">
        <v>212</v>
      </c>
      <c r="L43" s="227">
        <v>44286</v>
      </c>
      <c r="M43" s="228">
        <v>254545</v>
      </c>
      <c r="N43" s="210">
        <v>1</v>
      </c>
      <c r="O43" s="229">
        <f t="shared" si="4"/>
        <v>254545</v>
      </c>
      <c r="P43" s="229">
        <v>275000</v>
      </c>
      <c r="Q43" s="229">
        <f t="shared" si="2"/>
        <v>275000</v>
      </c>
    </row>
    <row r="44" spans="2:17">
      <c r="B44" s="200">
        <v>41</v>
      </c>
      <c r="C44" s="210" t="s">
        <v>213</v>
      </c>
      <c r="D44" s="211" t="s">
        <v>209</v>
      </c>
      <c r="E44" s="212" t="s">
        <v>9</v>
      </c>
      <c r="F44" s="213" t="s">
        <v>214</v>
      </c>
      <c r="G44" s="210"/>
      <c r="H44" s="210" t="s">
        <v>211</v>
      </c>
      <c r="I44" s="210"/>
      <c r="J44" s="213" t="s">
        <v>50</v>
      </c>
      <c r="K44" s="210" t="s">
        <v>215</v>
      </c>
      <c r="L44" s="227">
        <v>44286</v>
      </c>
      <c r="M44" s="228">
        <v>254545</v>
      </c>
      <c r="N44" s="210">
        <v>5</v>
      </c>
      <c r="O44" s="229">
        <f t="shared" si="4"/>
        <v>1272725</v>
      </c>
      <c r="P44" s="229">
        <v>275000</v>
      </c>
      <c r="Q44" s="229">
        <f t="shared" si="2"/>
        <v>1375000</v>
      </c>
    </row>
    <row r="45" spans="2:17">
      <c r="B45" s="200">
        <v>42</v>
      </c>
      <c r="C45" s="210" t="s">
        <v>216</v>
      </c>
      <c r="D45" s="211" t="s">
        <v>217</v>
      </c>
      <c r="E45" s="212" t="s">
        <v>14</v>
      </c>
      <c r="F45" s="213" t="s">
        <v>218</v>
      </c>
      <c r="G45" s="210"/>
      <c r="H45" s="210" t="s">
        <v>181</v>
      </c>
      <c r="I45" s="210"/>
      <c r="J45" s="213" t="s">
        <v>63</v>
      </c>
      <c r="K45" s="210" t="s">
        <v>219</v>
      </c>
      <c r="L45" s="227">
        <v>44285</v>
      </c>
      <c r="M45" s="228">
        <v>92727</v>
      </c>
      <c r="N45" s="210">
        <v>18</v>
      </c>
      <c r="O45" s="229">
        <f t="shared" si="4"/>
        <v>1669086</v>
      </c>
      <c r="P45" s="229">
        <v>106818.18</v>
      </c>
      <c r="Q45" s="229">
        <f t="shared" si="2"/>
        <v>1922727.2399999998</v>
      </c>
    </row>
    <row r="46" spans="2:17">
      <c r="B46" s="200">
        <v>43</v>
      </c>
      <c r="C46" s="214" t="s">
        <v>220</v>
      </c>
      <c r="D46" s="215" t="s">
        <v>221</v>
      </c>
      <c r="E46" s="216" t="s">
        <v>9</v>
      </c>
      <c r="F46" s="217" t="s">
        <v>222</v>
      </c>
      <c r="G46" s="214"/>
      <c r="H46" s="214" t="s">
        <v>223</v>
      </c>
      <c r="I46" s="214"/>
      <c r="J46" s="217" t="s">
        <v>50</v>
      </c>
      <c r="K46" s="214" t="s">
        <v>224</v>
      </c>
      <c r="L46" s="230">
        <v>44298</v>
      </c>
      <c r="M46" s="231">
        <v>254545</v>
      </c>
      <c r="N46" s="214">
        <v>7</v>
      </c>
      <c r="O46" s="232">
        <f t="shared" si="4"/>
        <v>1781815</v>
      </c>
      <c r="P46" s="232">
        <v>275000</v>
      </c>
      <c r="Q46" s="232">
        <f t="shared" si="2"/>
        <v>1925000</v>
      </c>
    </row>
    <row r="47" spans="2:17">
      <c r="B47" s="200">
        <v>44</v>
      </c>
      <c r="C47" s="214" t="s">
        <v>225</v>
      </c>
      <c r="D47" s="215" t="s">
        <v>221</v>
      </c>
      <c r="E47" s="216" t="s">
        <v>9</v>
      </c>
      <c r="F47" s="217" t="s">
        <v>226</v>
      </c>
      <c r="G47" s="214"/>
      <c r="H47" s="214" t="s">
        <v>223</v>
      </c>
      <c r="I47" s="214"/>
      <c r="J47" s="217" t="s">
        <v>50</v>
      </c>
      <c r="K47" s="214" t="s">
        <v>227</v>
      </c>
      <c r="L47" s="230">
        <v>44298</v>
      </c>
      <c r="M47" s="231">
        <v>254545</v>
      </c>
      <c r="N47" s="214">
        <v>5</v>
      </c>
      <c r="O47" s="232">
        <f t="shared" si="4"/>
        <v>1272725</v>
      </c>
      <c r="P47" s="232">
        <v>275000</v>
      </c>
      <c r="Q47" s="232">
        <f t="shared" si="2"/>
        <v>1375000</v>
      </c>
    </row>
    <row r="48" spans="2:17">
      <c r="B48" s="200">
        <v>45</v>
      </c>
      <c r="C48" s="214" t="s">
        <v>228</v>
      </c>
      <c r="D48" s="215" t="s">
        <v>221</v>
      </c>
      <c r="E48" s="216" t="s">
        <v>9</v>
      </c>
      <c r="F48" s="217" t="s">
        <v>229</v>
      </c>
      <c r="G48" s="214"/>
      <c r="H48" s="214" t="s">
        <v>223</v>
      </c>
      <c r="I48" s="214"/>
      <c r="J48" s="217" t="s">
        <v>50</v>
      </c>
      <c r="K48" s="214" t="s">
        <v>230</v>
      </c>
      <c r="L48" s="230">
        <v>44298</v>
      </c>
      <c r="M48" s="231">
        <v>254545</v>
      </c>
      <c r="N48" s="214">
        <v>3</v>
      </c>
      <c r="O48" s="232">
        <f t="shared" si="4"/>
        <v>763635</v>
      </c>
      <c r="P48" s="232">
        <v>275000</v>
      </c>
      <c r="Q48" s="232">
        <f t="shared" si="2"/>
        <v>825000</v>
      </c>
    </row>
    <row r="49" spans="2:17">
      <c r="B49" s="200">
        <v>46</v>
      </c>
      <c r="C49" s="214" t="s">
        <v>231</v>
      </c>
      <c r="D49" s="215" t="s">
        <v>221</v>
      </c>
      <c r="E49" s="216" t="s">
        <v>9</v>
      </c>
      <c r="F49" s="217" t="s">
        <v>232</v>
      </c>
      <c r="G49" s="214"/>
      <c r="H49" s="214" t="s">
        <v>223</v>
      </c>
      <c r="I49" s="214"/>
      <c r="J49" s="217" t="s">
        <v>50</v>
      </c>
      <c r="K49" s="214" t="s">
        <v>233</v>
      </c>
      <c r="L49" s="230">
        <v>44298</v>
      </c>
      <c r="M49" s="231">
        <v>254545</v>
      </c>
      <c r="N49" s="214">
        <v>6</v>
      </c>
      <c r="O49" s="232">
        <f t="shared" si="4"/>
        <v>1527270</v>
      </c>
      <c r="P49" s="232">
        <v>275000</v>
      </c>
      <c r="Q49" s="232">
        <f t="shared" si="2"/>
        <v>1650000</v>
      </c>
    </row>
    <row r="50" spans="2:17">
      <c r="B50" s="200">
        <v>47</v>
      </c>
      <c r="C50" s="214" t="s">
        <v>234</v>
      </c>
      <c r="D50" s="215" t="s">
        <v>221</v>
      </c>
      <c r="E50" s="216" t="s">
        <v>9</v>
      </c>
      <c r="F50" s="217" t="s">
        <v>235</v>
      </c>
      <c r="G50" s="214"/>
      <c r="H50" s="214" t="s">
        <v>223</v>
      </c>
      <c r="I50" s="214"/>
      <c r="J50" s="217" t="s">
        <v>50</v>
      </c>
      <c r="K50" s="214" t="s">
        <v>236</v>
      </c>
      <c r="L50" s="230">
        <v>44298</v>
      </c>
      <c r="M50" s="231">
        <v>254545</v>
      </c>
      <c r="N50" s="214">
        <v>6</v>
      </c>
      <c r="O50" s="232">
        <f t="shared" si="4"/>
        <v>1527270</v>
      </c>
      <c r="P50" s="232">
        <v>275000</v>
      </c>
      <c r="Q50" s="232">
        <f t="shared" si="2"/>
        <v>1650000</v>
      </c>
    </row>
    <row r="51" spans="2:17">
      <c r="B51" s="200">
        <v>48</v>
      </c>
      <c r="C51" s="214" t="s">
        <v>237</v>
      </c>
      <c r="D51" s="215" t="s">
        <v>221</v>
      </c>
      <c r="E51" s="216" t="s">
        <v>9</v>
      </c>
      <c r="F51" s="217" t="s">
        <v>238</v>
      </c>
      <c r="G51" s="214"/>
      <c r="H51" s="214" t="s">
        <v>223</v>
      </c>
      <c r="I51" s="214"/>
      <c r="J51" s="217" t="s">
        <v>50</v>
      </c>
      <c r="K51" s="214" t="s">
        <v>239</v>
      </c>
      <c r="L51" s="230">
        <v>44298</v>
      </c>
      <c r="M51" s="231">
        <v>254545</v>
      </c>
      <c r="N51" s="214">
        <v>5</v>
      </c>
      <c r="O51" s="232">
        <f t="shared" si="4"/>
        <v>1272725</v>
      </c>
      <c r="P51" s="232">
        <v>275000</v>
      </c>
      <c r="Q51" s="232">
        <f t="shared" si="2"/>
        <v>1375000</v>
      </c>
    </row>
    <row r="52" spans="2:17">
      <c r="B52" s="200">
        <v>49</v>
      </c>
      <c r="C52" s="214" t="s">
        <v>240</v>
      </c>
      <c r="D52" s="215" t="s">
        <v>221</v>
      </c>
      <c r="E52" s="216" t="s">
        <v>9</v>
      </c>
      <c r="F52" s="217" t="s">
        <v>241</v>
      </c>
      <c r="G52" s="214"/>
      <c r="H52" s="214" t="s">
        <v>223</v>
      </c>
      <c r="I52" s="214"/>
      <c r="J52" s="217" t="s">
        <v>50</v>
      </c>
      <c r="K52" s="214" t="s">
        <v>242</v>
      </c>
      <c r="L52" s="230">
        <v>44298</v>
      </c>
      <c r="M52" s="231">
        <v>254545</v>
      </c>
      <c r="N52" s="214">
        <v>7</v>
      </c>
      <c r="O52" s="232">
        <f t="shared" si="4"/>
        <v>1781815</v>
      </c>
      <c r="P52" s="232">
        <v>275000</v>
      </c>
      <c r="Q52" s="232">
        <f t="shared" si="2"/>
        <v>1925000</v>
      </c>
    </row>
    <row r="53" spans="2:17">
      <c r="B53" s="200">
        <v>50</v>
      </c>
      <c r="C53" s="214" t="s">
        <v>243</v>
      </c>
      <c r="D53" s="215" t="s">
        <v>244</v>
      </c>
      <c r="E53" s="216" t="s">
        <v>9</v>
      </c>
      <c r="F53" s="217" t="s">
        <v>245</v>
      </c>
      <c r="G53" s="214"/>
      <c r="H53" s="214" t="s">
        <v>246</v>
      </c>
      <c r="I53" s="214"/>
      <c r="J53" s="217" t="s">
        <v>50</v>
      </c>
      <c r="K53" s="214" t="s">
        <v>247</v>
      </c>
      <c r="L53" s="230">
        <v>44299</v>
      </c>
      <c r="M53" s="231">
        <v>254545</v>
      </c>
      <c r="N53" s="214">
        <v>8</v>
      </c>
      <c r="O53" s="232">
        <f t="shared" si="4"/>
        <v>2036360</v>
      </c>
      <c r="P53" s="232">
        <v>275000</v>
      </c>
      <c r="Q53" s="232">
        <f t="shared" si="2"/>
        <v>2200000</v>
      </c>
    </row>
    <row r="54" spans="2:17">
      <c r="B54" s="200">
        <v>51</v>
      </c>
      <c r="C54" s="214" t="s">
        <v>248</v>
      </c>
      <c r="D54" s="215" t="s">
        <v>244</v>
      </c>
      <c r="E54" s="216" t="s">
        <v>9</v>
      </c>
      <c r="F54" s="217" t="s">
        <v>249</v>
      </c>
      <c r="G54" s="214"/>
      <c r="H54" s="214" t="s">
        <v>246</v>
      </c>
      <c r="I54" s="214"/>
      <c r="J54" s="217" t="s">
        <v>50</v>
      </c>
      <c r="K54" s="214" t="s">
        <v>250</v>
      </c>
      <c r="L54" s="230">
        <v>44299</v>
      </c>
      <c r="M54" s="231">
        <v>254545</v>
      </c>
      <c r="N54" s="214">
        <v>7</v>
      </c>
      <c r="O54" s="232">
        <f t="shared" si="4"/>
        <v>1781815</v>
      </c>
      <c r="P54" s="232">
        <v>275000</v>
      </c>
      <c r="Q54" s="232">
        <f t="shared" si="2"/>
        <v>1925000</v>
      </c>
    </row>
    <row r="55" spans="2:17">
      <c r="B55" s="200">
        <v>52</v>
      </c>
      <c r="C55" s="214" t="s">
        <v>251</v>
      </c>
      <c r="D55" s="215" t="s">
        <v>244</v>
      </c>
      <c r="E55" s="216" t="s">
        <v>9</v>
      </c>
      <c r="F55" s="217" t="s">
        <v>252</v>
      </c>
      <c r="G55" s="214"/>
      <c r="H55" s="214" t="s">
        <v>246</v>
      </c>
      <c r="I55" s="214"/>
      <c r="J55" s="217" t="s">
        <v>50</v>
      </c>
      <c r="K55" s="214" t="s">
        <v>253</v>
      </c>
      <c r="L55" s="230">
        <v>44299</v>
      </c>
      <c r="M55" s="231">
        <v>254545</v>
      </c>
      <c r="N55" s="214">
        <v>7</v>
      </c>
      <c r="O55" s="232">
        <f t="shared" si="4"/>
        <v>1781815</v>
      </c>
      <c r="P55" s="232">
        <v>275000</v>
      </c>
      <c r="Q55" s="232">
        <f t="shared" si="2"/>
        <v>1925000</v>
      </c>
    </row>
    <row r="56" spans="2:17">
      <c r="B56" s="200">
        <v>53</v>
      </c>
      <c r="C56" s="214" t="s">
        <v>254</v>
      </c>
      <c r="D56" s="215" t="s">
        <v>244</v>
      </c>
      <c r="E56" s="216" t="s">
        <v>9</v>
      </c>
      <c r="F56" s="217" t="s">
        <v>255</v>
      </c>
      <c r="G56" s="214"/>
      <c r="H56" s="214" t="s">
        <v>246</v>
      </c>
      <c r="I56" s="214"/>
      <c r="J56" s="217" t="s">
        <v>50</v>
      </c>
      <c r="K56" s="214" t="s">
        <v>256</v>
      </c>
      <c r="L56" s="230">
        <v>44299</v>
      </c>
      <c r="M56" s="231">
        <v>254545</v>
      </c>
      <c r="N56" s="214">
        <v>3</v>
      </c>
      <c r="O56" s="232">
        <f t="shared" si="4"/>
        <v>763635</v>
      </c>
      <c r="P56" s="232">
        <v>275000</v>
      </c>
      <c r="Q56" s="232">
        <f t="shared" si="2"/>
        <v>825000</v>
      </c>
    </row>
    <row r="57" spans="2:17">
      <c r="B57" s="200">
        <v>54</v>
      </c>
      <c r="C57" s="214" t="s">
        <v>257</v>
      </c>
      <c r="D57" s="215" t="s">
        <v>244</v>
      </c>
      <c r="E57" s="216" t="s">
        <v>9</v>
      </c>
      <c r="F57" s="217" t="s">
        <v>126</v>
      </c>
      <c r="G57" s="214"/>
      <c r="H57" s="214" t="s">
        <v>246</v>
      </c>
      <c r="I57" s="214"/>
      <c r="J57" s="217" t="s">
        <v>50</v>
      </c>
      <c r="K57" s="214" t="s">
        <v>258</v>
      </c>
      <c r="L57" s="230">
        <v>44299</v>
      </c>
      <c r="M57" s="231">
        <v>254545</v>
      </c>
      <c r="N57" s="214">
        <v>1</v>
      </c>
      <c r="O57" s="232">
        <f t="shared" si="4"/>
        <v>254545</v>
      </c>
      <c r="P57" s="232">
        <v>275000</v>
      </c>
      <c r="Q57" s="232">
        <f t="shared" si="2"/>
        <v>275000</v>
      </c>
    </row>
    <row r="58" spans="2:17">
      <c r="B58" s="200">
        <v>55</v>
      </c>
      <c r="C58" s="214" t="s">
        <v>259</v>
      </c>
      <c r="D58" s="215" t="s">
        <v>260</v>
      </c>
      <c r="E58" s="216" t="s">
        <v>9</v>
      </c>
      <c r="F58" s="217" t="s">
        <v>261</v>
      </c>
      <c r="G58" s="214"/>
      <c r="H58" s="214" t="s">
        <v>262</v>
      </c>
      <c r="I58" s="214"/>
      <c r="J58" s="217" t="s">
        <v>50</v>
      </c>
      <c r="K58" s="214" t="s">
        <v>263</v>
      </c>
      <c r="L58" s="230">
        <v>44301</v>
      </c>
      <c r="M58" s="231">
        <v>254545</v>
      </c>
      <c r="N58" s="214">
        <v>4</v>
      </c>
      <c r="O58" s="232">
        <f t="shared" ref="O58:O124" si="5">N58*M58</f>
        <v>1018180</v>
      </c>
      <c r="P58" s="232">
        <v>275000</v>
      </c>
      <c r="Q58" s="232">
        <f t="shared" si="2"/>
        <v>1100000</v>
      </c>
    </row>
    <row r="59" spans="2:17">
      <c r="B59" s="200">
        <v>56</v>
      </c>
      <c r="C59" s="214" t="s">
        <v>264</v>
      </c>
      <c r="D59" s="215" t="s">
        <v>260</v>
      </c>
      <c r="E59" s="216" t="s">
        <v>9</v>
      </c>
      <c r="F59" s="217" t="s">
        <v>265</v>
      </c>
      <c r="G59" s="214"/>
      <c r="H59" s="214" t="s">
        <v>262</v>
      </c>
      <c r="I59" s="214"/>
      <c r="J59" s="217" t="s">
        <v>50</v>
      </c>
      <c r="K59" s="214" t="s">
        <v>266</v>
      </c>
      <c r="L59" s="230">
        <v>44301</v>
      </c>
      <c r="M59" s="231">
        <v>254545</v>
      </c>
      <c r="N59" s="214">
        <v>6</v>
      </c>
      <c r="O59" s="232">
        <f t="shared" si="5"/>
        <v>1527270</v>
      </c>
      <c r="P59" s="232">
        <v>275000</v>
      </c>
      <c r="Q59" s="232">
        <f t="shared" si="2"/>
        <v>1650000</v>
      </c>
    </row>
    <row r="60" spans="2:17">
      <c r="B60" s="200">
        <v>57</v>
      </c>
      <c r="C60" s="214" t="s">
        <v>267</v>
      </c>
      <c r="D60" s="215" t="s">
        <v>260</v>
      </c>
      <c r="E60" s="216" t="s">
        <v>9</v>
      </c>
      <c r="F60" s="217" t="s">
        <v>214</v>
      </c>
      <c r="G60" s="214"/>
      <c r="H60" s="214" t="s">
        <v>262</v>
      </c>
      <c r="I60" s="214"/>
      <c r="J60" s="217" t="s">
        <v>50</v>
      </c>
      <c r="K60" s="214" t="s">
        <v>268</v>
      </c>
      <c r="L60" s="230">
        <v>44301</v>
      </c>
      <c r="M60" s="231">
        <v>254545</v>
      </c>
      <c r="N60" s="214">
        <v>7</v>
      </c>
      <c r="O60" s="232">
        <f t="shared" si="5"/>
        <v>1781815</v>
      </c>
      <c r="P60" s="232">
        <v>275000</v>
      </c>
      <c r="Q60" s="232">
        <f t="shared" si="2"/>
        <v>1925000</v>
      </c>
    </row>
    <row r="61" spans="2:17">
      <c r="B61" s="200">
        <v>58</v>
      </c>
      <c r="C61" s="214" t="s">
        <v>269</v>
      </c>
      <c r="D61" s="215" t="s">
        <v>260</v>
      </c>
      <c r="E61" s="216" t="s">
        <v>9</v>
      </c>
      <c r="F61" s="217" t="s">
        <v>270</v>
      </c>
      <c r="G61" s="214"/>
      <c r="H61" s="214" t="s">
        <v>262</v>
      </c>
      <c r="I61" s="214"/>
      <c r="J61" s="217" t="s">
        <v>50</v>
      </c>
      <c r="K61" s="214" t="s">
        <v>271</v>
      </c>
      <c r="L61" s="230">
        <v>44301</v>
      </c>
      <c r="M61" s="231">
        <v>254545</v>
      </c>
      <c r="N61" s="214">
        <v>5</v>
      </c>
      <c r="O61" s="232">
        <f t="shared" si="5"/>
        <v>1272725</v>
      </c>
      <c r="P61" s="232">
        <v>275000</v>
      </c>
      <c r="Q61" s="232">
        <f t="shared" si="2"/>
        <v>1375000</v>
      </c>
    </row>
    <row r="62" spans="2:17">
      <c r="B62" s="200">
        <v>59</v>
      </c>
      <c r="C62" s="214" t="s">
        <v>272</v>
      </c>
      <c r="D62" s="215" t="s">
        <v>273</v>
      </c>
      <c r="E62" s="216" t="s">
        <v>9</v>
      </c>
      <c r="F62" s="217" t="s">
        <v>274</v>
      </c>
      <c r="G62" s="214"/>
      <c r="H62" s="214" t="s">
        <v>275</v>
      </c>
      <c r="I62" s="214"/>
      <c r="J62" s="217" t="s">
        <v>50</v>
      </c>
      <c r="K62" s="214" t="s">
        <v>276</v>
      </c>
      <c r="L62" s="230">
        <v>44302</v>
      </c>
      <c r="M62" s="231">
        <v>254545</v>
      </c>
      <c r="N62" s="214">
        <v>8</v>
      </c>
      <c r="O62" s="232">
        <f t="shared" si="5"/>
        <v>2036360</v>
      </c>
      <c r="P62" s="232">
        <v>275000</v>
      </c>
      <c r="Q62" s="232">
        <f t="shared" si="2"/>
        <v>2200000</v>
      </c>
    </row>
    <row r="63" spans="2:17">
      <c r="B63" s="200">
        <v>60</v>
      </c>
      <c r="C63" s="214" t="s">
        <v>277</v>
      </c>
      <c r="D63" s="215" t="s">
        <v>273</v>
      </c>
      <c r="E63" s="216" t="s">
        <v>9</v>
      </c>
      <c r="F63" s="217" t="s">
        <v>278</v>
      </c>
      <c r="G63" s="214"/>
      <c r="H63" s="214" t="s">
        <v>275</v>
      </c>
      <c r="I63" s="214"/>
      <c r="J63" s="217" t="s">
        <v>50</v>
      </c>
      <c r="K63" s="214" t="s">
        <v>279</v>
      </c>
      <c r="L63" s="230">
        <v>44302</v>
      </c>
      <c r="M63" s="231">
        <v>254545</v>
      </c>
      <c r="N63" s="214">
        <v>10</v>
      </c>
      <c r="O63" s="232">
        <f t="shared" si="5"/>
        <v>2545450</v>
      </c>
      <c r="P63" s="232">
        <v>275000</v>
      </c>
      <c r="Q63" s="232">
        <f t="shared" si="2"/>
        <v>2750000</v>
      </c>
    </row>
    <row r="64" spans="2:17">
      <c r="B64" s="200">
        <v>61</v>
      </c>
      <c r="C64" s="214" t="s">
        <v>280</v>
      </c>
      <c r="D64" s="215">
        <v>22100000727</v>
      </c>
      <c r="E64" s="216"/>
      <c r="F64" s="217" t="s">
        <v>281</v>
      </c>
      <c r="G64" s="214"/>
      <c r="H64" s="214" t="s">
        <v>282</v>
      </c>
      <c r="I64" s="214"/>
      <c r="J64" s="217" t="s">
        <v>63</v>
      </c>
      <c r="K64" s="214" t="s">
        <v>283</v>
      </c>
      <c r="L64" s="230">
        <v>44305</v>
      </c>
      <c r="M64" s="231">
        <v>92727</v>
      </c>
      <c r="N64" s="214">
        <v>70</v>
      </c>
      <c r="O64" s="232">
        <f t="shared" si="5"/>
        <v>6490890</v>
      </c>
      <c r="P64" s="232">
        <v>185100</v>
      </c>
      <c r="Q64" s="232">
        <f t="shared" si="2"/>
        <v>12957000</v>
      </c>
    </row>
    <row r="65" spans="2:17">
      <c r="B65" s="200">
        <v>62</v>
      </c>
      <c r="C65" s="214" t="s">
        <v>284</v>
      </c>
      <c r="D65" s="215" t="s">
        <v>285</v>
      </c>
      <c r="E65" s="216" t="s">
        <v>9</v>
      </c>
      <c r="F65" s="217" t="s">
        <v>286</v>
      </c>
      <c r="G65" s="214"/>
      <c r="H65" s="214" t="s">
        <v>287</v>
      </c>
      <c r="I65" s="214"/>
      <c r="J65" s="217" t="s">
        <v>50</v>
      </c>
      <c r="K65" s="214" t="s">
        <v>288</v>
      </c>
      <c r="L65" s="230">
        <v>44307</v>
      </c>
      <c r="M65" s="231">
        <v>254545</v>
      </c>
      <c r="N65" s="214">
        <v>6</v>
      </c>
      <c r="O65" s="232">
        <f t="shared" si="5"/>
        <v>1527270</v>
      </c>
      <c r="P65" s="232">
        <v>275000</v>
      </c>
      <c r="Q65" s="232">
        <f t="shared" si="2"/>
        <v>1650000</v>
      </c>
    </row>
    <row r="66" spans="2:17">
      <c r="B66" s="200">
        <v>63</v>
      </c>
      <c r="C66" s="214" t="s">
        <v>289</v>
      </c>
      <c r="D66" s="215" t="s">
        <v>285</v>
      </c>
      <c r="E66" s="216" t="s">
        <v>9</v>
      </c>
      <c r="F66" s="217" t="s">
        <v>290</v>
      </c>
      <c r="G66" s="214"/>
      <c r="H66" s="214" t="s">
        <v>287</v>
      </c>
      <c r="I66" s="214"/>
      <c r="J66" s="217" t="s">
        <v>50</v>
      </c>
      <c r="K66" s="214" t="s">
        <v>291</v>
      </c>
      <c r="L66" s="230">
        <v>44307</v>
      </c>
      <c r="M66" s="231">
        <v>254545</v>
      </c>
      <c r="N66" s="214">
        <v>4</v>
      </c>
      <c r="O66" s="232">
        <f t="shared" si="5"/>
        <v>1018180</v>
      </c>
      <c r="P66" s="232">
        <v>275000</v>
      </c>
      <c r="Q66" s="232">
        <f t="shared" si="2"/>
        <v>1100000</v>
      </c>
    </row>
    <row r="67" spans="2:17">
      <c r="B67" s="200">
        <v>64</v>
      </c>
      <c r="C67" s="214" t="s">
        <v>292</v>
      </c>
      <c r="D67" s="215" t="s">
        <v>285</v>
      </c>
      <c r="E67" s="216" t="s">
        <v>9</v>
      </c>
      <c r="F67" s="217" t="s">
        <v>293</v>
      </c>
      <c r="G67" s="214"/>
      <c r="H67" s="214" t="s">
        <v>287</v>
      </c>
      <c r="I67" s="214"/>
      <c r="J67" s="217" t="s">
        <v>50</v>
      </c>
      <c r="K67" s="214" t="s">
        <v>294</v>
      </c>
      <c r="L67" s="230">
        <v>44307</v>
      </c>
      <c r="M67" s="231">
        <v>254545</v>
      </c>
      <c r="N67" s="214">
        <v>3</v>
      </c>
      <c r="O67" s="232">
        <f t="shared" si="5"/>
        <v>763635</v>
      </c>
      <c r="P67" s="232">
        <v>275000</v>
      </c>
      <c r="Q67" s="232">
        <f t="shared" si="2"/>
        <v>825000</v>
      </c>
    </row>
    <row r="68" spans="2:17">
      <c r="B68" s="200">
        <v>65</v>
      </c>
      <c r="C68" s="214" t="s">
        <v>295</v>
      </c>
      <c r="D68" s="215" t="s">
        <v>285</v>
      </c>
      <c r="E68" s="216" t="s">
        <v>9</v>
      </c>
      <c r="F68" s="217" t="s">
        <v>296</v>
      </c>
      <c r="G68" s="214"/>
      <c r="H68" s="214" t="s">
        <v>287</v>
      </c>
      <c r="I68" s="214"/>
      <c r="J68" s="217" t="s">
        <v>50</v>
      </c>
      <c r="K68" s="214" t="s">
        <v>297</v>
      </c>
      <c r="L68" s="230">
        <v>44307</v>
      </c>
      <c r="M68" s="231">
        <v>254545</v>
      </c>
      <c r="N68" s="214">
        <v>5</v>
      </c>
      <c r="O68" s="232">
        <f t="shared" si="5"/>
        <v>1272725</v>
      </c>
      <c r="P68" s="232">
        <v>275000</v>
      </c>
      <c r="Q68" s="232">
        <f t="shared" si="2"/>
        <v>1375000</v>
      </c>
    </row>
    <row r="69" spans="2:17">
      <c r="B69" s="200">
        <v>66</v>
      </c>
      <c r="C69" s="214" t="s">
        <v>298</v>
      </c>
      <c r="D69" s="215" t="s">
        <v>285</v>
      </c>
      <c r="E69" s="216" t="s">
        <v>9</v>
      </c>
      <c r="F69" s="217" t="s">
        <v>299</v>
      </c>
      <c r="G69" s="214"/>
      <c r="H69" s="214" t="s">
        <v>287</v>
      </c>
      <c r="I69" s="214"/>
      <c r="J69" s="217" t="s">
        <v>50</v>
      </c>
      <c r="K69" s="214" t="s">
        <v>300</v>
      </c>
      <c r="L69" s="230">
        <v>44307</v>
      </c>
      <c r="M69" s="231">
        <v>254545</v>
      </c>
      <c r="N69" s="214">
        <v>3</v>
      </c>
      <c r="O69" s="232">
        <f t="shared" si="5"/>
        <v>763635</v>
      </c>
      <c r="P69" s="232">
        <v>275000</v>
      </c>
      <c r="Q69" s="232">
        <f t="shared" si="2"/>
        <v>825000</v>
      </c>
    </row>
    <row r="70" spans="2:17">
      <c r="B70" s="200">
        <v>67</v>
      </c>
      <c r="C70" s="214" t="s">
        <v>301</v>
      </c>
      <c r="D70" s="215">
        <v>78868</v>
      </c>
      <c r="E70" s="216" t="s">
        <v>17</v>
      </c>
      <c r="F70" s="217" t="s">
        <v>114</v>
      </c>
      <c r="G70" s="214"/>
      <c r="H70" s="214" t="s">
        <v>302</v>
      </c>
      <c r="I70" s="214"/>
      <c r="J70" s="217" t="s">
        <v>85</v>
      </c>
      <c r="K70" s="214" t="s">
        <v>303</v>
      </c>
      <c r="L70" s="230">
        <v>44307</v>
      </c>
      <c r="M70" s="231">
        <v>222727</v>
      </c>
      <c r="N70" s="214">
        <v>4</v>
      </c>
      <c r="O70" s="232">
        <f t="shared" si="5"/>
        <v>890908</v>
      </c>
      <c r="P70" s="232">
        <v>279090.90999999997</v>
      </c>
      <c r="Q70" s="232">
        <f t="shared" si="2"/>
        <v>1116363.6399999999</v>
      </c>
    </row>
    <row r="71" spans="2:17">
      <c r="B71" s="200">
        <v>68</v>
      </c>
      <c r="C71" s="214" t="s">
        <v>304</v>
      </c>
      <c r="D71" s="215">
        <v>78868</v>
      </c>
      <c r="E71" s="216" t="s">
        <v>17</v>
      </c>
      <c r="F71" s="217" t="s">
        <v>114</v>
      </c>
      <c r="G71" s="214"/>
      <c r="H71" s="214" t="s">
        <v>305</v>
      </c>
      <c r="I71" s="214"/>
      <c r="J71" s="217" t="s">
        <v>85</v>
      </c>
      <c r="K71" s="214" t="s">
        <v>306</v>
      </c>
      <c r="L71" s="230">
        <v>44307</v>
      </c>
      <c r="M71" s="231">
        <v>171818</v>
      </c>
      <c r="N71" s="214">
        <v>9</v>
      </c>
      <c r="O71" s="232">
        <f t="shared" si="5"/>
        <v>1546362</v>
      </c>
      <c r="P71" s="232">
        <v>279090.90999999997</v>
      </c>
      <c r="Q71" s="232">
        <f t="shared" si="2"/>
        <v>2511818.19</v>
      </c>
    </row>
    <row r="72" spans="2:17">
      <c r="B72" s="200">
        <v>69</v>
      </c>
      <c r="C72" s="214" t="s">
        <v>307</v>
      </c>
      <c r="D72" s="215">
        <v>78868</v>
      </c>
      <c r="E72" s="216" t="s">
        <v>17</v>
      </c>
      <c r="F72" s="217" t="s">
        <v>114</v>
      </c>
      <c r="G72" s="214"/>
      <c r="H72" s="214" t="s">
        <v>308</v>
      </c>
      <c r="I72" s="214"/>
      <c r="J72" s="217" t="s">
        <v>85</v>
      </c>
      <c r="K72" s="214" t="s">
        <v>309</v>
      </c>
      <c r="L72" s="230">
        <v>44307</v>
      </c>
      <c r="M72" s="231">
        <v>222727</v>
      </c>
      <c r="N72" s="214">
        <v>5</v>
      </c>
      <c r="O72" s="232">
        <f t="shared" si="5"/>
        <v>1113635</v>
      </c>
      <c r="P72" s="232">
        <v>279090.90999999997</v>
      </c>
      <c r="Q72" s="232">
        <f t="shared" si="2"/>
        <v>1395454.5499999998</v>
      </c>
    </row>
    <row r="73" spans="2:17">
      <c r="B73" s="200">
        <v>70</v>
      </c>
      <c r="C73" s="214" t="s">
        <v>310</v>
      </c>
      <c r="D73" s="215">
        <v>78868</v>
      </c>
      <c r="E73" s="216" t="s">
        <v>17</v>
      </c>
      <c r="F73" s="217" t="s">
        <v>114</v>
      </c>
      <c r="G73" s="214"/>
      <c r="H73" s="214" t="s">
        <v>302</v>
      </c>
      <c r="I73" s="214"/>
      <c r="J73" s="217" t="s">
        <v>92</v>
      </c>
      <c r="K73" s="214" t="s">
        <v>311</v>
      </c>
      <c r="L73" s="230">
        <v>44307</v>
      </c>
      <c r="M73" s="231">
        <v>46364</v>
      </c>
      <c r="N73" s="214">
        <v>4</v>
      </c>
      <c r="O73" s="232">
        <f t="shared" si="5"/>
        <v>185456</v>
      </c>
      <c r="P73" s="232">
        <v>58181.82</v>
      </c>
      <c r="Q73" s="232">
        <f t="shared" si="2"/>
        <v>232727.28</v>
      </c>
    </row>
    <row r="74" spans="2:17">
      <c r="B74" s="200">
        <v>71</v>
      </c>
      <c r="C74" s="214" t="s">
        <v>312</v>
      </c>
      <c r="D74" s="215">
        <v>78868</v>
      </c>
      <c r="E74" s="216" t="s">
        <v>17</v>
      </c>
      <c r="F74" s="217" t="s">
        <v>114</v>
      </c>
      <c r="G74" s="214"/>
      <c r="H74" s="214" t="s">
        <v>308</v>
      </c>
      <c r="I74" s="214"/>
      <c r="J74" s="217" t="s">
        <v>92</v>
      </c>
      <c r="K74" s="214" t="s">
        <v>313</v>
      </c>
      <c r="L74" s="230">
        <v>44307</v>
      </c>
      <c r="M74" s="231">
        <v>46364</v>
      </c>
      <c r="N74" s="214">
        <v>5</v>
      </c>
      <c r="O74" s="232">
        <f t="shared" si="5"/>
        <v>231820</v>
      </c>
      <c r="P74" s="232">
        <v>58181.82</v>
      </c>
      <c r="Q74" s="232">
        <f t="shared" si="2"/>
        <v>290909.09999999998</v>
      </c>
    </row>
    <row r="75" spans="2:17">
      <c r="B75" s="200">
        <v>72</v>
      </c>
      <c r="C75" s="214" t="s">
        <v>314</v>
      </c>
      <c r="D75" s="215" t="s">
        <v>315</v>
      </c>
      <c r="E75" s="216" t="s">
        <v>5</v>
      </c>
      <c r="F75" s="217" t="s">
        <v>131</v>
      </c>
      <c r="G75" s="214"/>
      <c r="H75" s="214" t="s">
        <v>316</v>
      </c>
      <c r="I75" s="214"/>
      <c r="J75" s="217" t="s">
        <v>50</v>
      </c>
      <c r="K75" s="214" t="s">
        <v>317</v>
      </c>
      <c r="L75" s="230">
        <v>44308</v>
      </c>
      <c r="M75" s="231">
        <v>444545</v>
      </c>
      <c r="N75" s="214">
        <v>157</v>
      </c>
      <c r="O75" s="232">
        <f t="shared" si="5"/>
        <v>69793565</v>
      </c>
      <c r="P75" s="232">
        <v>545455</v>
      </c>
      <c r="Q75" s="232">
        <f t="shared" si="2"/>
        <v>85636435</v>
      </c>
    </row>
    <row r="76" spans="2:17">
      <c r="B76" s="200">
        <v>73</v>
      </c>
      <c r="C76" s="214" t="s">
        <v>318</v>
      </c>
      <c r="D76" s="215" t="s">
        <v>319</v>
      </c>
      <c r="E76" s="216" t="s">
        <v>11</v>
      </c>
      <c r="F76" s="217" t="s">
        <v>320</v>
      </c>
      <c r="G76" s="214"/>
      <c r="H76" s="214" t="s">
        <v>321</v>
      </c>
      <c r="I76" s="214"/>
      <c r="J76" s="217" t="s">
        <v>85</v>
      </c>
      <c r="K76" s="214" t="s">
        <v>322</v>
      </c>
      <c r="L76" s="230">
        <v>44309</v>
      </c>
      <c r="M76" s="231">
        <v>222727</v>
      </c>
      <c r="N76" s="214">
        <v>25</v>
      </c>
      <c r="O76" s="232">
        <f t="shared" si="5"/>
        <v>5568175</v>
      </c>
      <c r="P76" s="232">
        <v>279090.90999999997</v>
      </c>
      <c r="Q76" s="232">
        <f t="shared" si="2"/>
        <v>6977272.7499999991</v>
      </c>
    </row>
    <row r="77" spans="2:17">
      <c r="B77" s="200">
        <v>74</v>
      </c>
      <c r="C77" s="214" t="s">
        <v>323</v>
      </c>
      <c r="D77" s="215" t="s">
        <v>324</v>
      </c>
      <c r="E77" s="216" t="s">
        <v>20</v>
      </c>
      <c r="F77" s="217" t="s">
        <v>325</v>
      </c>
      <c r="G77" s="214"/>
      <c r="H77" s="214" t="s">
        <v>326</v>
      </c>
      <c r="I77" s="214"/>
      <c r="J77" s="217" t="s">
        <v>63</v>
      </c>
      <c r="K77" s="214" t="s">
        <v>327</v>
      </c>
      <c r="L77" s="230">
        <v>44309</v>
      </c>
      <c r="M77" s="231">
        <v>92727</v>
      </c>
      <c r="N77" s="214">
        <v>250</v>
      </c>
      <c r="O77" s="232">
        <f t="shared" si="5"/>
        <v>23181750</v>
      </c>
      <c r="P77" s="232">
        <v>135273</v>
      </c>
      <c r="Q77" s="232">
        <f t="shared" si="2"/>
        <v>33818250</v>
      </c>
    </row>
    <row r="78" spans="2:17">
      <c r="B78" s="200">
        <v>75</v>
      </c>
      <c r="C78" s="233" t="s">
        <v>328</v>
      </c>
      <c r="D78" s="234" t="s">
        <v>329</v>
      </c>
      <c r="E78" s="235" t="s">
        <v>9</v>
      </c>
      <c r="F78" s="236" t="s">
        <v>330</v>
      </c>
      <c r="G78" s="233"/>
      <c r="H78" s="233" t="s">
        <v>331</v>
      </c>
      <c r="I78" s="233"/>
      <c r="J78" s="236" t="s">
        <v>50</v>
      </c>
      <c r="K78" s="233" t="s">
        <v>332</v>
      </c>
      <c r="L78" s="245">
        <v>44307</v>
      </c>
      <c r="M78" s="246">
        <v>254545</v>
      </c>
      <c r="N78" s="233">
        <v>1</v>
      </c>
      <c r="O78" s="247">
        <f t="shared" si="5"/>
        <v>254545</v>
      </c>
      <c r="P78" s="247">
        <v>275000</v>
      </c>
      <c r="Q78" s="247">
        <f t="shared" si="2"/>
        <v>275000</v>
      </c>
    </row>
    <row r="79" spans="2:17">
      <c r="B79" s="200">
        <v>76</v>
      </c>
      <c r="C79" s="233" t="s">
        <v>333</v>
      </c>
      <c r="D79" s="234" t="s">
        <v>329</v>
      </c>
      <c r="E79" s="235" t="s">
        <v>9</v>
      </c>
      <c r="F79" s="236" t="s">
        <v>334</v>
      </c>
      <c r="G79" s="233"/>
      <c r="H79" s="233" t="s">
        <v>331</v>
      </c>
      <c r="I79" s="233"/>
      <c r="J79" s="236" t="s">
        <v>50</v>
      </c>
      <c r="K79" s="233" t="s">
        <v>335</v>
      </c>
      <c r="L79" s="245">
        <v>44307</v>
      </c>
      <c r="M79" s="246">
        <v>254545</v>
      </c>
      <c r="N79" s="233">
        <v>4</v>
      </c>
      <c r="O79" s="247">
        <f t="shared" si="5"/>
        <v>1018180</v>
      </c>
      <c r="P79" s="247">
        <v>275000</v>
      </c>
      <c r="Q79" s="247">
        <f t="shared" si="2"/>
        <v>1100000</v>
      </c>
    </row>
    <row r="80" spans="2:17">
      <c r="B80" s="200">
        <v>77</v>
      </c>
      <c r="C80" s="233" t="s">
        <v>336</v>
      </c>
      <c r="D80" s="234" t="s">
        <v>329</v>
      </c>
      <c r="E80" s="235" t="s">
        <v>9</v>
      </c>
      <c r="F80" s="236" t="s">
        <v>337</v>
      </c>
      <c r="G80" s="233"/>
      <c r="H80" s="233" t="s">
        <v>331</v>
      </c>
      <c r="I80" s="233"/>
      <c r="J80" s="236" t="s">
        <v>50</v>
      </c>
      <c r="K80" s="233" t="s">
        <v>338</v>
      </c>
      <c r="L80" s="245">
        <v>44307</v>
      </c>
      <c r="M80" s="246">
        <v>254545</v>
      </c>
      <c r="N80" s="233">
        <v>6</v>
      </c>
      <c r="O80" s="247">
        <f t="shared" si="5"/>
        <v>1527270</v>
      </c>
      <c r="P80" s="247">
        <v>275000</v>
      </c>
      <c r="Q80" s="247">
        <f t="shared" ref="Q80:Q143" si="6">P80*N80</f>
        <v>1650000</v>
      </c>
    </row>
    <row r="81" spans="2:17">
      <c r="B81" s="200">
        <v>78</v>
      </c>
      <c r="C81" s="233" t="s">
        <v>339</v>
      </c>
      <c r="D81" s="234" t="s">
        <v>340</v>
      </c>
      <c r="E81" s="235" t="s">
        <v>11</v>
      </c>
      <c r="F81" s="236" t="s">
        <v>320</v>
      </c>
      <c r="G81" s="233"/>
      <c r="H81" s="233" t="s">
        <v>341</v>
      </c>
      <c r="I81" s="233"/>
      <c r="J81" s="236" t="s">
        <v>50</v>
      </c>
      <c r="K81" s="233" t="s">
        <v>342</v>
      </c>
      <c r="L81" s="245">
        <v>44335</v>
      </c>
      <c r="M81" s="246">
        <v>444545</v>
      </c>
      <c r="N81" s="233">
        <v>1</v>
      </c>
      <c r="O81" s="247">
        <f t="shared" si="5"/>
        <v>444545</v>
      </c>
      <c r="P81" s="247">
        <v>556363.63</v>
      </c>
      <c r="Q81" s="247">
        <f t="shared" si="6"/>
        <v>556363.63</v>
      </c>
    </row>
    <row r="82" spans="2:17">
      <c r="B82" s="200">
        <v>79</v>
      </c>
      <c r="C82" s="233" t="s">
        <v>343</v>
      </c>
      <c r="D82" s="234" t="s">
        <v>344</v>
      </c>
      <c r="E82" s="235" t="s">
        <v>82</v>
      </c>
      <c r="F82" s="236" t="s">
        <v>83</v>
      </c>
      <c r="G82" s="233"/>
      <c r="H82" s="233" t="s">
        <v>345</v>
      </c>
      <c r="I82" s="233"/>
      <c r="J82" s="236" t="s">
        <v>85</v>
      </c>
      <c r="K82" s="233" t="s">
        <v>346</v>
      </c>
      <c r="L82" s="245">
        <v>44335</v>
      </c>
      <c r="M82" s="246">
        <v>222727</v>
      </c>
      <c r="N82" s="233">
        <v>350</v>
      </c>
      <c r="O82" s="247">
        <f t="shared" si="5"/>
        <v>77954450</v>
      </c>
      <c r="P82" s="247">
        <v>279090.90999999997</v>
      </c>
      <c r="Q82" s="247">
        <f t="shared" si="6"/>
        <v>97681818.499999985</v>
      </c>
    </row>
    <row r="83" spans="2:17">
      <c r="B83" s="200">
        <v>80</v>
      </c>
      <c r="C83" s="233" t="s">
        <v>347</v>
      </c>
      <c r="D83" s="234" t="s">
        <v>348</v>
      </c>
      <c r="E83" s="235" t="s">
        <v>9</v>
      </c>
      <c r="F83" s="236" t="s">
        <v>349</v>
      </c>
      <c r="G83" s="233"/>
      <c r="H83" s="233" t="s">
        <v>350</v>
      </c>
      <c r="I83" s="233"/>
      <c r="J83" s="236" t="s">
        <v>50</v>
      </c>
      <c r="K83" s="233" t="s">
        <v>351</v>
      </c>
      <c r="L83" s="245">
        <v>44336</v>
      </c>
      <c r="M83" s="246">
        <v>254545</v>
      </c>
      <c r="N83" s="233">
        <v>2</v>
      </c>
      <c r="O83" s="247">
        <f t="shared" si="5"/>
        <v>509090</v>
      </c>
      <c r="P83" s="247">
        <v>275000</v>
      </c>
      <c r="Q83" s="247">
        <f t="shared" si="6"/>
        <v>550000</v>
      </c>
    </row>
    <row r="84" spans="2:17">
      <c r="B84" s="200">
        <v>81</v>
      </c>
      <c r="C84" s="237" t="s">
        <v>352</v>
      </c>
      <c r="D84" s="238" t="s">
        <v>353</v>
      </c>
      <c r="E84" s="239" t="s">
        <v>9</v>
      </c>
      <c r="F84" s="240" t="s">
        <v>354</v>
      </c>
      <c r="G84" s="237"/>
      <c r="H84" s="237" t="s">
        <v>355</v>
      </c>
      <c r="I84" s="237"/>
      <c r="J84" s="240" t="s">
        <v>50</v>
      </c>
      <c r="K84" s="237" t="s">
        <v>356</v>
      </c>
      <c r="L84" s="248">
        <v>44349</v>
      </c>
      <c r="M84" s="249">
        <v>254545</v>
      </c>
      <c r="N84" s="237">
        <v>1</v>
      </c>
      <c r="O84" s="250">
        <f t="shared" si="5"/>
        <v>254545</v>
      </c>
      <c r="P84" s="250">
        <v>275000</v>
      </c>
      <c r="Q84" s="250">
        <f t="shared" si="6"/>
        <v>275000</v>
      </c>
    </row>
    <row r="85" spans="2:17">
      <c r="B85" s="200">
        <v>82</v>
      </c>
      <c r="C85" s="237" t="s">
        <v>357</v>
      </c>
      <c r="D85" s="238" t="s">
        <v>353</v>
      </c>
      <c r="E85" s="239" t="s">
        <v>9</v>
      </c>
      <c r="F85" s="240" t="s">
        <v>358</v>
      </c>
      <c r="G85" s="237"/>
      <c r="H85" s="237" t="s">
        <v>355</v>
      </c>
      <c r="I85" s="237"/>
      <c r="J85" s="240" t="s">
        <v>50</v>
      </c>
      <c r="K85" s="237" t="s">
        <v>359</v>
      </c>
      <c r="L85" s="248">
        <v>44349</v>
      </c>
      <c r="M85" s="249">
        <v>254545</v>
      </c>
      <c r="N85" s="237">
        <v>7</v>
      </c>
      <c r="O85" s="250">
        <f t="shared" si="5"/>
        <v>1781815</v>
      </c>
      <c r="P85" s="250">
        <v>275000</v>
      </c>
      <c r="Q85" s="250">
        <f t="shared" si="6"/>
        <v>1925000</v>
      </c>
    </row>
    <row r="86" spans="2:17">
      <c r="B86" s="200">
        <v>83</v>
      </c>
      <c r="C86" s="237" t="s">
        <v>360</v>
      </c>
      <c r="D86" s="238" t="s">
        <v>353</v>
      </c>
      <c r="E86" s="239" t="s">
        <v>9</v>
      </c>
      <c r="F86" s="240" t="s">
        <v>361</v>
      </c>
      <c r="G86" s="237"/>
      <c r="H86" s="237" t="s">
        <v>355</v>
      </c>
      <c r="I86" s="237"/>
      <c r="J86" s="240" t="s">
        <v>50</v>
      </c>
      <c r="K86" s="237" t="s">
        <v>362</v>
      </c>
      <c r="L86" s="248">
        <v>44349</v>
      </c>
      <c r="M86" s="249">
        <v>254545</v>
      </c>
      <c r="N86" s="237">
        <v>1</v>
      </c>
      <c r="O86" s="250">
        <f t="shared" si="5"/>
        <v>254545</v>
      </c>
      <c r="P86" s="250">
        <v>275000</v>
      </c>
      <c r="Q86" s="250">
        <f t="shared" si="6"/>
        <v>275000</v>
      </c>
    </row>
    <row r="87" spans="2:17">
      <c r="B87" s="200">
        <v>84</v>
      </c>
      <c r="C87" s="237" t="s">
        <v>363</v>
      </c>
      <c r="D87" s="238" t="s">
        <v>353</v>
      </c>
      <c r="E87" s="239" t="s">
        <v>9</v>
      </c>
      <c r="F87" s="240" t="s">
        <v>364</v>
      </c>
      <c r="G87" s="237"/>
      <c r="H87" s="237" t="s">
        <v>355</v>
      </c>
      <c r="I87" s="237"/>
      <c r="J87" s="240" t="s">
        <v>50</v>
      </c>
      <c r="K87" s="237" t="s">
        <v>365</v>
      </c>
      <c r="L87" s="248">
        <v>44349</v>
      </c>
      <c r="M87" s="249">
        <v>254545</v>
      </c>
      <c r="N87" s="237">
        <v>6</v>
      </c>
      <c r="O87" s="250">
        <f t="shared" si="5"/>
        <v>1527270</v>
      </c>
      <c r="P87" s="250">
        <v>275000</v>
      </c>
      <c r="Q87" s="250">
        <f t="shared" si="6"/>
        <v>1650000</v>
      </c>
    </row>
    <row r="88" spans="2:17">
      <c r="B88" s="200">
        <v>85</v>
      </c>
      <c r="C88" s="237" t="s">
        <v>366</v>
      </c>
      <c r="D88" s="238" t="s">
        <v>367</v>
      </c>
      <c r="E88" s="239" t="s">
        <v>9</v>
      </c>
      <c r="F88" s="240" t="s">
        <v>368</v>
      </c>
      <c r="G88" s="237"/>
      <c r="H88" s="237" t="s">
        <v>369</v>
      </c>
      <c r="I88" s="237"/>
      <c r="J88" s="240" t="s">
        <v>50</v>
      </c>
      <c r="K88" s="237" t="s">
        <v>370</v>
      </c>
      <c r="L88" s="248">
        <v>44357</v>
      </c>
      <c r="M88" s="249">
        <v>254545</v>
      </c>
      <c r="N88" s="237">
        <v>2</v>
      </c>
      <c r="O88" s="250">
        <f t="shared" si="5"/>
        <v>509090</v>
      </c>
      <c r="P88" s="250">
        <v>275000</v>
      </c>
      <c r="Q88" s="250">
        <f t="shared" si="6"/>
        <v>550000</v>
      </c>
    </row>
    <row r="89" spans="2:17">
      <c r="B89" s="200">
        <v>86</v>
      </c>
      <c r="C89" s="237" t="s">
        <v>371</v>
      </c>
      <c r="D89" s="238" t="s">
        <v>367</v>
      </c>
      <c r="E89" s="239" t="s">
        <v>9</v>
      </c>
      <c r="F89" s="240" t="s">
        <v>372</v>
      </c>
      <c r="G89" s="237"/>
      <c r="H89" s="237" t="s">
        <v>369</v>
      </c>
      <c r="I89" s="237"/>
      <c r="J89" s="240" t="s">
        <v>50</v>
      </c>
      <c r="K89" s="237" t="s">
        <v>373</v>
      </c>
      <c r="L89" s="248">
        <v>44357</v>
      </c>
      <c r="M89" s="249">
        <v>254545</v>
      </c>
      <c r="N89" s="237">
        <v>1</v>
      </c>
      <c r="O89" s="250">
        <f t="shared" si="5"/>
        <v>254545</v>
      </c>
      <c r="P89" s="250">
        <v>275000</v>
      </c>
      <c r="Q89" s="250">
        <f t="shared" si="6"/>
        <v>275000</v>
      </c>
    </row>
    <row r="90" spans="2:17">
      <c r="B90" s="200">
        <v>87</v>
      </c>
      <c r="C90" s="237" t="s">
        <v>374</v>
      </c>
      <c r="D90" s="238" t="s">
        <v>375</v>
      </c>
      <c r="E90" s="239" t="s">
        <v>17</v>
      </c>
      <c r="F90" s="240" t="s">
        <v>114</v>
      </c>
      <c r="G90" s="237"/>
      <c r="H90" s="237" t="s">
        <v>376</v>
      </c>
      <c r="I90" s="237"/>
      <c r="J90" s="240" t="s">
        <v>85</v>
      </c>
      <c r="K90" s="237" t="s">
        <v>377</v>
      </c>
      <c r="L90" s="248">
        <v>44361</v>
      </c>
      <c r="M90" s="249">
        <v>222727</v>
      </c>
      <c r="N90" s="237">
        <v>1</v>
      </c>
      <c r="O90" s="250">
        <f t="shared" si="5"/>
        <v>222727</v>
      </c>
      <c r="P90" s="250">
        <v>279090.90999999997</v>
      </c>
      <c r="Q90" s="250">
        <f t="shared" si="6"/>
        <v>279090.90999999997</v>
      </c>
    </row>
    <row r="91" spans="2:17">
      <c r="B91" s="200">
        <v>88</v>
      </c>
      <c r="C91" s="237" t="s">
        <v>378</v>
      </c>
      <c r="D91" s="238" t="s">
        <v>375</v>
      </c>
      <c r="E91" s="239" t="s">
        <v>17</v>
      </c>
      <c r="F91" s="240" t="s">
        <v>114</v>
      </c>
      <c r="G91" s="237"/>
      <c r="H91" s="237" t="s">
        <v>379</v>
      </c>
      <c r="I91" s="237"/>
      <c r="J91" s="240" t="s">
        <v>85</v>
      </c>
      <c r="K91" s="237" t="s">
        <v>380</v>
      </c>
      <c r="L91" s="248">
        <v>44361</v>
      </c>
      <c r="M91" s="249">
        <v>222727</v>
      </c>
      <c r="N91" s="237">
        <v>11</v>
      </c>
      <c r="O91" s="250">
        <f t="shared" si="5"/>
        <v>2449997</v>
      </c>
      <c r="P91" s="250">
        <v>279090.90999999997</v>
      </c>
      <c r="Q91" s="250">
        <f t="shared" si="6"/>
        <v>3070000.01</v>
      </c>
    </row>
    <row r="92" spans="2:17">
      <c r="B92" s="200">
        <v>89</v>
      </c>
      <c r="C92" s="237" t="s">
        <v>381</v>
      </c>
      <c r="D92" s="238" t="s">
        <v>375</v>
      </c>
      <c r="E92" s="239" t="s">
        <v>17</v>
      </c>
      <c r="F92" s="240" t="s">
        <v>114</v>
      </c>
      <c r="G92" s="237"/>
      <c r="H92" s="237" t="s">
        <v>382</v>
      </c>
      <c r="I92" s="237"/>
      <c r="J92" s="240" t="s">
        <v>92</v>
      </c>
      <c r="K92" s="237" t="s">
        <v>383</v>
      </c>
      <c r="L92" s="248">
        <v>44361</v>
      </c>
      <c r="M92" s="249">
        <v>46364</v>
      </c>
      <c r="N92" s="237">
        <v>3</v>
      </c>
      <c r="O92" s="250">
        <f t="shared" si="5"/>
        <v>139092</v>
      </c>
      <c r="P92" s="250">
        <v>58181.82</v>
      </c>
      <c r="Q92" s="250">
        <f t="shared" si="6"/>
        <v>174545.46</v>
      </c>
    </row>
    <row r="93" spans="2:17">
      <c r="B93" s="200">
        <v>90</v>
      </c>
      <c r="C93" s="237" t="s">
        <v>384</v>
      </c>
      <c r="D93" s="238" t="s">
        <v>375</v>
      </c>
      <c r="E93" s="239" t="s">
        <v>17</v>
      </c>
      <c r="F93" s="240" t="s">
        <v>114</v>
      </c>
      <c r="G93" s="237"/>
      <c r="H93" s="237" t="s">
        <v>385</v>
      </c>
      <c r="I93" s="237"/>
      <c r="J93" s="240" t="s">
        <v>92</v>
      </c>
      <c r="K93" s="237" t="s">
        <v>386</v>
      </c>
      <c r="L93" s="248">
        <v>44361</v>
      </c>
      <c r="M93" s="249">
        <v>46364</v>
      </c>
      <c r="N93" s="237">
        <v>1</v>
      </c>
      <c r="O93" s="250">
        <f t="shared" si="5"/>
        <v>46364</v>
      </c>
      <c r="P93" s="250">
        <v>58181.82</v>
      </c>
      <c r="Q93" s="250">
        <f t="shared" si="6"/>
        <v>58181.82</v>
      </c>
    </row>
    <row r="94" spans="2:17">
      <c r="B94" s="200">
        <v>91</v>
      </c>
      <c r="C94" s="237" t="s">
        <v>387</v>
      </c>
      <c r="D94" s="238" t="s">
        <v>375</v>
      </c>
      <c r="E94" s="239" t="s">
        <v>17</v>
      </c>
      <c r="F94" s="240" t="s">
        <v>114</v>
      </c>
      <c r="G94" s="237"/>
      <c r="H94" s="237" t="s">
        <v>388</v>
      </c>
      <c r="I94" s="237"/>
      <c r="J94" s="240" t="s">
        <v>92</v>
      </c>
      <c r="K94" s="237" t="s">
        <v>389</v>
      </c>
      <c r="L94" s="248">
        <v>44361</v>
      </c>
      <c r="M94" s="249">
        <v>46364</v>
      </c>
      <c r="N94" s="237">
        <v>11</v>
      </c>
      <c r="O94" s="250">
        <f t="shared" si="5"/>
        <v>510004</v>
      </c>
      <c r="P94" s="250">
        <v>58181.82</v>
      </c>
      <c r="Q94" s="250">
        <f t="shared" si="6"/>
        <v>640000.02</v>
      </c>
    </row>
    <row r="95" spans="2:17">
      <c r="B95" s="200">
        <v>92</v>
      </c>
      <c r="C95" s="237" t="s">
        <v>390</v>
      </c>
      <c r="D95" s="238" t="s">
        <v>391</v>
      </c>
      <c r="E95" s="239" t="s">
        <v>9</v>
      </c>
      <c r="F95" s="240" t="s">
        <v>392</v>
      </c>
      <c r="G95" s="237"/>
      <c r="H95" s="237" t="s">
        <v>393</v>
      </c>
      <c r="I95" s="237"/>
      <c r="J95" s="240" t="s">
        <v>50</v>
      </c>
      <c r="K95" s="237" t="s">
        <v>394</v>
      </c>
      <c r="L95" s="248">
        <v>44363</v>
      </c>
      <c r="M95" s="249">
        <v>254545</v>
      </c>
      <c r="N95" s="237">
        <v>8</v>
      </c>
      <c r="O95" s="250">
        <f t="shared" si="5"/>
        <v>2036360</v>
      </c>
      <c r="P95" s="250">
        <v>275000</v>
      </c>
      <c r="Q95" s="250">
        <f t="shared" si="6"/>
        <v>2200000</v>
      </c>
    </row>
    <row r="96" spans="2:17">
      <c r="B96" s="200">
        <v>93</v>
      </c>
      <c r="C96" s="237" t="s">
        <v>395</v>
      </c>
      <c r="D96" s="238" t="s">
        <v>396</v>
      </c>
      <c r="E96" s="239"/>
      <c r="F96" s="240" t="s">
        <v>397</v>
      </c>
      <c r="G96" s="237"/>
      <c r="H96" s="237" t="s">
        <v>398</v>
      </c>
      <c r="I96" s="237"/>
      <c r="J96" s="240" t="s">
        <v>63</v>
      </c>
      <c r="K96" s="237" t="s">
        <v>399</v>
      </c>
      <c r="L96" s="248">
        <v>44363</v>
      </c>
      <c r="M96" s="249">
        <v>92727</v>
      </c>
      <c r="N96" s="237">
        <v>10</v>
      </c>
      <c r="O96" s="250">
        <f t="shared" si="5"/>
        <v>927270</v>
      </c>
      <c r="P96" s="250">
        <v>198400</v>
      </c>
      <c r="Q96" s="250">
        <f t="shared" si="6"/>
        <v>1984000</v>
      </c>
    </row>
    <row r="97" spans="2:17">
      <c r="B97" s="200">
        <v>94</v>
      </c>
      <c r="C97" s="237" t="s">
        <v>400</v>
      </c>
      <c r="D97" s="238" t="s">
        <v>401</v>
      </c>
      <c r="E97" s="239" t="s">
        <v>9</v>
      </c>
      <c r="F97" s="240" t="s">
        <v>402</v>
      </c>
      <c r="G97" s="237"/>
      <c r="H97" s="237" t="s">
        <v>403</v>
      </c>
      <c r="I97" s="237"/>
      <c r="J97" s="240" t="s">
        <v>50</v>
      </c>
      <c r="K97" s="237" t="s">
        <v>404</v>
      </c>
      <c r="L97" s="248">
        <v>44370</v>
      </c>
      <c r="M97" s="249">
        <v>254545</v>
      </c>
      <c r="N97" s="237">
        <v>3</v>
      </c>
      <c r="O97" s="250">
        <f t="shared" si="5"/>
        <v>763635</v>
      </c>
      <c r="P97" s="250">
        <v>275000</v>
      </c>
      <c r="Q97" s="250">
        <f t="shared" si="6"/>
        <v>825000</v>
      </c>
    </row>
    <row r="98" spans="2:17">
      <c r="B98" s="200">
        <v>95</v>
      </c>
      <c r="C98" s="237" t="s">
        <v>405</v>
      </c>
      <c r="D98" s="238" t="s">
        <v>401</v>
      </c>
      <c r="E98" s="239" t="s">
        <v>9</v>
      </c>
      <c r="F98" s="240" t="s">
        <v>406</v>
      </c>
      <c r="G98" s="237"/>
      <c r="H98" s="237" t="s">
        <v>403</v>
      </c>
      <c r="I98" s="237"/>
      <c r="J98" s="240" t="s">
        <v>50</v>
      </c>
      <c r="K98" s="237" t="s">
        <v>407</v>
      </c>
      <c r="L98" s="248">
        <v>44370</v>
      </c>
      <c r="M98" s="249">
        <v>254545</v>
      </c>
      <c r="N98" s="237">
        <v>1</v>
      </c>
      <c r="O98" s="250">
        <f t="shared" si="5"/>
        <v>254545</v>
      </c>
      <c r="P98" s="250">
        <v>275000</v>
      </c>
      <c r="Q98" s="250">
        <f t="shared" si="6"/>
        <v>275000</v>
      </c>
    </row>
    <row r="99" spans="2:17">
      <c r="B99" s="200">
        <v>96</v>
      </c>
      <c r="C99" s="237" t="s">
        <v>408</v>
      </c>
      <c r="D99" s="238" t="s">
        <v>401</v>
      </c>
      <c r="E99" s="239" t="s">
        <v>9</v>
      </c>
      <c r="F99" s="240" t="s">
        <v>409</v>
      </c>
      <c r="G99" s="237"/>
      <c r="H99" s="237" t="s">
        <v>403</v>
      </c>
      <c r="I99" s="237"/>
      <c r="J99" s="240" t="s">
        <v>50</v>
      </c>
      <c r="K99" s="237" t="s">
        <v>407</v>
      </c>
      <c r="L99" s="248">
        <v>44370</v>
      </c>
      <c r="M99" s="249">
        <v>254545</v>
      </c>
      <c r="N99" s="237">
        <v>1</v>
      </c>
      <c r="O99" s="250">
        <f t="shared" si="5"/>
        <v>254545</v>
      </c>
      <c r="P99" s="250">
        <v>275000</v>
      </c>
      <c r="Q99" s="250">
        <f t="shared" si="6"/>
        <v>275000</v>
      </c>
    </row>
    <row r="100" spans="2:17">
      <c r="B100" s="200">
        <v>97</v>
      </c>
      <c r="C100" s="237" t="s">
        <v>410</v>
      </c>
      <c r="D100" s="238" t="s">
        <v>401</v>
      </c>
      <c r="E100" s="239" t="s">
        <v>9</v>
      </c>
      <c r="F100" s="240" t="s">
        <v>411</v>
      </c>
      <c r="G100" s="237"/>
      <c r="H100" s="237" t="s">
        <v>403</v>
      </c>
      <c r="I100" s="237"/>
      <c r="J100" s="240" t="s">
        <v>50</v>
      </c>
      <c r="K100" s="237" t="s">
        <v>412</v>
      </c>
      <c r="L100" s="248">
        <v>44370</v>
      </c>
      <c r="M100" s="249">
        <v>254545</v>
      </c>
      <c r="N100" s="237">
        <v>2</v>
      </c>
      <c r="O100" s="250">
        <f t="shared" si="5"/>
        <v>509090</v>
      </c>
      <c r="P100" s="250">
        <v>275000</v>
      </c>
      <c r="Q100" s="250">
        <f t="shared" si="6"/>
        <v>550000</v>
      </c>
    </row>
    <row r="101" spans="2:17">
      <c r="B101" s="200">
        <v>98</v>
      </c>
      <c r="C101" s="237" t="s">
        <v>413</v>
      </c>
      <c r="D101" s="320" t="s">
        <v>414</v>
      </c>
      <c r="E101" s="239" t="s">
        <v>4</v>
      </c>
      <c r="F101" s="240" t="s">
        <v>415</v>
      </c>
      <c r="G101" s="237"/>
      <c r="H101" s="237" t="s">
        <v>416</v>
      </c>
      <c r="I101" s="237"/>
      <c r="J101" s="240" t="s">
        <v>85</v>
      </c>
      <c r="K101" s="237" t="s">
        <v>417</v>
      </c>
      <c r="L101" s="248">
        <v>44377</v>
      </c>
      <c r="M101" s="249">
        <v>222727</v>
      </c>
      <c r="N101" s="237">
        <v>96</v>
      </c>
      <c r="O101" s="250">
        <f t="shared" si="5"/>
        <v>21381792</v>
      </c>
      <c r="P101" s="250">
        <v>279090.90999999997</v>
      </c>
      <c r="Q101" s="250">
        <f t="shared" si="6"/>
        <v>26792727.359999999</v>
      </c>
    </row>
    <row r="102" spans="2:17">
      <c r="B102" s="200">
        <v>99</v>
      </c>
      <c r="C102" s="237" t="s">
        <v>418</v>
      </c>
      <c r="D102" s="238" t="s">
        <v>419</v>
      </c>
      <c r="E102" s="239"/>
      <c r="F102" s="240" t="s">
        <v>420</v>
      </c>
      <c r="G102" s="237"/>
      <c r="H102" s="237" t="s">
        <v>421</v>
      </c>
      <c r="I102" s="237"/>
      <c r="J102" s="240" t="s">
        <v>85</v>
      </c>
      <c r="K102" s="237" t="s">
        <v>422</v>
      </c>
      <c r="L102" s="248">
        <v>44377</v>
      </c>
      <c r="M102" s="249">
        <v>222727</v>
      </c>
      <c r="N102" s="237">
        <v>50</v>
      </c>
      <c r="O102" s="250">
        <f t="shared" si="5"/>
        <v>11136350</v>
      </c>
      <c r="P102" s="250">
        <v>170000</v>
      </c>
      <c r="Q102" s="250">
        <f t="shared" si="6"/>
        <v>8500000</v>
      </c>
    </row>
    <row r="103" spans="2:17">
      <c r="B103" s="200">
        <v>100</v>
      </c>
      <c r="C103" s="237" t="s">
        <v>423</v>
      </c>
      <c r="D103" s="238" t="s">
        <v>419</v>
      </c>
      <c r="E103" s="239"/>
      <c r="F103" s="240" t="s">
        <v>420</v>
      </c>
      <c r="G103" s="237"/>
      <c r="H103" s="237" t="s">
        <v>421</v>
      </c>
      <c r="I103" s="237"/>
      <c r="J103" s="240" t="s">
        <v>85</v>
      </c>
      <c r="K103" s="237" t="s">
        <v>424</v>
      </c>
      <c r="L103" s="248">
        <v>44377</v>
      </c>
      <c r="M103" s="249">
        <v>92727</v>
      </c>
      <c r="N103" s="237">
        <v>200</v>
      </c>
      <c r="O103" s="250">
        <f t="shared" si="5"/>
        <v>18545400</v>
      </c>
      <c r="P103" s="250">
        <v>319000</v>
      </c>
      <c r="Q103" s="250">
        <f t="shared" si="6"/>
        <v>63800000</v>
      </c>
    </row>
    <row r="104" spans="2:17">
      <c r="B104" s="200">
        <v>101</v>
      </c>
      <c r="C104" s="237" t="s">
        <v>425</v>
      </c>
      <c r="D104" s="238" t="s">
        <v>426</v>
      </c>
      <c r="E104" s="239"/>
      <c r="F104" s="240" t="s">
        <v>427</v>
      </c>
      <c r="G104" s="237"/>
      <c r="H104" s="237" t="s">
        <v>428</v>
      </c>
      <c r="I104" s="237"/>
      <c r="J104" s="240" t="s">
        <v>85</v>
      </c>
      <c r="K104" s="237" t="s">
        <v>429</v>
      </c>
      <c r="L104" s="248">
        <v>44375</v>
      </c>
      <c r="M104" s="249">
        <v>222727</v>
      </c>
      <c r="N104" s="237">
        <v>300</v>
      </c>
      <c r="O104" s="250">
        <f t="shared" si="5"/>
        <v>66818100</v>
      </c>
      <c r="P104" s="250">
        <v>324545</v>
      </c>
      <c r="Q104" s="250">
        <f t="shared" si="6"/>
        <v>97363500</v>
      </c>
    </row>
    <row r="105" spans="2:17">
      <c r="B105" s="200">
        <v>102</v>
      </c>
      <c r="C105" s="237" t="s">
        <v>430</v>
      </c>
      <c r="D105" s="238" t="s">
        <v>431</v>
      </c>
      <c r="E105" s="239" t="s">
        <v>9</v>
      </c>
      <c r="F105" s="240" t="s">
        <v>432</v>
      </c>
      <c r="G105" s="237"/>
      <c r="H105" s="237" t="s">
        <v>433</v>
      </c>
      <c r="I105" s="237"/>
      <c r="J105" s="240" t="s">
        <v>50</v>
      </c>
      <c r="K105" s="237" t="s">
        <v>434</v>
      </c>
      <c r="L105" s="248">
        <v>44376</v>
      </c>
      <c r="M105" s="249">
        <v>254545</v>
      </c>
      <c r="N105" s="237">
        <v>2</v>
      </c>
      <c r="O105" s="250">
        <f t="shared" si="5"/>
        <v>509090</v>
      </c>
      <c r="P105" s="250">
        <v>275000</v>
      </c>
      <c r="Q105" s="250">
        <f t="shared" si="6"/>
        <v>550000</v>
      </c>
    </row>
    <row r="106" spans="2:17">
      <c r="B106" s="200">
        <v>103</v>
      </c>
      <c r="C106" s="237" t="s">
        <v>435</v>
      </c>
      <c r="D106" s="238" t="s">
        <v>431</v>
      </c>
      <c r="E106" s="239" t="s">
        <v>9</v>
      </c>
      <c r="F106" s="240" t="s">
        <v>436</v>
      </c>
      <c r="G106" s="237"/>
      <c r="H106" s="237" t="s">
        <v>433</v>
      </c>
      <c r="I106" s="237"/>
      <c r="J106" s="240" t="s">
        <v>50</v>
      </c>
      <c r="K106" s="237" t="s">
        <v>437</v>
      </c>
      <c r="L106" s="248">
        <v>44376</v>
      </c>
      <c r="M106" s="249">
        <v>254545</v>
      </c>
      <c r="N106" s="237">
        <v>3</v>
      </c>
      <c r="O106" s="250">
        <f t="shared" si="5"/>
        <v>763635</v>
      </c>
      <c r="P106" s="250">
        <v>275000</v>
      </c>
      <c r="Q106" s="250">
        <f t="shared" si="6"/>
        <v>825000</v>
      </c>
    </row>
    <row r="107" spans="2:17">
      <c r="B107" s="200">
        <v>104</v>
      </c>
      <c r="C107" s="237" t="s">
        <v>438</v>
      </c>
      <c r="D107" s="238" t="s">
        <v>439</v>
      </c>
      <c r="E107" s="239" t="s">
        <v>9</v>
      </c>
      <c r="F107" s="240" t="s">
        <v>440</v>
      </c>
      <c r="G107" s="237"/>
      <c r="H107" s="237" t="s">
        <v>441</v>
      </c>
      <c r="I107" s="237"/>
      <c r="J107" s="240" t="s">
        <v>50</v>
      </c>
      <c r="K107" s="237" t="s">
        <v>442</v>
      </c>
      <c r="L107" s="248">
        <v>44377</v>
      </c>
      <c r="M107" s="249">
        <v>254545</v>
      </c>
      <c r="N107" s="237">
        <v>1</v>
      </c>
      <c r="O107" s="250">
        <f t="shared" si="5"/>
        <v>254545</v>
      </c>
      <c r="P107" s="250">
        <v>275000</v>
      </c>
      <c r="Q107" s="250">
        <f t="shared" si="6"/>
        <v>275000</v>
      </c>
    </row>
    <row r="108" spans="2:17">
      <c r="B108" s="200">
        <v>105</v>
      </c>
      <c r="C108" s="241" t="s">
        <v>443</v>
      </c>
      <c r="D108" s="242" t="s">
        <v>444</v>
      </c>
      <c r="E108" s="243" t="s">
        <v>9</v>
      </c>
      <c r="F108" s="244" t="s">
        <v>445</v>
      </c>
      <c r="G108" s="241"/>
      <c r="H108" s="241" t="s">
        <v>446</v>
      </c>
      <c r="I108" s="241"/>
      <c r="J108" s="244" t="s">
        <v>50</v>
      </c>
      <c r="K108" s="241" t="s">
        <v>447</v>
      </c>
      <c r="L108" s="251">
        <v>44407</v>
      </c>
      <c r="M108" s="252">
        <v>254545</v>
      </c>
      <c r="N108" s="241">
        <v>1</v>
      </c>
      <c r="O108" s="253">
        <f t="shared" si="5"/>
        <v>254545</v>
      </c>
      <c r="P108" s="253">
        <v>275000</v>
      </c>
      <c r="Q108" s="253">
        <f t="shared" si="6"/>
        <v>275000</v>
      </c>
    </row>
    <row r="109" spans="2:17">
      <c r="B109" s="200">
        <v>106</v>
      </c>
      <c r="C109" s="241" t="s">
        <v>448</v>
      </c>
      <c r="D109" s="242" t="s">
        <v>449</v>
      </c>
      <c r="E109" s="243" t="s">
        <v>9</v>
      </c>
      <c r="F109" s="244" t="s">
        <v>450</v>
      </c>
      <c r="G109" s="241"/>
      <c r="H109" s="241" t="s">
        <v>451</v>
      </c>
      <c r="I109" s="241"/>
      <c r="J109" s="244" t="s">
        <v>50</v>
      </c>
      <c r="K109" s="241" t="s">
        <v>452</v>
      </c>
      <c r="L109" s="251">
        <v>44385</v>
      </c>
      <c r="M109" s="252">
        <v>254545</v>
      </c>
      <c r="N109" s="241">
        <v>3</v>
      </c>
      <c r="O109" s="253">
        <f t="shared" si="5"/>
        <v>763635</v>
      </c>
      <c r="P109" s="253">
        <v>275000</v>
      </c>
      <c r="Q109" s="253">
        <f t="shared" si="6"/>
        <v>825000</v>
      </c>
    </row>
    <row r="110" spans="2:17">
      <c r="B110" s="200">
        <v>107</v>
      </c>
      <c r="C110" s="241" t="s">
        <v>453</v>
      </c>
      <c r="D110" s="242" t="s">
        <v>449</v>
      </c>
      <c r="E110" s="243" t="s">
        <v>9</v>
      </c>
      <c r="F110" s="244" t="s">
        <v>454</v>
      </c>
      <c r="G110" s="241"/>
      <c r="H110" s="241" t="s">
        <v>455</v>
      </c>
      <c r="I110" s="241"/>
      <c r="J110" s="244" t="s">
        <v>50</v>
      </c>
      <c r="K110" s="241" t="s">
        <v>456</v>
      </c>
      <c r="L110" s="251">
        <v>44385</v>
      </c>
      <c r="M110" s="252">
        <v>254545</v>
      </c>
      <c r="N110" s="241">
        <v>2</v>
      </c>
      <c r="O110" s="253">
        <f t="shared" si="5"/>
        <v>509090</v>
      </c>
      <c r="P110" s="253">
        <v>275000</v>
      </c>
      <c r="Q110" s="253">
        <f t="shared" si="6"/>
        <v>550000</v>
      </c>
    </row>
    <row r="111" spans="2:17">
      <c r="B111" s="200">
        <v>108</v>
      </c>
      <c r="C111" s="241" t="s">
        <v>457</v>
      </c>
      <c r="D111" s="242" t="s">
        <v>449</v>
      </c>
      <c r="E111" s="243" t="s">
        <v>9</v>
      </c>
      <c r="F111" s="244" t="s">
        <v>458</v>
      </c>
      <c r="G111" s="241"/>
      <c r="H111" s="241" t="s">
        <v>459</v>
      </c>
      <c r="I111" s="241"/>
      <c r="J111" s="244" t="s">
        <v>50</v>
      </c>
      <c r="K111" s="241" t="s">
        <v>460</v>
      </c>
      <c r="L111" s="251">
        <v>44385</v>
      </c>
      <c r="M111" s="252">
        <v>254545</v>
      </c>
      <c r="N111" s="241">
        <v>1</v>
      </c>
      <c r="O111" s="253">
        <f t="shared" si="5"/>
        <v>254545</v>
      </c>
      <c r="P111" s="253">
        <v>275000</v>
      </c>
      <c r="Q111" s="253">
        <f t="shared" si="6"/>
        <v>275000</v>
      </c>
    </row>
    <row r="112" spans="2:17">
      <c r="B112" s="200">
        <v>109</v>
      </c>
      <c r="C112" s="241" t="s">
        <v>461</v>
      </c>
      <c r="D112" s="242" t="s">
        <v>2</v>
      </c>
      <c r="E112" s="243" t="s">
        <v>15</v>
      </c>
      <c r="F112" s="244" t="s">
        <v>462</v>
      </c>
      <c r="G112" s="241"/>
      <c r="H112" s="241" t="s">
        <v>463</v>
      </c>
      <c r="I112" s="241"/>
      <c r="J112" s="244" t="s">
        <v>85</v>
      </c>
      <c r="K112" s="241" t="s">
        <v>464</v>
      </c>
      <c r="L112" s="251">
        <v>44390</v>
      </c>
      <c r="M112" s="252">
        <v>222727</v>
      </c>
      <c r="N112" s="241">
        <v>21</v>
      </c>
      <c r="O112" s="253">
        <f t="shared" si="5"/>
        <v>4677267</v>
      </c>
      <c r="P112" s="253">
        <v>279090.90999999997</v>
      </c>
      <c r="Q112" s="253">
        <f t="shared" si="6"/>
        <v>5860909.1099999994</v>
      </c>
    </row>
    <row r="113" spans="2:17">
      <c r="B113" s="200">
        <v>110</v>
      </c>
      <c r="C113" s="241" t="s">
        <v>465</v>
      </c>
      <c r="D113" s="242">
        <v>4800420059</v>
      </c>
      <c r="E113" s="243" t="s">
        <v>12</v>
      </c>
      <c r="F113" s="244" t="s">
        <v>466</v>
      </c>
      <c r="G113" s="241"/>
      <c r="H113" s="241" t="s">
        <v>467</v>
      </c>
      <c r="I113" s="241"/>
      <c r="J113" s="244" t="s">
        <v>85</v>
      </c>
      <c r="K113" s="241" t="s">
        <v>468</v>
      </c>
      <c r="L113" s="251">
        <v>44392</v>
      </c>
      <c r="M113" s="252">
        <v>222727</v>
      </c>
      <c r="N113" s="241">
        <v>83</v>
      </c>
      <c r="O113" s="253">
        <f t="shared" si="5"/>
        <v>18486341</v>
      </c>
      <c r="P113" s="253">
        <v>265136</v>
      </c>
      <c r="Q113" s="253">
        <f t="shared" si="6"/>
        <v>22006288</v>
      </c>
    </row>
    <row r="114" spans="2:17">
      <c r="B114" s="200">
        <v>111</v>
      </c>
      <c r="C114" s="241" t="s">
        <v>469</v>
      </c>
      <c r="D114" s="242" t="s">
        <v>470</v>
      </c>
      <c r="E114" s="243" t="s">
        <v>6</v>
      </c>
      <c r="F114" s="244" t="s">
        <v>185</v>
      </c>
      <c r="G114" s="241"/>
      <c r="H114" s="241" t="s">
        <v>471</v>
      </c>
      <c r="I114" s="241"/>
      <c r="J114" s="244" t="s">
        <v>50</v>
      </c>
      <c r="K114" s="241" t="s">
        <v>472</v>
      </c>
      <c r="L114" s="251">
        <v>44395</v>
      </c>
      <c r="M114" s="252">
        <v>345455</v>
      </c>
      <c r="N114" s="241">
        <v>258</v>
      </c>
      <c r="O114" s="253">
        <f t="shared" si="5"/>
        <v>89127390</v>
      </c>
      <c r="P114" s="253">
        <v>388181.82</v>
      </c>
      <c r="Q114" s="253">
        <f t="shared" si="6"/>
        <v>100150909.56</v>
      </c>
    </row>
    <row r="115" spans="2:17">
      <c r="B115" s="200">
        <v>112</v>
      </c>
      <c r="C115" s="241" t="s">
        <v>473</v>
      </c>
      <c r="D115" s="242" t="s">
        <v>474</v>
      </c>
      <c r="E115" s="243" t="s">
        <v>13</v>
      </c>
      <c r="F115" s="244" t="s">
        <v>475</v>
      </c>
      <c r="G115" s="241"/>
      <c r="H115" s="241" t="s">
        <v>376</v>
      </c>
      <c r="I115" s="241"/>
      <c r="J115" s="244" t="s">
        <v>63</v>
      </c>
      <c r="K115" s="241" t="s">
        <v>476</v>
      </c>
      <c r="L115" s="251">
        <v>44392</v>
      </c>
      <c r="M115" s="252">
        <v>92727</v>
      </c>
      <c r="N115" s="241">
        <v>150</v>
      </c>
      <c r="O115" s="253">
        <f t="shared" si="5"/>
        <v>13909050</v>
      </c>
      <c r="P115" s="253">
        <f>138000/1.1</f>
        <v>125454.54545454544</v>
      </c>
      <c r="Q115" s="253">
        <f t="shared" si="6"/>
        <v>18818181.818181816</v>
      </c>
    </row>
    <row r="116" spans="2:17">
      <c r="B116" s="200">
        <v>113</v>
      </c>
      <c r="C116" s="241" t="s">
        <v>477</v>
      </c>
      <c r="D116" s="242" t="s">
        <v>478</v>
      </c>
      <c r="E116" s="243" t="s">
        <v>9</v>
      </c>
      <c r="F116" s="244" t="s">
        <v>479</v>
      </c>
      <c r="G116" s="241"/>
      <c r="H116" s="241" t="s">
        <v>480</v>
      </c>
      <c r="I116" s="241"/>
      <c r="J116" s="244" t="s">
        <v>50</v>
      </c>
      <c r="K116" s="241" t="s">
        <v>481</v>
      </c>
      <c r="L116" s="251">
        <v>44398</v>
      </c>
      <c r="M116" s="252">
        <v>254545</v>
      </c>
      <c r="N116" s="241">
        <v>1</v>
      </c>
      <c r="O116" s="253">
        <f t="shared" si="5"/>
        <v>254545</v>
      </c>
      <c r="P116" s="253">
        <v>275000</v>
      </c>
      <c r="Q116" s="253">
        <f t="shared" si="6"/>
        <v>275000</v>
      </c>
    </row>
    <row r="117" spans="2:17">
      <c r="B117" s="200">
        <v>114</v>
      </c>
      <c r="C117" s="241" t="s">
        <v>482</v>
      </c>
      <c r="D117" s="242" t="s">
        <v>478</v>
      </c>
      <c r="E117" s="243" t="s">
        <v>9</v>
      </c>
      <c r="F117" s="244" t="s">
        <v>483</v>
      </c>
      <c r="G117" s="241"/>
      <c r="H117" s="241" t="s">
        <v>480</v>
      </c>
      <c r="I117" s="241"/>
      <c r="J117" s="244" t="s">
        <v>50</v>
      </c>
      <c r="K117" s="241" t="s">
        <v>484</v>
      </c>
      <c r="L117" s="251">
        <v>44398</v>
      </c>
      <c r="M117" s="252">
        <v>254545</v>
      </c>
      <c r="N117" s="241">
        <v>8</v>
      </c>
      <c r="O117" s="253">
        <f t="shared" si="5"/>
        <v>2036360</v>
      </c>
      <c r="P117" s="253">
        <v>275000</v>
      </c>
      <c r="Q117" s="253">
        <f t="shared" si="6"/>
        <v>2200000</v>
      </c>
    </row>
    <row r="118" spans="2:17">
      <c r="B118" s="200">
        <v>115</v>
      </c>
      <c r="C118" s="241" t="s">
        <v>485</v>
      </c>
      <c r="D118" s="242" t="s">
        <v>444</v>
      </c>
      <c r="E118" s="243" t="s">
        <v>9</v>
      </c>
      <c r="F118" s="244" t="s">
        <v>203</v>
      </c>
      <c r="G118" s="241"/>
      <c r="H118" s="241" t="s">
        <v>446</v>
      </c>
      <c r="I118" s="241"/>
      <c r="J118" s="244" t="s">
        <v>50</v>
      </c>
      <c r="K118" s="241" t="s">
        <v>486</v>
      </c>
      <c r="L118" s="251">
        <v>44407</v>
      </c>
      <c r="M118" s="252">
        <v>254545</v>
      </c>
      <c r="N118" s="241">
        <v>1</v>
      </c>
      <c r="O118" s="253">
        <f t="shared" si="5"/>
        <v>254545</v>
      </c>
      <c r="P118" s="253">
        <v>275000</v>
      </c>
      <c r="Q118" s="253">
        <f t="shared" si="6"/>
        <v>275000</v>
      </c>
    </row>
    <row r="119" spans="2:17">
      <c r="B119" s="200">
        <v>116</v>
      </c>
      <c r="C119" s="241" t="s">
        <v>487</v>
      </c>
      <c r="D119" s="242" t="s">
        <v>488</v>
      </c>
      <c r="E119" s="243" t="s">
        <v>9</v>
      </c>
      <c r="F119" s="244" t="s">
        <v>489</v>
      </c>
      <c r="G119" s="241"/>
      <c r="H119" s="241" t="s">
        <v>490</v>
      </c>
      <c r="I119" s="241"/>
      <c r="J119" s="244" t="s">
        <v>50</v>
      </c>
      <c r="K119" s="241" t="s">
        <v>491</v>
      </c>
      <c r="L119" s="251">
        <v>44404</v>
      </c>
      <c r="M119" s="252">
        <v>254545</v>
      </c>
      <c r="N119" s="241">
        <v>1</v>
      </c>
      <c r="O119" s="253">
        <f t="shared" si="5"/>
        <v>254545</v>
      </c>
      <c r="P119" s="253">
        <v>275000</v>
      </c>
      <c r="Q119" s="253">
        <f t="shared" si="6"/>
        <v>275000</v>
      </c>
    </row>
    <row r="120" spans="2:17">
      <c r="B120" s="200">
        <v>117</v>
      </c>
      <c r="C120" s="241" t="s">
        <v>492</v>
      </c>
      <c r="D120" s="242" t="s">
        <v>444</v>
      </c>
      <c r="E120" s="243" t="s">
        <v>9</v>
      </c>
      <c r="F120" s="244" t="s">
        <v>445</v>
      </c>
      <c r="G120" s="241"/>
      <c r="H120" s="241" t="s">
        <v>446</v>
      </c>
      <c r="I120" s="241"/>
      <c r="J120" s="244" t="s">
        <v>50</v>
      </c>
      <c r="K120" s="241" t="s">
        <v>493</v>
      </c>
      <c r="L120" s="251">
        <v>44407</v>
      </c>
      <c r="M120" s="252">
        <v>254545</v>
      </c>
      <c r="N120" s="241">
        <v>1</v>
      </c>
      <c r="O120" s="253">
        <f t="shared" si="5"/>
        <v>254545</v>
      </c>
      <c r="P120" s="253">
        <v>275000</v>
      </c>
      <c r="Q120" s="253">
        <f t="shared" si="6"/>
        <v>275000</v>
      </c>
    </row>
    <row r="121" spans="2:17">
      <c r="B121" s="200">
        <v>118</v>
      </c>
      <c r="C121" s="241" t="s">
        <v>494</v>
      </c>
      <c r="D121" s="242" t="s">
        <v>444</v>
      </c>
      <c r="E121" s="243" t="s">
        <v>9</v>
      </c>
      <c r="F121" s="244" t="s">
        <v>495</v>
      </c>
      <c r="G121" s="241"/>
      <c r="H121" s="241" t="s">
        <v>496</v>
      </c>
      <c r="I121" s="241"/>
      <c r="J121" s="244" t="s">
        <v>50</v>
      </c>
      <c r="K121" s="241" t="s">
        <v>497</v>
      </c>
      <c r="L121" s="251">
        <v>44407</v>
      </c>
      <c r="M121" s="252">
        <v>254545</v>
      </c>
      <c r="N121" s="241">
        <v>1</v>
      </c>
      <c r="O121" s="253">
        <f t="shared" si="5"/>
        <v>254545</v>
      </c>
      <c r="P121" s="253">
        <v>275000</v>
      </c>
      <c r="Q121" s="253">
        <f t="shared" si="6"/>
        <v>275000</v>
      </c>
    </row>
    <row r="122" spans="2:17">
      <c r="B122" s="200">
        <v>119</v>
      </c>
      <c r="C122" s="237" t="s">
        <v>498</v>
      </c>
      <c r="D122" s="238" t="s">
        <v>499</v>
      </c>
      <c r="E122" s="239" t="s">
        <v>11</v>
      </c>
      <c r="F122" s="240" t="s">
        <v>320</v>
      </c>
      <c r="G122" s="237"/>
      <c r="H122" s="237" t="s">
        <v>500</v>
      </c>
      <c r="I122" s="237"/>
      <c r="J122" s="240" t="s">
        <v>50</v>
      </c>
      <c r="K122" s="237" t="s">
        <v>501</v>
      </c>
      <c r="L122" s="248">
        <v>44410</v>
      </c>
      <c r="M122" s="249">
        <v>444545</v>
      </c>
      <c r="N122" s="237">
        <v>19</v>
      </c>
      <c r="O122" s="250">
        <f t="shared" si="5"/>
        <v>8446355</v>
      </c>
      <c r="P122" s="250">
        <v>556363.63</v>
      </c>
      <c r="Q122" s="250">
        <f t="shared" si="6"/>
        <v>10570908.970000001</v>
      </c>
    </row>
    <row r="123" spans="2:17">
      <c r="B123" s="200">
        <v>120</v>
      </c>
      <c r="C123" s="237" t="s">
        <v>502</v>
      </c>
      <c r="D123" s="238" t="s">
        <v>503</v>
      </c>
      <c r="E123" s="239" t="s">
        <v>9</v>
      </c>
      <c r="F123" s="240" t="s">
        <v>504</v>
      </c>
      <c r="G123" s="237"/>
      <c r="H123" s="237" t="s">
        <v>505</v>
      </c>
      <c r="I123" s="237"/>
      <c r="J123" s="240" t="s">
        <v>50</v>
      </c>
      <c r="K123" s="237" t="s">
        <v>506</v>
      </c>
      <c r="L123" s="248">
        <v>44410</v>
      </c>
      <c r="M123" s="249">
        <v>254545</v>
      </c>
      <c r="N123" s="237">
        <v>5</v>
      </c>
      <c r="O123" s="250">
        <f t="shared" si="5"/>
        <v>1272725</v>
      </c>
      <c r="P123" s="250">
        <v>275000</v>
      </c>
      <c r="Q123" s="250">
        <f t="shared" si="6"/>
        <v>1375000</v>
      </c>
    </row>
    <row r="124" spans="2:17">
      <c r="B124" s="200">
        <v>121</v>
      </c>
      <c r="C124" s="237" t="s">
        <v>507</v>
      </c>
      <c r="D124" s="238" t="s">
        <v>508</v>
      </c>
      <c r="E124" s="239" t="s">
        <v>6</v>
      </c>
      <c r="F124" s="240" t="s">
        <v>509</v>
      </c>
      <c r="G124" s="237"/>
      <c r="H124" s="237" t="s">
        <v>510</v>
      </c>
      <c r="I124" s="237"/>
      <c r="J124" s="240" t="s">
        <v>50</v>
      </c>
      <c r="K124" s="237" t="s">
        <v>511</v>
      </c>
      <c r="L124" s="248">
        <v>44414</v>
      </c>
      <c r="M124" s="249">
        <v>444545</v>
      </c>
      <c r="N124" s="237">
        <v>73</v>
      </c>
      <c r="O124" s="250">
        <f t="shared" si="5"/>
        <v>32451785</v>
      </c>
      <c r="P124" s="250">
        <v>530000</v>
      </c>
      <c r="Q124" s="250">
        <f t="shared" si="6"/>
        <v>38690000</v>
      </c>
    </row>
    <row r="125" spans="2:17">
      <c r="B125" s="200">
        <v>122</v>
      </c>
      <c r="C125" s="237" t="s">
        <v>512</v>
      </c>
      <c r="D125" s="238" t="s">
        <v>513</v>
      </c>
      <c r="E125" s="239" t="s">
        <v>9</v>
      </c>
      <c r="F125" s="240" t="s">
        <v>514</v>
      </c>
      <c r="G125" s="237"/>
      <c r="H125" s="237" t="s">
        <v>515</v>
      </c>
      <c r="I125" s="237"/>
      <c r="J125" s="240" t="s">
        <v>50</v>
      </c>
      <c r="K125" s="237" t="s">
        <v>516</v>
      </c>
      <c r="L125" s="248">
        <v>44417</v>
      </c>
      <c r="M125" s="249">
        <v>254545</v>
      </c>
      <c r="N125" s="237">
        <v>2</v>
      </c>
      <c r="O125" s="250">
        <f t="shared" ref="O125:O188" si="7">N125*M125</f>
        <v>509090</v>
      </c>
      <c r="P125" s="250">
        <v>275000</v>
      </c>
      <c r="Q125" s="250">
        <f t="shared" si="6"/>
        <v>550000</v>
      </c>
    </row>
    <row r="126" spans="2:17">
      <c r="B126" s="200">
        <v>123</v>
      </c>
      <c r="C126" s="237" t="s">
        <v>517</v>
      </c>
      <c r="D126" s="238" t="s">
        <v>513</v>
      </c>
      <c r="E126" s="239" t="s">
        <v>9</v>
      </c>
      <c r="F126" s="240" t="s">
        <v>518</v>
      </c>
      <c r="G126" s="237"/>
      <c r="H126" s="237" t="s">
        <v>515</v>
      </c>
      <c r="I126" s="237"/>
      <c r="J126" s="240" t="s">
        <v>50</v>
      </c>
      <c r="K126" s="237" t="s">
        <v>519</v>
      </c>
      <c r="L126" s="248">
        <v>44417</v>
      </c>
      <c r="M126" s="249">
        <v>254545</v>
      </c>
      <c r="N126" s="237">
        <v>3</v>
      </c>
      <c r="O126" s="250">
        <f t="shared" si="7"/>
        <v>763635</v>
      </c>
      <c r="P126" s="250">
        <v>275000</v>
      </c>
      <c r="Q126" s="250">
        <f t="shared" si="6"/>
        <v>825000</v>
      </c>
    </row>
    <row r="127" spans="2:17">
      <c r="B127" s="200">
        <v>124</v>
      </c>
      <c r="C127" s="237" t="s">
        <v>520</v>
      </c>
      <c r="D127" s="238" t="s">
        <v>521</v>
      </c>
      <c r="E127" s="239" t="s">
        <v>9</v>
      </c>
      <c r="F127" s="240" t="s">
        <v>522</v>
      </c>
      <c r="G127" s="237"/>
      <c r="H127" s="237" t="s">
        <v>446</v>
      </c>
      <c r="I127" s="237"/>
      <c r="J127" s="240" t="s">
        <v>50</v>
      </c>
      <c r="K127" s="237" t="s">
        <v>523</v>
      </c>
      <c r="L127" s="248">
        <v>44417</v>
      </c>
      <c r="M127" s="249">
        <v>254545</v>
      </c>
      <c r="N127" s="237">
        <v>1</v>
      </c>
      <c r="O127" s="250">
        <f t="shared" si="7"/>
        <v>254545</v>
      </c>
      <c r="P127" s="250">
        <v>275000</v>
      </c>
      <c r="Q127" s="250">
        <f t="shared" si="6"/>
        <v>275000</v>
      </c>
    </row>
    <row r="128" spans="2:17">
      <c r="B128" s="200">
        <v>125</v>
      </c>
      <c r="C128" s="237" t="s">
        <v>524</v>
      </c>
      <c r="D128" s="238" t="s">
        <v>525</v>
      </c>
      <c r="E128" s="239" t="s">
        <v>9</v>
      </c>
      <c r="F128" s="240" t="s">
        <v>368</v>
      </c>
      <c r="G128" s="237"/>
      <c r="H128" s="237" t="s">
        <v>526</v>
      </c>
      <c r="I128" s="237"/>
      <c r="J128" s="240" t="s">
        <v>50</v>
      </c>
      <c r="K128" s="237" t="s">
        <v>527</v>
      </c>
      <c r="L128" s="248">
        <v>44418</v>
      </c>
      <c r="M128" s="249">
        <v>254545</v>
      </c>
      <c r="N128" s="237">
        <v>5</v>
      </c>
      <c r="O128" s="250">
        <f t="shared" si="7"/>
        <v>1272725</v>
      </c>
      <c r="P128" s="250">
        <v>275000</v>
      </c>
      <c r="Q128" s="250">
        <f t="shared" si="6"/>
        <v>1375000</v>
      </c>
    </row>
    <row r="129" spans="2:17">
      <c r="B129" s="200">
        <v>126</v>
      </c>
      <c r="C129" s="237" t="s">
        <v>528</v>
      </c>
      <c r="D129" s="238" t="s">
        <v>525</v>
      </c>
      <c r="E129" s="239" t="s">
        <v>9</v>
      </c>
      <c r="F129" s="240" t="s">
        <v>368</v>
      </c>
      <c r="G129" s="237"/>
      <c r="H129" s="237" t="s">
        <v>510</v>
      </c>
      <c r="I129" s="237"/>
      <c r="J129" s="240" t="s">
        <v>50</v>
      </c>
      <c r="K129" s="237" t="s">
        <v>529</v>
      </c>
      <c r="L129" s="248">
        <v>44418</v>
      </c>
      <c r="M129" s="249">
        <v>254545</v>
      </c>
      <c r="N129" s="237">
        <v>2</v>
      </c>
      <c r="O129" s="250">
        <f t="shared" si="7"/>
        <v>509090</v>
      </c>
      <c r="P129" s="250">
        <v>275000</v>
      </c>
      <c r="Q129" s="250">
        <f t="shared" si="6"/>
        <v>550000</v>
      </c>
    </row>
    <row r="130" spans="2:17">
      <c r="B130" s="200">
        <v>127</v>
      </c>
      <c r="C130" s="237" t="s">
        <v>530</v>
      </c>
      <c r="D130" s="238" t="s">
        <v>531</v>
      </c>
      <c r="E130" s="239" t="s">
        <v>15</v>
      </c>
      <c r="F130" s="240" t="s">
        <v>462</v>
      </c>
      <c r="G130" s="237"/>
      <c r="H130" s="237" t="s">
        <v>532</v>
      </c>
      <c r="I130" s="237"/>
      <c r="J130" s="240" t="s">
        <v>533</v>
      </c>
      <c r="K130" s="237" t="s">
        <v>534</v>
      </c>
      <c r="L130" s="248">
        <v>44431</v>
      </c>
      <c r="M130" s="249">
        <v>222727</v>
      </c>
      <c r="N130" s="237">
        <v>69</v>
      </c>
      <c r="O130" s="250">
        <f t="shared" si="7"/>
        <v>15368163</v>
      </c>
      <c r="P130" s="250">
        <v>250000</v>
      </c>
      <c r="Q130" s="250">
        <f t="shared" si="6"/>
        <v>17250000</v>
      </c>
    </row>
    <row r="131" spans="2:17">
      <c r="B131" s="200">
        <v>128</v>
      </c>
      <c r="C131" s="237" t="s">
        <v>535</v>
      </c>
      <c r="D131" s="238" t="s">
        <v>536</v>
      </c>
      <c r="E131" s="239" t="s">
        <v>9</v>
      </c>
      <c r="F131" s="240" t="s">
        <v>537</v>
      </c>
      <c r="G131" s="237"/>
      <c r="H131" s="237" t="s">
        <v>538</v>
      </c>
      <c r="I131" s="237"/>
      <c r="J131" s="240" t="s">
        <v>50</v>
      </c>
      <c r="K131" s="237" t="s">
        <v>539</v>
      </c>
      <c r="L131" s="248">
        <v>44438</v>
      </c>
      <c r="M131" s="249">
        <v>254545</v>
      </c>
      <c r="N131" s="237">
        <v>6</v>
      </c>
      <c r="O131" s="250">
        <f t="shared" si="7"/>
        <v>1527270</v>
      </c>
      <c r="P131" s="250">
        <v>275000</v>
      </c>
      <c r="Q131" s="250">
        <f t="shared" si="6"/>
        <v>1650000</v>
      </c>
    </row>
    <row r="132" spans="2:17">
      <c r="B132" s="200">
        <v>129</v>
      </c>
      <c r="C132" s="237" t="s">
        <v>540</v>
      </c>
      <c r="D132" s="238" t="s">
        <v>536</v>
      </c>
      <c r="E132" s="239" t="s">
        <v>9</v>
      </c>
      <c r="F132" s="240" t="s">
        <v>537</v>
      </c>
      <c r="G132" s="237"/>
      <c r="H132" s="237" t="s">
        <v>538</v>
      </c>
      <c r="I132" s="237"/>
      <c r="J132" s="240" t="s">
        <v>50</v>
      </c>
      <c r="K132" s="237" t="s">
        <v>541</v>
      </c>
      <c r="L132" s="248">
        <v>44438</v>
      </c>
      <c r="M132" s="249">
        <v>254545</v>
      </c>
      <c r="N132" s="237">
        <v>4</v>
      </c>
      <c r="O132" s="250">
        <f t="shared" si="7"/>
        <v>1018180</v>
      </c>
      <c r="P132" s="250">
        <v>275000</v>
      </c>
      <c r="Q132" s="250">
        <f t="shared" si="6"/>
        <v>1100000</v>
      </c>
    </row>
    <row r="133" spans="2:17">
      <c r="B133" s="200">
        <v>130</v>
      </c>
      <c r="C133" s="241" t="s">
        <v>542</v>
      </c>
      <c r="D133" s="242" t="s">
        <v>543</v>
      </c>
      <c r="E133" s="243" t="s">
        <v>9</v>
      </c>
      <c r="F133" s="244" t="s">
        <v>544</v>
      </c>
      <c r="G133" s="241"/>
      <c r="H133" s="241" t="s">
        <v>545</v>
      </c>
      <c r="I133" s="241"/>
      <c r="J133" s="244" t="s">
        <v>50</v>
      </c>
      <c r="K133" s="241" t="s">
        <v>546</v>
      </c>
      <c r="L133" s="251">
        <v>44469</v>
      </c>
      <c r="M133" s="252">
        <v>254545</v>
      </c>
      <c r="N133" s="241">
        <v>8</v>
      </c>
      <c r="O133" s="253">
        <f t="shared" si="7"/>
        <v>2036360</v>
      </c>
      <c r="P133" s="253">
        <v>275000</v>
      </c>
      <c r="Q133" s="253">
        <f t="shared" si="6"/>
        <v>2200000</v>
      </c>
    </row>
    <row r="134" spans="2:17">
      <c r="B134" s="200">
        <v>131</v>
      </c>
      <c r="C134" s="241" t="s">
        <v>547</v>
      </c>
      <c r="D134" s="242" t="s">
        <v>548</v>
      </c>
      <c r="E134" s="243" t="s">
        <v>9</v>
      </c>
      <c r="F134" s="244" t="s">
        <v>549</v>
      </c>
      <c r="G134" s="241"/>
      <c r="H134" s="241" t="s">
        <v>550</v>
      </c>
      <c r="I134" s="241"/>
      <c r="J134" s="244" t="s">
        <v>50</v>
      </c>
      <c r="K134" s="241" t="s">
        <v>551</v>
      </c>
      <c r="L134" s="251">
        <v>44446</v>
      </c>
      <c r="M134" s="252">
        <v>254545</v>
      </c>
      <c r="N134" s="241">
        <v>1</v>
      </c>
      <c r="O134" s="253">
        <f t="shared" si="7"/>
        <v>254545</v>
      </c>
      <c r="P134" s="253">
        <v>275000</v>
      </c>
      <c r="Q134" s="253">
        <f t="shared" si="6"/>
        <v>275000</v>
      </c>
    </row>
    <row r="135" spans="2:17">
      <c r="B135" s="200">
        <v>132</v>
      </c>
      <c r="C135" s="241" t="s">
        <v>552</v>
      </c>
      <c r="D135" s="242" t="s">
        <v>548</v>
      </c>
      <c r="E135" s="243" t="s">
        <v>9</v>
      </c>
      <c r="F135" s="244" t="s">
        <v>445</v>
      </c>
      <c r="G135" s="241"/>
      <c r="H135" s="241" t="s">
        <v>446</v>
      </c>
      <c r="I135" s="241"/>
      <c r="J135" s="244" t="s">
        <v>50</v>
      </c>
      <c r="K135" s="241" t="s">
        <v>553</v>
      </c>
      <c r="L135" s="251">
        <v>44446</v>
      </c>
      <c r="M135" s="252">
        <v>254545</v>
      </c>
      <c r="N135" s="241">
        <v>1</v>
      </c>
      <c r="O135" s="253">
        <f t="shared" si="7"/>
        <v>254545</v>
      </c>
      <c r="P135" s="253">
        <v>275000</v>
      </c>
      <c r="Q135" s="253">
        <f t="shared" si="6"/>
        <v>275000</v>
      </c>
    </row>
    <row r="136" spans="2:17">
      <c r="B136" s="200">
        <v>133</v>
      </c>
      <c r="C136" s="241" t="s">
        <v>554</v>
      </c>
      <c r="D136" s="242" t="s">
        <v>555</v>
      </c>
      <c r="E136" s="243" t="s">
        <v>2</v>
      </c>
      <c r="F136" s="244" t="s">
        <v>556</v>
      </c>
      <c r="G136" s="241"/>
      <c r="H136" s="241" t="s">
        <v>557</v>
      </c>
      <c r="I136" s="241"/>
      <c r="J136" s="244" t="s">
        <v>85</v>
      </c>
      <c r="K136" s="241" t="s">
        <v>558</v>
      </c>
      <c r="L136" s="251">
        <v>44447</v>
      </c>
      <c r="M136" s="252">
        <v>222727</v>
      </c>
      <c r="N136" s="241">
        <v>350</v>
      </c>
      <c r="O136" s="253">
        <f t="shared" si="7"/>
        <v>77954450</v>
      </c>
      <c r="P136" s="253">
        <v>392700</v>
      </c>
      <c r="Q136" s="253">
        <f t="shared" si="6"/>
        <v>137445000</v>
      </c>
    </row>
    <row r="137" spans="2:17">
      <c r="B137" s="200">
        <v>134</v>
      </c>
      <c r="C137" s="241" t="s">
        <v>559</v>
      </c>
      <c r="D137" s="242" t="s">
        <v>560</v>
      </c>
      <c r="E137" s="243" t="s">
        <v>9</v>
      </c>
      <c r="F137" s="244" t="s">
        <v>561</v>
      </c>
      <c r="G137" s="241"/>
      <c r="H137" s="241" t="s">
        <v>538</v>
      </c>
      <c r="I137" s="241"/>
      <c r="J137" s="244" t="s">
        <v>50</v>
      </c>
      <c r="K137" s="241" t="s">
        <v>562</v>
      </c>
      <c r="L137" s="251">
        <v>44447</v>
      </c>
      <c r="M137" s="252">
        <v>254545</v>
      </c>
      <c r="N137" s="241">
        <v>1</v>
      </c>
      <c r="O137" s="253">
        <f t="shared" si="7"/>
        <v>254545</v>
      </c>
      <c r="P137" s="253">
        <v>275000</v>
      </c>
      <c r="Q137" s="253">
        <f t="shared" si="6"/>
        <v>275000</v>
      </c>
    </row>
    <row r="138" spans="2:17">
      <c r="B138" s="200">
        <v>135</v>
      </c>
      <c r="C138" s="241" t="s">
        <v>563</v>
      </c>
      <c r="D138" s="242" t="s">
        <v>564</v>
      </c>
      <c r="E138" s="243" t="s">
        <v>9</v>
      </c>
      <c r="F138" s="244" t="s">
        <v>565</v>
      </c>
      <c r="G138" s="241"/>
      <c r="H138" s="241" t="s">
        <v>566</v>
      </c>
      <c r="I138" s="241"/>
      <c r="J138" s="244" t="s">
        <v>50</v>
      </c>
      <c r="K138" s="241" t="s">
        <v>567</v>
      </c>
      <c r="L138" s="251">
        <v>44448</v>
      </c>
      <c r="M138" s="252">
        <v>254545</v>
      </c>
      <c r="N138" s="241">
        <v>1</v>
      </c>
      <c r="O138" s="253">
        <f t="shared" si="7"/>
        <v>254545</v>
      </c>
      <c r="P138" s="253">
        <v>275000</v>
      </c>
      <c r="Q138" s="253">
        <f t="shared" si="6"/>
        <v>275000</v>
      </c>
    </row>
    <row r="139" spans="2:17">
      <c r="B139" s="200">
        <v>136</v>
      </c>
      <c r="C139" s="241" t="s">
        <v>568</v>
      </c>
      <c r="D139" s="242" t="s">
        <v>569</v>
      </c>
      <c r="E139" s="243" t="s">
        <v>9</v>
      </c>
      <c r="F139" s="244" t="s">
        <v>570</v>
      </c>
      <c r="G139" s="241"/>
      <c r="H139" s="241" t="s">
        <v>571</v>
      </c>
      <c r="I139" s="241"/>
      <c r="J139" s="244" t="s">
        <v>50</v>
      </c>
      <c r="K139" s="241" t="s">
        <v>572</v>
      </c>
      <c r="L139" s="251">
        <v>44449</v>
      </c>
      <c r="M139" s="252">
        <v>254545</v>
      </c>
      <c r="N139" s="241">
        <v>3</v>
      </c>
      <c r="O139" s="253">
        <f t="shared" si="7"/>
        <v>763635</v>
      </c>
      <c r="P139" s="253">
        <v>275000</v>
      </c>
      <c r="Q139" s="253">
        <f t="shared" si="6"/>
        <v>825000</v>
      </c>
    </row>
    <row r="140" spans="2:17">
      <c r="B140" s="200">
        <v>137</v>
      </c>
      <c r="C140" s="241" t="s">
        <v>573</v>
      </c>
      <c r="D140" s="242" t="s">
        <v>574</v>
      </c>
      <c r="E140" s="243" t="s">
        <v>7</v>
      </c>
      <c r="F140" s="244" t="s">
        <v>83</v>
      </c>
      <c r="G140" s="241"/>
      <c r="H140" s="241" t="s">
        <v>575</v>
      </c>
      <c r="I140" s="241"/>
      <c r="J140" s="244" t="s">
        <v>85</v>
      </c>
      <c r="K140" s="241" t="s">
        <v>576</v>
      </c>
      <c r="L140" s="251">
        <v>44449</v>
      </c>
      <c r="M140" s="252">
        <v>222727</v>
      </c>
      <c r="N140" s="241">
        <v>165</v>
      </c>
      <c r="O140" s="253">
        <f t="shared" si="7"/>
        <v>36749955</v>
      </c>
      <c r="P140" s="253">
        <v>279090.90999999997</v>
      </c>
      <c r="Q140" s="253">
        <f t="shared" si="6"/>
        <v>46050000.149999999</v>
      </c>
    </row>
    <row r="141" spans="2:17">
      <c r="B141" s="200">
        <v>138</v>
      </c>
      <c r="C141" s="241" t="s">
        <v>577</v>
      </c>
      <c r="D141" s="242">
        <v>79921</v>
      </c>
      <c r="E141" s="243" t="s">
        <v>17</v>
      </c>
      <c r="F141" s="244" t="s">
        <v>114</v>
      </c>
      <c r="G141" s="241"/>
      <c r="H141" s="241" t="s">
        <v>578</v>
      </c>
      <c r="I141" s="241"/>
      <c r="J141" s="244" t="s">
        <v>85</v>
      </c>
      <c r="K141" s="241" t="s">
        <v>377</v>
      </c>
      <c r="L141" s="251">
        <v>44454</v>
      </c>
      <c r="M141" s="252">
        <v>222727</v>
      </c>
      <c r="N141" s="241">
        <v>5</v>
      </c>
      <c r="O141" s="253">
        <f t="shared" si="7"/>
        <v>1113635</v>
      </c>
      <c r="P141" s="253">
        <v>279090.90999999997</v>
      </c>
      <c r="Q141" s="253">
        <f t="shared" si="6"/>
        <v>1395454.5499999998</v>
      </c>
    </row>
    <row r="142" spans="2:17">
      <c r="B142" s="200">
        <v>139</v>
      </c>
      <c r="C142" s="241" t="s">
        <v>579</v>
      </c>
      <c r="D142" s="242">
        <v>79921</v>
      </c>
      <c r="E142" s="243" t="s">
        <v>17</v>
      </c>
      <c r="F142" s="244" t="s">
        <v>114</v>
      </c>
      <c r="G142" s="241"/>
      <c r="H142" s="241" t="s">
        <v>580</v>
      </c>
      <c r="I142" s="241"/>
      <c r="J142" s="244" t="s">
        <v>85</v>
      </c>
      <c r="K142" s="241" t="s">
        <v>380</v>
      </c>
      <c r="L142" s="251">
        <v>44454</v>
      </c>
      <c r="M142" s="252">
        <v>222727</v>
      </c>
      <c r="N142" s="241">
        <v>24</v>
      </c>
      <c r="O142" s="253">
        <f t="shared" si="7"/>
        <v>5345448</v>
      </c>
      <c r="P142" s="253">
        <v>279090.90999999997</v>
      </c>
      <c r="Q142" s="253">
        <f t="shared" si="6"/>
        <v>6698181.8399999999</v>
      </c>
    </row>
    <row r="143" spans="2:17">
      <c r="B143" s="200">
        <v>140</v>
      </c>
      <c r="C143" s="241" t="s">
        <v>581</v>
      </c>
      <c r="D143" s="242">
        <v>79921</v>
      </c>
      <c r="E143" s="243" t="s">
        <v>17</v>
      </c>
      <c r="F143" s="244" t="s">
        <v>114</v>
      </c>
      <c r="G143" s="241"/>
      <c r="H143" s="241" t="s">
        <v>578</v>
      </c>
      <c r="I143" s="241"/>
      <c r="J143" s="244" t="s">
        <v>92</v>
      </c>
      <c r="K143" s="241" t="s">
        <v>383</v>
      </c>
      <c r="L143" s="251">
        <v>44454</v>
      </c>
      <c r="M143" s="252">
        <v>46364</v>
      </c>
      <c r="N143" s="241">
        <v>5</v>
      </c>
      <c r="O143" s="253">
        <f t="shared" si="7"/>
        <v>231820</v>
      </c>
      <c r="P143" s="253">
        <v>58181.82</v>
      </c>
      <c r="Q143" s="253">
        <f t="shared" si="6"/>
        <v>290909.09999999998</v>
      </c>
    </row>
    <row r="144" spans="2:17">
      <c r="B144" s="200">
        <v>141</v>
      </c>
      <c r="C144" s="241" t="s">
        <v>582</v>
      </c>
      <c r="D144" s="242">
        <v>79921</v>
      </c>
      <c r="E144" s="243" t="s">
        <v>17</v>
      </c>
      <c r="F144" s="244" t="s">
        <v>114</v>
      </c>
      <c r="G144" s="241"/>
      <c r="H144" s="241" t="s">
        <v>580</v>
      </c>
      <c r="I144" s="241"/>
      <c r="J144" s="244" t="s">
        <v>92</v>
      </c>
      <c r="K144" s="241" t="s">
        <v>386</v>
      </c>
      <c r="L144" s="251">
        <v>44454</v>
      </c>
      <c r="M144" s="252">
        <v>46364</v>
      </c>
      <c r="N144" s="241">
        <v>24</v>
      </c>
      <c r="O144" s="253">
        <f t="shared" si="7"/>
        <v>1112736</v>
      </c>
      <c r="P144" s="253">
        <v>58181.82</v>
      </c>
      <c r="Q144" s="253">
        <f t="shared" ref="Q144:Q202" si="8">P144*N144</f>
        <v>1396363.68</v>
      </c>
    </row>
    <row r="145" spans="2:17">
      <c r="B145" s="200">
        <v>142</v>
      </c>
      <c r="C145" s="241" t="s">
        <v>583</v>
      </c>
      <c r="D145" s="242">
        <v>4800426981</v>
      </c>
      <c r="E145" s="243" t="s">
        <v>12</v>
      </c>
      <c r="F145" s="244" t="s">
        <v>584</v>
      </c>
      <c r="G145" s="241"/>
      <c r="H145" s="241" t="s">
        <v>585</v>
      </c>
      <c r="I145" s="241"/>
      <c r="J145" s="244" t="s">
        <v>92</v>
      </c>
      <c r="K145" s="241" t="s">
        <v>586</v>
      </c>
      <c r="L145" s="251">
        <v>44455</v>
      </c>
      <c r="M145" s="252">
        <v>32272.73</v>
      </c>
      <c r="N145" s="241">
        <v>811</v>
      </c>
      <c r="O145" s="253">
        <f t="shared" si="7"/>
        <v>26173184.030000001</v>
      </c>
      <c r="P145" s="253">
        <v>35500</v>
      </c>
      <c r="Q145" s="253">
        <f t="shared" si="8"/>
        <v>28790500</v>
      </c>
    </row>
    <row r="146" spans="2:17">
      <c r="B146" s="200">
        <v>143</v>
      </c>
      <c r="C146" s="241" t="s">
        <v>587</v>
      </c>
      <c r="D146" s="242" t="s">
        <v>588</v>
      </c>
      <c r="E146" s="243" t="s">
        <v>9</v>
      </c>
      <c r="F146" s="244" t="s">
        <v>445</v>
      </c>
      <c r="G146" s="241"/>
      <c r="H146" s="241" t="s">
        <v>589</v>
      </c>
      <c r="I146" s="241"/>
      <c r="J146" s="244" t="s">
        <v>50</v>
      </c>
      <c r="K146" s="241" t="s">
        <v>590</v>
      </c>
      <c r="L146" s="251">
        <v>44459</v>
      </c>
      <c r="M146" s="252">
        <v>254545</v>
      </c>
      <c r="N146" s="241">
        <v>1</v>
      </c>
      <c r="O146" s="253">
        <f t="shared" si="7"/>
        <v>254545</v>
      </c>
      <c r="P146" s="253">
        <v>275000</v>
      </c>
      <c r="Q146" s="253">
        <f t="shared" si="8"/>
        <v>275000</v>
      </c>
    </row>
    <row r="147" spans="2:17">
      <c r="B147" s="200">
        <v>144</v>
      </c>
      <c r="C147" s="241" t="s">
        <v>591</v>
      </c>
      <c r="D147" s="242" t="s">
        <v>588</v>
      </c>
      <c r="E147" s="243" t="s">
        <v>9</v>
      </c>
      <c r="F147" s="244" t="s">
        <v>206</v>
      </c>
      <c r="G147" s="241"/>
      <c r="H147" s="241" t="s">
        <v>592</v>
      </c>
      <c r="I147" s="241"/>
      <c r="J147" s="244" t="s">
        <v>50</v>
      </c>
      <c r="K147" s="241" t="s">
        <v>593</v>
      </c>
      <c r="L147" s="251">
        <v>44459</v>
      </c>
      <c r="M147" s="252">
        <v>254545</v>
      </c>
      <c r="N147" s="241">
        <v>1</v>
      </c>
      <c r="O147" s="253">
        <f t="shared" si="7"/>
        <v>254545</v>
      </c>
      <c r="P147" s="253">
        <v>275000</v>
      </c>
      <c r="Q147" s="253">
        <f t="shared" si="8"/>
        <v>275000</v>
      </c>
    </row>
    <row r="148" spans="2:17">
      <c r="B148" s="200">
        <v>145</v>
      </c>
      <c r="C148" s="241" t="s">
        <v>594</v>
      </c>
      <c r="D148" s="242" t="s">
        <v>588</v>
      </c>
      <c r="E148" s="243" t="s">
        <v>9</v>
      </c>
      <c r="F148" s="244" t="s">
        <v>595</v>
      </c>
      <c r="G148" s="241"/>
      <c r="H148" s="241" t="s">
        <v>592</v>
      </c>
      <c r="I148" s="241"/>
      <c r="J148" s="244" t="s">
        <v>50</v>
      </c>
      <c r="K148" s="241" t="s">
        <v>596</v>
      </c>
      <c r="L148" s="251">
        <v>44459</v>
      </c>
      <c r="M148" s="252">
        <v>254545</v>
      </c>
      <c r="N148" s="241">
        <v>1</v>
      </c>
      <c r="O148" s="253">
        <f t="shared" si="7"/>
        <v>254545</v>
      </c>
      <c r="P148" s="253">
        <v>275000</v>
      </c>
      <c r="Q148" s="253">
        <f t="shared" si="8"/>
        <v>275000</v>
      </c>
    </row>
    <row r="149" spans="2:17">
      <c r="B149" s="200">
        <v>146</v>
      </c>
      <c r="C149" s="241" t="s">
        <v>597</v>
      </c>
      <c r="D149" s="242" t="s">
        <v>598</v>
      </c>
      <c r="E149" s="243" t="s">
        <v>9</v>
      </c>
      <c r="F149" s="244" t="s">
        <v>599</v>
      </c>
      <c r="G149" s="241"/>
      <c r="H149" s="241" t="s">
        <v>600</v>
      </c>
      <c r="I149" s="241"/>
      <c r="J149" s="244" t="s">
        <v>50</v>
      </c>
      <c r="K149" s="241" t="s">
        <v>601</v>
      </c>
      <c r="L149" s="251">
        <v>44461</v>
      </c>
      <c r="M149" s="252">
        <v>254545</v>
      </c>
      <c r="N149" s="241">
        <v>6</v>
      </c>
      <c r="O149" s="253">
        <f t="shared" si="7"/>
        <v>1527270</v>
      </c>
      <c r="P149" s="253">
        <v>275000</v>
      </c>
      <c r="Q149" s="253">
        <f t="shared" si="8"/>
        <v>1650000</v>
      </c>
    </row>
    <row r="150" spans="2:17">
      <c r="B150" s="200">
        <v>147</v>
      </c>
      <c r="C150" s="241" t="s">
        <v>602</v>
      </c>
      <c r="D150" s="242" t="s">
        <v>598</v>
      </c>
      <c r="E150" s="243" t="s">
        <v>9</v>
      </c>
      <c r="F150" s="244" t="s">
        <v>603</v>
      </c>
      <c r="G150" s="241"/>
      <c r="H150" s="241" t="s">
        <v>604</v>
      </c>
      <c r="I150" s="241"/>
      <c r="J150" s="244" t="s">
        <v>50</v>
      </c>
      <c r="K150" s="241" t="s">
        <v>605</v>
      </c>
      <c r="L150" s="251">
        <v>44461</v>
      </c>
      <c r="M150" s="252">
        <v>254545</v>
      </c>
      <c r="N150" s="241">
        <v>2</v>
      </c>
      <c r="O150" s="253">
        <f t="shared" si="7"/>
        <v>509090</v>
      </c>
      <c r="P150" s="253">
        <v>275000</v>
      </c>
      <c r="Q150" s="253">
        <f t="shared" si="8"/>
        <v>550000</v>
      </c>
    </row>
    <row r="151" spans="2:17">
      <c r="B151" s="200">
        <v>148</v>
      </c>
      <c r="C151" s="241" t="s">
        <v>606</v>
      </c>
      <c r="D151" s="242" t="s">
        <v>598</v>
      </c>
      <c r="E151" s="243" t="s">
        <v>9</v>
      </c>
      <c r="F151" s="244" t="s">
        <v>607</v>
      </c>
      <c r="G151" s="241"/>
      <c r="H151" s="241" t="s">
        <v>608</v>
      </c>
      <c r="I151" s="241"/>
      <c r="J151" s="244" t="s">
        <v>50</v>
      </c>
      <c r="K151" s="241" t="s">
        <v>609</v>
      </c>
      <c r="L151" s="251">
        <v>44461</v>
      </c>
      <c r="M151" s="252">
        <v>254545</v>
      </c>
      <c r="N151" s="241">
        <v>3</v>
      </c>
      <c r="O151" s="253">
        <f t="shared" si="7"/>
        <v>763635</v>
      </c>
      <c r="P151" s="253">
        <v>275000</v>
      </c>
      <c r="Q151" s="253">
        <f t="shared" si="8"/>
        <v>825000</v>
      </c>
    </row>
    <row r="152" spans="2:17">
      <c r="B152" s="200">
        <v>149</v>
      </c>
      <c r="C152" s="241" t="s">
        <v>610</v>
      </c>
      <c r="D152" s="242" t="s">
        <v>598</v>
      </c>
      <c r="E152" s="243" t="s">
        <v>9</v>
      </c>
      <c r="F152" s="244" t="s">
        <v>611</v>
      </c>
      <c r="G152" s="241"/>
      <c r="H152" s="241" t="s">
        <v>612</v>
      </c>
      <c r="I152" s="241"/>
      <c r="J152" s="244" t="s">
        <v>50</v>
      </c>
      <c r="K152" s="241" t="s">
        <v>613</v>
      </c>
      <c r="L152" s="251">
        <v>44461</v>
      </c>
      <c r="M152" s="252">
        <v>254545</v>
      </c>
      <c r="N152" s="241">
        <v>6</v>
      </c>
      <c r="O152" s="253">
        <f t="shared" si="7"/>
        <v>1527270</v>
      </c>
      <c r="P152" s="253">
        <v>275000</v>
      </c>
      <c r="Q152" s="253">
        <f t="shared" si="8"/>
        <v>1650000</v>
      </c>
    </row>
    <row r="153" spans="2:17">
      <c r="B153" s="200">
        <v>150</v>
      </c>
      <c r="C153" s="241" t="s">
        <v>614</v>
      </c>
      <c r="D153" s="242" t="s">
        <v>615</v>
      </c>
      <c r="E153" s="243" t="s">
        <v>9</v>
      </c>
      <c r="F153" s="244" t="s">
        <v>77</v>
      </c>
      <c r="G153" s="241"/>
      <c r="H153" s="241" t="s">
        <v>616</v>
      </c>
      <c r="I153" s="241"/>
      <c r="J153" s="244" t="s">
        <v>50</v>
      </c>
      <c r="K153" s="241" t="s">
        <v>617</v>
      </c>
      <c r="L153" s="251">
        <v>44463</v>
      </c>
      <c r="M153" s="252">
        <v>254545</v>
      </c>
      <c r="N153" s="241">
        <v>1</v>
      </c>
      <c r="O153" s="253">
        <f t="shared" si="7"/>
        <v>254545</v>
      </c>
      <c r="P153" s="253">
        <v>275000</v>
      </c>
      <c r="Q153" s="253">
        <f t="shared" si="8"/>
        <v>275000</v>
      </c>
    </row>
    <row r="154" spans="2:17">
      <c r="B154" s="200">
        <v>151</v>
      </c>
      <c r="C154" s="241" t="s">
        <v>618</v>
      </c>
      <c r="D154" s="242" t="s">
        <v>615</v>
      </c>
      <c r="E154" s="243" t="s">
        <v>9</v>
      </c>
      <c r="F154" s="244" t="s">
        <v>619</v>
      </c>
      <c r="G154" s="241"/>
      <c r="H154" s="241" t="s">
        <v>620</v>
      </c>
      <c r="I154" s="241"/>
      <c r="J154" s="244" t="s">
        <v>50</v>
      </c>
      <c r="K154" s="241" t="s">
        <v>621</v>
      </c>
      <c r="L154" s="251">
        <v>44463</v>
      </c>
      <c r="M154" s="252">
        <v>254545</v>
      </c>
      <c r="N154" s="241">
        <v>1</v>
      </c>
      <c r="O154" s="253">
        <f t="shared" si="7"/>
        <v>254545</v>
      </c>
      <c r="P154" s="253">
        <v>275000</v>
      </c>
      <c r="Q154" s="253">
        <f t="shared" si="8"/>
        <v>275000</v>
      </c>
    </row>
    <row r="155" spans="2:17">
      <c r="B155" s="200">
        <v>152</v>
      </c>
      <c r="C155" s="241" t="s">
        <v>622</v>
      </c>
      <c r="D155" s="242" t="s">
        <v>615</v>
      </c>
      <c r="E155" s="243" t="s">
        <v>9</v>
      </c>
      <c r="F155" s="244" t="s">
        <v>623</v>
      </c>
      <c r="G155" s="241"/>
      <c r="H155" s="241" t="s">
        <v>620</v>
      </c>
      <c r="I155" s="241"/>
      <c r="J155" s="244" t="s">
        <v>50</v>
      </c>
      <c r="K155" s="241" t="s">
        <v>624</v>
      </c>
      <c r="L155" s="251">
        <v>44463</v>
      </c>
      <c r="M155" s="252">
        <v>254545</v>
      </c>
      <c r="N155" s="241">
        <v>5</v>
      </c>
      <c r="O155" s="253">
        <f t="shared" si="7"/>
        <v>1272725</v>
      </c>
      <c r="P155" s="253">
        <v>275000</v>
      </c>
      <c r="Q155" s="253">
        <f t="shared" si="8"/>
        <v>1375000</v>
      </c>
    </row>
    <row r="156" spans="2:17">
      <c r="B156" s="200">
        <v>153</v>
      </c>
      <c r="C156" s="241" t="s">
        <v>625</v>
      </c>
      <c r="D156" s="242" t="s">
        <v>626</v>
      </c>
      <c r="E156" s="243" t="s">
        <v>7</v>
      </c>
      <c r="F156" s="244" t="s">
        <v>627</v>
      </c>
      <c r="G156" s="241"/>
      <c r="H156" s="241" t="s">
        <v>628</v>
      </c>
      <c r="I156" s="241"/>
      <c r="J156" s="244" t="s">
        <v>629</v>
      </c>
      <c r="K156" s="241" t="s">
        <v>630</v>
      </c>
      <c r="L156" s="251">
        <v>44463</v>
      </c>
      <c r="M156" s="252">
        <v>185455</v>
      </c>
      <c r="N156" s="241">
        <v>2</v>
      </c>
      <c r="O156" s="253">
        <f t="shared" si="7"/>
        <v>370910</v>
      </c>
      <c r="P156" s="253">
        <v>231818.81</v>
      </c>
      <c r="Q156" s="253">
        <f t="shared" si="8"/>
        <v>463637.62</v>
      </c>
    </row>
    <row r="157" spans="2:17">
      <c r="B157" s="200">
        <v>154</v>
      </c>
      <c r="C157" s="241" t="s">
        <v>631</v>
      </c>
      <c r="D157" s="242" t="s">
        <v>626</v>
      </c>
      <c r="E157" s="243" t="s">
        <v>7</v>
      </c>
      <c r="F157" s="244" t="s">
        <v>627</v>
      </c>
      <c r="G157" s="241"/>
      <c r="H157" s="241" t="s">
        <v>632</v>
      </c>
      <c r="I157" s="241"/>
      <c r="J157" s="244" t="s">
        <v>63</v>
      </c>
      <c r="K157" s="241" t="s">
        <v>630</v>
      </c>
      <c r="L157" s="251">
        <v>44463</v>
      </c>
      <c r="M157" s="252">
        <v>92727</v>
      </c>
      <c r="N157" s="241">
        <v>2</v>
      </c>
      <c r="O157" s="253">
        <f t="shared" si="7"/>
        <v>185454</v>
      </c>
      <c r="P157" s="253">
        <v>116363.63</v>
      </c>
      <c r="Q157" s="253">
        <f t="shared" si="8"/>
        <v>232727.26</v>
      </c>
    </row>
    <row r="158" spans="2:17" s="1" customFormat="1" ht="12.75">
      <c r="B158" s="200">
        <v>155</v>
      </c>
      <c r="C158" s="237" t="s">
        <v>633</v>
      </c>
      <c r="D158" s="238">
        <v>4800428229</v>
      </c>
      <c r="E158" s="239" t="s">
        <v>12</v>
      </c>
      <c r="F158" s="240" t="s">
        <v>466</v>
      </c>
      <c r="G158" s="237"/>
      <c r="H158" s="237" t="s">
        <v>634</v>
      </c>
      <c r="I158" s="237"/>
      <c r="J158" s="240" t="s">
        <v>85</v>
      </c>
      <c r="K158" s="237" t="s">
        <v>635</v>
      </c>
      <c r="L158" s="248">
        <v>44469</v>
      </c>
      <c r="M158" s="249">
        <v>222727</v>
      </c>
      <c r="N158" s="237">
        <v>8</v>
      </c>
      <c r="O158" s="250">
        <f t="shared" si="7"/>
        <v>1781816</v>
      </c>
      <c r="P158" s="250">
        <v>265136</v>
      </c>
      <c r="Q158" s="250">
        <f t="shared" si="8"/>
        <v>2121088</v>
      </c>
    </row>
    <row r="159" spans="2:17" s="1" customFormat="1" ht="12.75">
      <c r="B159" s="200">
        <v>156</v>
      </c>
      <c r="C159" s="237" t="s">
        <v>636</v>
      </c>
      <c r="D159" s="238" t="s">
        <v>637</v>
      </c>
      <c r="E159" s="239" t="s">
        <v>9</v>
      </c>
      <c r="F159" s="240" t="s">
        <v>638</v>
      </c>
      <c r="G159" s="237"/>
      <c r="H159" s="237" t="s">
        <v>526</v>
      </c>
      <c r="I159" s="237"/>
      <c r="J159" s="240" t="s">
        <v>50</v>
      </c>
      <c r="K159" s="237" t="s">
        <v>639</v>
      </c>
      <c r="L159" s="248">
        <v>44475</v>
      </c>
      <c r="M159" s="249">
        <v>254545</v>
      </c>
      <c r="N159" s="237">
        <v>1</v>
      </c>
      <c r="O159" s="250">
        <f t="shared" si="7"/>
        <v>254545</v>
      </c>
      <c r="P159" s="250">
        <v>275000</v>
      </c>
      <c r="Q159" s="250">
        <f t="shared" si="8"/>
        <v>275000</v>
      </c>
    </row>
    <row r="160" spans="2:17">
      <c r="B160" s="200">
        <v>157</v>
      </c>
      <c r="C160" s="237" t="s">
        <v>640</v>
      </c>
      <c r="D160" s="238" t="s">
        <v>641</v>
      </c>
      <c r="E160" s="239" t="s">
        <v>9</v>
      </c>
      <c r="F160" s="240" t="s">
        <v>206</v>
      </c>
      <c r="G160" s="237"/>
      <c r="H160" s="237" t="s">
        <v>642</v>
      </c>
      <c r="I160" s="237"/>
      <c r="J160" s="240" t="s">
        <v>50</v>
      </c>
      <c r="K160" s="237" t="s">
        <v>643</v>
      </c>
      <c r="L160" s="248">
        <v>44475</v>
      </c>
      <c r="M160" s="249">
        <v>254545</v>
      </c>
      <c r="N160" s="237">
        <v>1</v>
      </c>
      <c r="O160" s="250">
        <f t="shared" si="7"/>
        <v>254545</v>
      </c>
      <c r="P160" s="250">
        <v>275000</v>
      </c>
      <c r="Q160" s="250">
        <f t="shared" si="8"/>
        <v>275000</v>
      </c>
    </row>
    <row r="161" spans="2:17">
      <c r="B161" s="200">
        <v>158</v>
      </c>
      <c r="C161" s="237" t="s">
        <v>644</v>
      </c>
      <c r="D161" s="238" t="s">
        <v>641</v>
      </c>
      <c r="E161" s="239" t="s">
        <v>9</v>
      </c>
      <c r="F161" s="240" t="s">
        <v>645</v>
      </c>
      <c r="G161" s="237"/>
      <c r="H161" s="237" t="s">
        <v>642</v>
      </c>
      <c r="I161" s="237"/>
      <c r="J161" s="240" t="s">
        <v>50</v>
      </c>
      <c r="K161" s="237" t="s">
        <v>646</v>
      </c>
      <c r="L161" s="248">
        <v>44475</v>
      </c>
      <c r="M161" s="249">
        <v>254545</v>
      </c>
      <c r="N161" s="237">
        <v>1</v>
      </c>
      <c r="O161" s="250">
        <f t="shared" si="7"/>
        <v>254545</v>
      </c>
      <c r="P161" s="250">
        <v>275000</v>
      </c>
      <c r="Q161" s="250">
        <f t="shared" si="8"/>
        <v>275000</v>
      </c>
    </row>
    <row r="162" spans="2:17">
      <c r="B162" s="200">
        <v>159</v>
      </c>
      <c r="C162" s="237" t="s">
        <v>647</v>
      </c>
      <c r="D162" s="238" t="s">
        <v>641</v>
      </c>
      <c r="E162" s="239" t="s">
        <v>9</v>
      </c>
      <c r="F162" s="240" t="s">
        <v>648</v>
      </c>
      <c r="G162" s="237"/>
      <c r="H162" s="237" t="s">
        <v>642</v>
      </c>
      <c r="I162" s="237"/>
      <c r="J162" s="240" t="s">
        <v>50</v>
      </c>
      <c r="K162" s="237" t="s">
        <v>649</v>
      </c>
      <c r="L162" s="248">
        <v>44475</v>
      </c>
      <c r="M162" s="249">
        <v>254545</v>
      </c>
      <c r="N162" s="237">
        <v>1</v>
      </c>
      <c r="O162" s="250">
        <f t="shared" si="7"/>
        <v>254545</v>
      </c>
      <c r="P162" s="250">
        <v>275000</v>
      </c>
      <c r="Q162" s="250">
        <f t="shared" si="8"/>
        <v>275000</v>
      </c>
    </row>
    <row r="163" spans="2:17">
      <c r="B163" s="200">
        <v>160</v>
      </c>
      <c r="C163" s="237" t="s">
        <v>650</v>
      </c>
      <c r="D163" s="238" t="s">
        <v>651</v>
      </c>
      <c r="E163" s="239" t="s">
        <v>9</v>
      </c>
      <c r="F163" s="240" t="s">
        <v>652</v>
      </c>
      <c r="G163" s="237"/>
      <c r="H163" s="237" t="s">
        <v>642</v>
      </c>
      <c r="I163" s="237"/>
      <c r="J163" s="240" t="s">
        <v>50</v>
      </c>
      <c r="K163" s="237" t="s">
        <v>653</v>
      </c>
      <c r="L163" s="248">
        <v>44476</v>
      </c>
      <c r="M163" s="249">
        <v>254545</v>
      </c>
      <c r="N163" s="237">
        <v>1</v>
      </c>
      <c r="O163" s="250">
        <f t="shared" si="7"/>
        <v>254545</v>
      </c>
      <c r="P163" s="250">
        <v>275000</v>
      </c>
      <c r="Q163" s="250">
        <f t="shared" si="8"/>
        <v>275000</v>
      </c>
    </row>
    <row r="164" spans="2:17">
      <c r="B164" s="200">
        <v>161</v>
      </c>
      <c r="C164" s="237" t="s">
        <v>654</v>
      </c>
      <c r="D164" s="238" t="s">
        <v>655</v>
      </c>
      <c r="E164" s="239" t="s">
        <v>9</v>
      </c>
      <c r="F164" s="240" t="s">
        <v>206</v>
      </c>
      <c r="G164" s="237"/>
      <c r="H164" s="237" t="s">
        <v>656</v>
      </c>
      <c r="I164" s="237"/>
      <c r="J164" s="240" t="s">
        <v>50</v>
      </c>
      <c r="K164" s="237" t="s">
        <v>657</v>
      </c>
      <c r="L164" s="248">
        <v>44480</v>
      </c>
      <c r="M164" s="249">
        <v>254545</v>
      </c>
      <c r="N164" s="237">
        <v>1</v>
      </c>
      <c r="O164" s="250">
        <f t="shared" si="7"/>
        <v>254545</v>
      </c>
      <c r="P164" s="250">
        <v>275000</v>
      </c>
      <c r="Q164" s="250">
        <f t="shared" si="8"/>
        <v>275000</v>
      </c>
    </row>
    <row r="165" spans="2:17">
      <c r="B165" s="200">
        <v>162</v>
      </c>
      <c r="C165" s="237" t="s">
        <v>658</v>
      </c>
      <c r="D165" s="238" t="s">
        <v>659</v>
      </c>
      <c r="E165" s="239" t="s">
        <v>9</v>
      </c>
      <c r="F165" s="240" t="s">
        <v>660</v>
      </c>
      <c r="G165" s="237"/>
      <c r="H165" s="237" t="s">
        <v>661</v>
      </c>
      <c r="I165" s="237"/>
      <c r="J165" s="240" t="s">
        <v>50</v>
      </c>
      <c r="K165" s="237" t="s">
        <v>662</v>
      </c>
      <c r="L165" s="248">
        <v>44481</v>
      </c>
      <c r="M165" s="249">
        <v>254545</v>
      </c>
      <c r="N165" s="237">
        <v>1</v>
      </c>
      <c r="O165" s="250">
        <f t="shared" si="7"/>
        <v>254545</v>
      </c>
      <c r="P165" s="250">
        <v>275000</v>
      </c>
      <c r="Q165" s="250">
        <f t="shared" si="8"/>
        <v>275000</v>
      </c>
    </row>
    <row r="166" spans="2:17">
      <c r="B166" s="200">
        <v>163</v>
      </c>
      <c r="C166" s="237" t="s">
        <v>663</v>
      </c>
      <c r="D166" s="238" t="s">
        <v>664</v>
      </c>
      <c r="E166" s="239" t="s">
        <v>9</v>
      </c>
      <c r="F166" s="240" t="s">
        <v>665</v>
      </c>
      <c r="G166" s="237"/>
      <c r="H166" s="237" t="s">
        <v>666</v>
      </c>
      <c r="I166" s="237"/>
      <c r="J166" s="240" t="s">
        <v>50</v>
      </c>
      <c r="K166" s="237" t="s">
        <v>667</v>
      </c>
      <c r="L166" s="248">
        <v>44488</v>
      </c>
      <c r="M166" s="249">
        <v>254545</v>
      </c>
      <c r="N166" s="237">
        <v>1</v>
      </c>
      <c r="O166" s="250">
        <f t="shared" si="7"/>
        <v>254545</v>
      </c>
      <c r="P166" s="250">
        <v>275000</v>
      </c>
      <c r="Q166" s="250">
        <f t="shared" si="8"/>
        <v>275000</v>
      </c>
    </row>
    <row r="167" spans="2:17">
      <c r="B167" s="200">
        <v>164</v>
      </c>
      <c r="C167" s="237" t="s">
        <v>668</v>
      </c>
      <c r="D167" s="238" t="s">
        <v>664</v>
      </c>
      <c r="E167" s="239" t="s">
        <v>9</v>
      </c>
      <c r="F167" s="240" t="s">
        <v>669</v>
      </c>
      <c r="G167" s="237"/>
      <c r="H167" s="237" t="s">
        <v>666</v>
      </c>
      <c r="I167" s="237"/>
      <c r="J167" s="240" t="s">
        <v>50</v>
      </c>
      <c r="K167" s="237" t="s">
        <v>670</v>
      </c>
      <c r="L167" s="248">
        <v>44488</v>
      </c>
      <c r="M167" s="249">
        <v>254545</v>
      </c>
      <c r="N167" s="237">
        <v>1</v>
      </c>
      <c r="O167" s="250">
        <f t="shared" si="7"/>
        <v>254545</v>
      </c>
      <c r="P167" s="250">
        <v>275000</v>
      </c>
      <c r="Q167" s="250">
        <f t="shared" si="8"/>
        <v>275000</v>
      </c>
    </row>
    <row r="168" spans="2:17">
      <c r="B168" s="200">
        <v>165</v>
      </c>
      <c r="C168" s="237" t="s">
        <v>671</v>
      </c>
      <c r="D168" s="238" t="s">
        <v>672</v>
      </c>
      <c r="E168" s="239" t="s">
        <v>9</v>
      </c>
      <c r="F168" s="240" t="s">
        <v>673</v>
      </c>
      <c r="G168" s="237"/>
      <c r="H168" s="237" t="s">
        <v>674</v>
      </c>
      <c r="I168" s="237"/>
      <c r="J168" s="240" t="s">
        <v>50</v>
      </c>
      <c r="K168" s="237" t="s">
        <v>675</v>
      </c>
      <c r="L168" s="248">
        <v>44490</v>
      </c>
      <c r="M168" s="249">
        <v>254545</v>
      </c>
      <c r="N168" s="237">
        <v>1</v>
      </c>
      <c r="O168" s="250">
        <f t="shared" si="7"/>
        <v>254545</v>
      </c>
      <c r="P168" s="250">
        <v>275000</v>
      </c>
      <c r="Q168" s="250">
        <f t="shared" si="8"/>
        <v>275000</v>
      </c>
    </row>
    <row r="169" spans="2:17">
      <c r="B169" s="200">
        <v>166</v>
      </c>
      <c r="C169" s="237" t="s">
        <v>676</v>
      </c>
      <c r="D169" s="238" t="s">
        <v>672</v>
      </c>
      <c r="E169" s="239" t="s">
        <v>9</v>
      </c>
      <c r="F169" s="240" t="s">
        <v>206</v>
      </c>
      <c r="G169" s="237"/>
      <c r="H169" s="237" t="s">
        <v>674</v>
      </c>
      <c r="I169" s="237"/>
      <c r="J169" s="240" t="s">
        <v>50</v>
      </c>
      <c r="K169" s="237" t="s">
        <v>677</v>
      </c>
      <c r="L169" s="248">
        <v>44490</v>
      </c>
      <c r="M169" s="249">
        <v>254545</v>
      </c>
      <c r="N169" s="237">
        <v>2</v>
      </c>
      <c r="O169" s="250">
        <f t="shared" si="7"/>
        <v>509090</v>
      </c>
      <c r="P169" s="250">
        <v>275000</v>
      </c>
      <c r="Q169" s="250">
        <f t="shared" si="8"/>
        <v>550000</v>
      </c>
    </row>
    <row r="170" spans="2:17">
      <c r="B170" s="200">
        <v>167</v>
      </c>
      <c r="C170" s="237" t="s">
        <v>678</v>
      </c>
      <c r="D170" s="238" t="s">
        <v>672</v>
      </c>
      <c r="E170" s="239" t="s">
        <v>9</v>
      </c>
      <c r="F170" s="240" t="s">
        <v>679</v>
      </c>
      <c r="G170" s="237"/>
      <c r="H170" s="237" t="s">
        <v>680</v>
      </c>
      <c r="I170" s="237"/>
      <c r="J170" s="240" t="s">
        <v>50</v>
      </c>
      <c r="K170" s="237" t="s">
        <v>681</v>
      </c>
      <c r="L170" s="248">
        <v>44490</v>
      </c>
      <c r="M170" s="249">
        <v>254545</v>
      </c>
      <c r="N170" s="237">
        <v>1</v>
      </c>
      <c r="O170" s="250">
        <f t="shared" si="7"/>
        <v>254545</v>
      </c>
      <c r="P170" s="250">
        <v>275000</v>
      </c>
      <c r="Q170" s="250">
        <f t="shared" si="8"/>
        <v>275000</v>
      </c>
    </row>
    <row r="171" spans="2:17">
      <c r="B171" s="200">
        <v>168</v>
      </c>
      <c r="C171" s="237" t="s">
        <v>682</v>
      </c>
      <c r="D171" s="238" t="s">
        <v>683</v>
      </c>
      <c r="E171" s="239" t="s">
        <v>9</v>
      </c>
      <c r="F171" s="240" t="s">
        <v>684</v>
      </c>
      <c r="G171" s="237"/>
      <c r="H171" s="237" t="s">
        <v>685</v>
      </c>
      <c r="I171" s="237"/>
      <c r="J171" s="240" t="s">
        <v>50</v>
      </c>
      <c r="K171" s="237" t="s">
        <v>686</v>
      </c>
      <c r="L171" s="248">
        <v>44497</v>
      </c>
      <c r="M171" s="249">
        <v>254545</v>
      </c>
      <c r="N171" s="237">
        <v>1</v>
      </c>
      <c r="O171" s="250">
        <f t="shared" si="7"/>
        <v>254545</v>
      </c>
      <c r="P171" s="250">
        <v>275000</v>
      </c>
      <c r="Q171" s="250">
        <f t="shared" si="8"/>
        <v>275000</v>
      </c>
    </row>
    <row r="172" spans="2:17">
      <c r="B172" s="200">
        <v>169</v>
      </c>
      <c r="C172" s="237" t="s">
        <v>687</v>
      </c>
      <c r="D172" s="238" t="s">
        <v>683</v>
      </c>
      <c r="E172" s="239" t="s">
        <v>9</v>
      </c>
      <c r="F172" s="240" t="s">
        <v>238</v>
      </c>
      <c r="G172" s="237"/>
      <c r="H172" s="237" t="s">
        <v>688</v>
      </c>
      <c r="I172" s="237"/>
      <c r="J172" s="240" t="s">
        <v>50</v>
      </c>
      <c r="K172" s="237" t="s">
        <v>689</v>
      </c>
      <c r="L172" s="248">
        <v>44497</v>
      </c>
      <c r="M172" s="249">
        <v>254545</v>
      </c>
      <c r="N172" s="237">
        <v>1</v>
      </c>
      <c r="O172" s="250">
        <f t="shared" si="7"/>
        <v>254545</v>
      </c>
      <c r="P172" s="250">
        <v>275000</v>
      </c>
      <c r="Q172" s="250">
        <f t="shared" si="8"/>
        <v>275000</v>
      </c>
    </row>
    <row r="173" spans="2:17">
      <c r="B173" s="200">
        <v>170</v>
      </c>
      <c r="C173" s="241" t="s">
        <v>690</v>
      </c>
      <c r="D173" s="242" t="s">
        <v>691</v>
      </c>
      <c r="E173" s="243" t="s">
        <v>9</v>
      </c>
      <c r="F173" s="244" t="s">
        <v>692</v>
      </c>
      <c r="G173" s="241"/>
      <c r="H173" s="241" t="s">
        <v>693</v>
      </c>
      <c r="I173" s="241"/>
      <c r="J173" s="244" t="s">
        <v>50</v>
      </c>
      <c r="K173" s="241" t="s">
        <v>694</v>
      </c>
      <c r="L173" s="251">
        <v>44508</v>
      </c>
      <c r="M173" s="252">
        <v>254545</v>
      </c>
      <c r="N173" s="241">
        <v>3</v>
      </c>
      <c r="O173" s="253">
        <f t="shared" si="7"/>
        <v>763635</v>
      </c>
      <c r="P173" s="253">
        <v>275000</v>
      </c>
      <c r="Q173" s="253">
        <f t="shared" si="8"/>
        <v>825000</v>
      </c>
    </row>
    <row r="174" spans="2:17">
      <c r="B174" s="200">
        <v>171</v>
      </c>
      <c r="C174" s="241" t="s">
        <v>695</v>
      </c>
      <c r="D174" s="242" t="s">
        <v>696</v>
      </c>
      <c r="E174" s="243" t="s">
        <v>9</v>
      </c>
      <c r="F174" s="244" t="s">
        <v>697</v>
      </c>
      <c r="G174" s="241"/>
      <c r="H174" s="241" t="s">
        <v>693</v>
      </c>
      <c r="I174" s="241"/>
      <c r="J174" s="244" t="s">
        <v>50</v>
      </c>
      <c r="K174" s="241" t="s">
        <v>698</v>
      </c>
      <c r="L174" s="251">
        <v>44508</v>
      </c>
      <c r="M174" s="252">
        <v>254545</v>
      </c>
      <c r="N174" s="241">
        <v>2</v>
      </c>
      <c r="O174" s="253">
        <f t="shared" si="7"/>
        <v>509090</v>
      </c>
      <c r="P174" s="253">
        <v>275000</v>
      </c>
      <c r="Q174" s="253">
        <f t="shared" si="8"/>
        <v>550000</v>
      </c>
    </row>
    <row r="175" spans="2:17">
      <c r="B175" s="200">
        <v>172</v>
      </c>
      <c r="C175" s="241" t="s">
        <v>699</v>
      </c>
      <c r="D175" s="242" t="s">
        <v>700</v>
      </c>
      <c r="E175" s="243" t="s">
        <v>9</v>
      </c>
      <c r="F175" s="244" t="s">
        <v>701</v>
      </c>
      <c r="G175" s="241"/>
      <c r="H175" s="241" t="s">
        <v>688</v>
      </c>
      <c r="I175" s="241"/>
      <c r="J175" s="244" t="s">
        <v>50</v>
      </c>
      <c r="K175" s="241" t="s">
        <v>702</v>
      </c>
      <c r="L175" s="251">
        <v>44509</v>
      </c>
      <c r="M175" s="252">
        <v>254545</v>
      </c>
      <c r="N175" s="241">
        <v>1</v>
      </c>
      <c r="O175" s="253">
        <f t="shared" si="7"/>
        <v>254545</v>
      </c>
      <c r="P175" s="253">
        <v>275000</v>
      </c>
      <c r="Q175" s="253">
        <f t="shared" si="8"/>
        <v>275000</v>
      </c>
    </row>
    <row r="176" spans="2:17">
      <c r="B176" s="200">
        <v>173</v>
      </c>
      <c r="C176" s="241" t="s">
        <v>703</v>
      </c>
      <c r="D176" s="242" t="s">
        <v>704</v>
      </c>
      <c r="E176" s="243" t="s">
        <v>9</v>
      </c>
      <c r="F176" s="244" t="s">
        <v>705</v>
      </c>
      <c r="G176" s="241"/>
      <c r="H176" s="241" t="s">
        <v>706</v>
      </c>
      <c r="I176" s="241"/>
      <c r="J176" s="244" t="s">
        <v>50</v>
      </c>
      <c r="K176" s="241" t="s">
        <v>707</v>
      </c>
      <c r="L176" s="251">
        <v>44510</v>
      </c>
      <c r="M176" s="252">
        <v>254545</v>
      </c>
      <c r="N176" s="241">
        <v>3</v>
      </c>
      <c r="O176" s="253">
        <f t="shared" si="7"/>
        <v>763635</v>
      </c>
      <c r="P176" s="253">
        <v>275000</v>
      </c>
      <c r="Q176" s="253">
        <f t="shared" si="8"/>
        <v>825000</v>
      </c>
    </row>
    <row r="177" spans="2:17">
      <c r="B177" s="200">
        <v>174</v>
      </c>
      <c r="C177" s="241" t="s">
        <v>708</v>
      </c>
      <c r="D177" s="242" t="s">
        <v>709</v>
      </c>
      <c r="E177" s="243" t="s">
        <v>9</v>
      </c>
      <c r="F177" s="244" t="s">
        <v>72</v>
      </c>
      <c r="G177" s="241"/>
      <c r="H177" s="241" t="s">
        <v>710</v>
      </c>
      <c r="I177" s="241"/>
      <c r="J177" s="244" t="s">
        <v>50</v>
      </c>
      <c r="K177" s="241" t="s">
        <v>711</v>
      </c>
      <c r="L177" s="251">
        <v>44515</v>
      </c>
      <c r="M177" s="252">
        <v>254545</v>
      </c>
      <c r="N177" s="241">
        <v>1</v>
      </c>
      <c r="O177" s="253">
        <f t="shared" si="7"/>
        <v>254545</v>
      </c>
      <c r="P177" s="253">
        <v>275000</v>
      </c>
      <c r="Q177" s="253">
        <f t="shared" si="8"/>
        <v>275000</v>
      </c>
    </row>
    <row r="178" spans="2:17">
      <c r="B178" s="200">
        <v>175</v>
      </c>
      <c r="C178" s="241" t="s">
        <v>712</v>
      </c>
      <c r="D178" s="242" t="s">
        <v>713</v>
      </c>
      <c r="E178" s="243" t="s">
        <v>7</v>
      </c>
      <c r="F178" s="244" t="s">
        <v>83</v>
      </c>
      <c r="G178" s="241"/>
      <c r="H178" s="241" t="s">
        <v>714</v>
      </c>
      <c r="I178" s="241"/>
      <c r="J178" s="244" t="s">
        <v>85</v>
      </c>
      <c r="K178" s="241" t="s">
        <v>715</v>
      </c>
      <c r="L178" s="251">
        <v>44516</v>
      </c>
      <c r="M178" s="252">
        <v>222727</v>
      </c>
      <c r="N178" s="241">
        <v>154</v>
      </c>
      <c r="O178" s="253">
        <f t="shared" si="7"/>
        <v>34299958</v>
      </c>
      <c r="P178" s="253">
        <v>279090.90999999997</v>
      </c>
      <c r="Q178" s="253">
        <f t="shared" si="8"/>
        <v>42980000.139999993</v>
      </c>
    </row>
    <row r="179" spans="2:17">
      <c r="B179" s="200">
        <v>176</v>
      </c>
      <c r="C179" s="241" t="s">
        <v>716</v>
      </c>
      <c r="D179" s="242" t="s">
        <v>717</v>
      </c>
      <c r="E179" s="243" t="s">
        <v>9</v>
      </c>
      <c r="F179" s="244" t="s">
        <v>718</v>
      </c>
      <c r="G179" s="241"/>
      <c r="H179" s="241" t="s">
        <v>719</v>
      </c>
      <c r="I179" s="241"/>
      <c r="J179" s="244" t="s">
        <v>50</v>
      </c>
      <c r="K179" s="241" t="s">
        <v>720</v>
      </c>
      <c r="L179" s="251">
        <v>44515</v>
      </c>
      <c r="M179" s="252">
        <v>254545</v>
      </c>
      <c r="N179" s="241">
        <v>7</v>
      </c>
      <c r="O179" s="253">
        <f t="shared" si="7"/>
        <v>1781815</v>
      </c>
      <c r="P179" s="253">
        <v>275000</v>
      </c>
      <c r="Q179" s="253">
        <f t="shared" si="8"/>
        <v>1925000</v>
      </c>
    </row>
    <row r="180" spans="2:17">
      <c r="B180" s="200">
        <v>177</v>
      </c>
      <c r="C180" s="241" t="s">
        <v>721</v>
      </c>
      <c r="D180" s="242" t="s">
        <v>722</v>
      </c>
      <c r="E180" s="243" t="s">
        <v>9</v>
      </c>
      <c r="F180" s="244" t="s">
        <v>723</v>
      </c>
      <c r="G180" s="241"/>
      <c r="H180" s="241" t="s">
        <v>724</v>
      </c>
      <c r="I180" s="241"/>
      <c r="J180" s="244" t="s">
        <v>50</v>
      </c>
      <c r="K180" s="241" t="s">
        <v>725</v>
      </c>
      <c r="L180" s="251">
        <v>44517</v>
      </c>
      <c r="M180" s="252">
        <v>254545</v>
      </c>
      <c r="N180" s="241">
        <v>1</v>
      </c>
      <c r="O180" s="253">
        <f t="shared" si="7"/>
        <v>254545</v>
      </c>
      <c r="P180" s="253">
        <v>275000</v>
      </c>
      <c r="Q180" s="253">
        <f t="shared" si="8"/>
        <v>275000</v>
      </c>
    </row>
    <row r="181" spans="2:17">
      <c r="B181" s="200">
        <v>178</v>
      </c>
      <c r="C181" s="241" t="s">
        <v>726</v>
      </c>
      <c r="D181" s="242" t="s">
        <v>727</v>
      </c>
      <c r="E181" s="243" t="s">
        <v>9</v>
      </c>
      <c r="F181" s="244" t="s">
        <v>728</v>
      </c>
      <c r="G181" s="241"/>
      <c r="H181" s="241" t="s">
        <v>729</v>
      </c>
      <c r="I181" s="241"/>
      <c r="J181" s="244" t="s">
        <v>50</v>
      </c>
      <c r="K181" s="241" t="s">
        <v>730</v>
      </c>
      <c r="L181" s="251">
        <v>44522</v>
      </c>
      <c r="M181" s="252">
        <v>254545</v>
      </c>
      <c r="N181" s="241">
        <v>1</v>
      </c>
      <c r="O181" s="253">
        <f t="shared" si="7"/>
        <v>254545</v>
      </c>
      <c r="P181" s="253">
        <v>275000</v>
      </c>
      <c r="Q181" s="253">
        <f t="shared" si="8"/>
        <v>275000</v>
      </c>
    </row>
    <row r="182" spans="2:17">
      <c r="B182" s="200">
        <v>179</v>
      </c>
      <c r="C182" s="241" t="s">
        <v>731</v>
      </c>
      <c r="D182" s="242" t="s">
        <v>732</v>
      </c>
      <c r="E182" s="243" t="s">
        <v>10</v>
      </c>
      <c r="F182" s="244" t="s">
        <v>733</v>
      </c>
      <c r="G182" s="241"/>
      <c r="H182" s="241" t="s">
        <v>734</v>
      </c>
      <c r="I182" s="241"/>
      <c r="J182" s="244" t="s">
        <v>85</v>
      </c>
      <c r="K182" s="241" t="s">
        <v>735</v>
      </c>
      <c r="L182" s="251">
        <v>44522</v>
      </c>
      <c r="M182" s="252">
        <v>254545</v>
      </c>
      <c r="N182" s="241">
        <v>1</v>
      </c>
      <c r="O182" s="253">
        <f t="shared" si="7"/>
        <v>254545</v>
      </c>
      <c r="P182" s="253">
        <v>275000</v>
      </c>
      <c r="Q182" s="253">
        <f t="shared" si="8"/>
        <v>275000</v>
      </c>
    </row>
    <row r="183" spans="2:17">
      <c r="B183" s="200">
        <v>180</v>
      </c>
      <c r="C183" s="237" t="s">
        <v>736</v>
      </c>
      <c r="D183" s="238" t="s">
        <v>737</v>
      </c>
      <c r="E183" s="239" t="s">
        <v>9</v>
      </c>
      <c r="F183" s="240" t="s">
        <v>738</v>
      </c>
      <c r="G183" s="237"/>
      <c r="H183" s="254" t="s">
        <v>739</v>
      </c>
      <c r="I183" s="237"/>
      <c r="J183" s="240" t="s">
        <v>50</v>
      </c>
      <c r="K183" s="237" t="s">
        <v>740</v>
      </c>
      <c r="L183" s="248">
        <v>44543</v>
      </c>
      <c r="M183" s="249">
        <v>254545</v>
      </c>
      <c r="N183" s="237">
        <v>1</v>
      </c>
      <c r="O183" s="250">
        <f t="shared" si="7"/>
        <v>254545</v>
      </c>
      <c r="P183" s="250">
        <v>275000</v>
      </c>
      <c r="Q183" s="250">
        <f t="shared" si="8"/>
        <v>275000</v>
      </c>
    </row>
    <row r="184" spans="2:17">
      <c r="B184" s="200">
        <v>181</v>
      </c>
      <c r="C184" s="237" t="s">
        <v>741</v>
      </c>
      <c r="D184" s="238">
        <v>4800437545</v>
      </c>
      <c r="E184" s="239" t="s">
        <v>12</v>
      </c>
      <c r="F184" s="240" t="s">
        <v>742</v>
      </c>
      <c r="G184" s="237"/>
      <c r="H184" s="254" t="s">
        <v>743</v>
      </c>
      <c r="I184" s="237"/>
      <c r="J184" s="240" t="s">
        <v>92</v>
      </c>
      <c r="K184" s="237" t="s">
        <v>744</v>
      </c>
      <c r="L184" s="248">
        <v>44545</v>
      </c>
      <c r="M184" s="249">
        <v>32272.73</v>
      </c>
      <c r="N184" s="237">
        <v>292</v>
      </c>
      <c r="O184" s="250">
        <f t="shared" si="7"/>
        <v>9423637.1600000001</v>
      </c>
      <c r="P184" s="250">
        <v>35500</v>
      </c>
      <c r="Q184" s="250">
        <f t="shared" si="8"/>
        <v>10366000</v>
      </c>
    </row>
    <row r="185" spans="2:17">
      <c r="B185" s="200">
        <v>182</v>
      </c>
      <c r="C185" s="237" t="s">
        <v>745</v>
      </c>
      <c r="D185" s="238" t="s">
        <v>746</v>
      </c>
      <c r="E185" s="239" t="s">
        <v>9</v>
      </c>
      <c r="F185" s="240" t="s">
        <v>747</v>
      </c>
      <c r="G185" s="237"/>
      <c r="H185" s="237" t="s">
        <v>748</v>
      </c>
      <c r="I185" s="237"/>
      <c r="J185" s="240" t="s">
        <v>50</v>
      </c>
      <c r="K185" s="237" t="s">
        <v>749</v>
      </c>
      <c r="L185" s="248">
        <v>44551</v>
      </c>
      <c r="M185" s="249">
        <v>254545</v>
      </c>
      <c r="N185" s="237">
        <v>1</v>
      </c>
      <c r="O185" s="250">
        <f t="shared" si="7"/>
        <v>254545</v>
      </c>
      <c r="P185" s="250">
        <v>275000</v>
      </c>
      <c r="Q185" s="250">
        <f t="shared" si="8"/>
        <v>275000</v>
      </c>
    </row>
    <row r="186" spans="2:17">
      <c r="B186" s="200">
        <v>183</v>
      </c>
      <c r="C186" s="237" t="s">
        <v>750</v>
      </c>
      <c r="D186" s="238" t="s">
        <v>746</v>
      </c>
      <c r="E186" s="239" t="s">
        <v>9</v>
      </c>
      <c r="F186" s="240" t="s">
        <v>751</v>
      </c>
      <c r="G186" s="237"/>
      <c r="H186" s="237" t="s">
        <v>752</v>
      </c>
      <c r="I186" s="237"/>
      <c r="J186" s="240" t="s">
        <v>50</v>
      </c>
      <c r="K186" s="237" t="s">
        <v>753</v>
      </c>
      <c r="L186" s="248">
        <v>44551</v>
      </c>
      <c r="M186" s="249">
        <v>254545</v>
      </c>
      <c r="N186" s="237">
        <v>1</v>
      </c>
      <c r="O186" s="250">
        <f t="shared" si="7"/>
        <v>254545</v>
      </c>
      <c r="P186" s="250">
        <v>275000</v>
      </c>
      <c r="Q186" s="250">
        <f t="shared" si="8"/>
        <v>275000</v>
      </c>
    </row>
    <row r="187" spans="2:17">
      <c r="B187" s="200">
        <v>184</v>
      </c>
      <c r="C187" s="237" t="s">
        <v>754</v>
      </c>
      <c r="D187" s="238" t="s">
        <v>746</v>
      </c>
      <c r="E187" s="239" t="s">
        <v>9</v>
      </c>
      <c r="F187" s="240" t="s">
        <v>679</v>
      </c>
      <c r="G187" s="237"/>
      <c r="H187" s="237" t="s">
        <v>755</v>
      </c>
      <c r="I187" s="237"/>
      <c r="J187" s="240" t="s">
        <v>50</v>
      </c>
      <c r="K187" s="237" t="s">
        <v>756</v>
      </c>
      <c r="L187" s="248">
        <v>44551</v>
      </c>
      <c r="M187" s="249">
        <v>254545</v>
      </c>
      <c r="N187" s="237">
        <v>1</v>
      </c>
      <c r="O187" s="250">
        <f t="shared" si="7"/>
        <v>254545</v>
      </c>
      <c r="P187" s="250">
        <v>275000</v>
      </c>
      <c r="Q187" s="250">
        <f t="shared" si="8"/>
        <v>275000</v>
      </c>
    </row>
    <row r="188" spans="2:17">
      <c r="B188" s="200">
        <v>185</v>
      </c>
      <c r="C188" s="237" t="s">
        <v>757</v>
      </c>
      <c r="D188" s="238" t="s">
        <v>746</v>
      </c>
      <c r="E188" s="239" t="s">
        <v>9</v>
      </c>
      <c r="F188" s="240" t="s">
        <v>758</v>
      </c>
      <c r="G188" s="237"/>
      <c r="H188" s="237" t="s">
        <v>755</v>
      </c>
      <c r="I188" s="237"/>
      <c r="J188" s="240" t="s">
        <v>50</v>
      </c>
      <c r="K188" s="237" t="s">
        <v>759</v>
      </c>
      <c r="L188" s="248">
        <v>44551</v>
      </c>
      <c r="M188" s="249">
        <v>254545</v>
      </c>
      <c r="N188" s="237">
        <v>1</v>
      </c>
      <c r="O188" s="250">
        <f t="shared" si="7"/>
        <v>254545</v>
      </c>
      <c r="P188" s="250">
        <v>275000</v>
      </c>
      <c r="Q188" s="250">
        <f t="shared" si="8"/>
        <v>275000</v>
      </c>
    </row>
    <row r="189" spans="2:17">
      <c r="B189" s="200">
        <v>186</v>
      </c>
      <c r="C189" s="237" t="s">
        <v>760</v>
      </c>
      <c r="D189" s="238" t="s">
        <v>746</v>
      </c>
      <c r="E189" s="239" t="s">
        <v>9</v>
      </c>
      <c r="F189" s="240" t="s">
        <v>761</v>
      </c>
      <c r="G189" s="237"/>
      <c r="H189" s="237" t="s">
        <v>755</v>
      </c>
      <c r="I189" s="237"/>
      <c r="J189" s="240" t="s">
        <v>50</v>
      </c>
      <c r="K189" s="237" t="s">
        <v>762</v>
      </c>
      <c r="L189" s="248">
        <v>44551</v>
      </c>
      <c r="M189" s="249">
        <v>254545</v>
      </c>
      <c r="N189" s="237">
        <v>6</v>
      </c>
      <c r="O189" s="250">
        <f t="shared" ref="O189:O195" si="9">N189*M189</f>
        <v>1527270</v>
      </c>
      <c r="P189" s="250">
        <v>275000</v>
      </c>
      <c r="Q189" s="250">
        <f t="shared" si="8"/>
        <v>1650000</v>
      </c>
    </row>
    <row r="190" spans="2:17">
      <c r="B190" s="200">
        <v>187</v>
      </c>
      <c r="C190" s="237" t="s">
        <v>763</v>
      </c>
      <c r="D190" s="238" t="s">
        <v>764</v>
      </c>
      <c r="E190" s="239" t="s">
        <v>9</v>
      </c>
      <c r="F190" s="240" t="s">
        <v>765</v>
      </c>
      <c r="G190" s="237"/>
      <c r="H190" s="237" t="s">
        <v>766</v>
      </c>
      <c r="I190" s="237"/>
      <c r="J190" s="240" t="s">
        <v>50</v>
      </c>
      <c r="K190" s="237" t="s">
        <v>767</v>
      </c>
      <c r="L190" s="248">
        <v>44553</v>
      </c>
      <c r="M190" s="249">
        <v>254545</v>
      </c>
      <c r="N190" s="237">
        <v>1</v>
      </c>
      <c r="O190" s="250">
        <f t="shared" si="9"/>
        <v>254545</v>
      </c>
      <c r="P190" s="250">
        <v>275000</v>
      </c>
      <c r="Q190" s="250">
        <f t="shared" si="8"/>
        <v>275000</v>
      </c>
    </row>
    <row r="191" spans="2:17">
      <c r="B191" s="200">
        <v>188</v>
      </c>
      <c r="C191" s="237" t="s">
        <v>768</v>
      </c>
      <c r="D191" s="238" t="s">
        <v>769</v>
      </c>
      <c r="E191" s="239" t="s">
        <v>9</v>
      </c>
      <c r="F191" s="240" t="s">
        <v>770</v>
      </c>
      <c r="G191" s="237"/>
      <c r="H191" s="237" t="s">
        <v>771</v>
      </c>
      <c r="I191" s="237"/>
      <c r="J191" s="240" t="s">
        <v>50</v>
      </c>
      <c r="K191" s="237" t="s">
        <v>772</v>
      </c>
      <c r="L191" s="248">
        <v>44559</v>
      </c>
      <c r="M191" s="249">
        <v>254545</v>
      </c>
      <c r="N191" s="237">
        <v>5</v>
      </c>
      <c r="O191" s="250">
        <f t="shared" si="9"/>
        <v>1272725</v>
      </c>
      <c r="P191" s="250">
        <v>275000</v>
      </c>
      <c r="Q191" s="250">
        <f t="shared" si="8"/>
        <v>1375000</v>
      </c>
    </row>
    <row r="192" spans="2:17">
      <c r="B192" s="200">
        <v>189</v>
      </c>
      <c r="C192" s="237" t="s">
        <v>773</v>
      </c>
      <c r="D192" s="238" t="s">
        <v>774</v>
      </c>
      <c r="E192" s="239" t="s">
        <v>9</v>
      </c>
      <c r="F192" s="240" t="s">
        <v>775</v>
      </c>
      <c r="G192" s="237"/>
      <c r="H192" s="237" t="s">
        <v>776</v>
      </c>
      <c r="I192" s="237"/>
      <c r="J192" s="240" t="s">
        <v>50</v>
      </c>
      <c r="K192" s="237" t="s">
        <v>777</v>
      </c>
      <c r="L192" s="248">
        <v>44561</v>
      </c>
      <c r="M192" s="249">
        <v>254545</v>
      </c>
      <c r="N192" s="237">
        <v>1</v>
      </c>
      <c r="O192" s="250">
        <f t="shared" si="9"/>
        <v>254545</v>
      </c>
      <c r="P192" s="250">
        <v>275000</v>
      </c>
      <c r="Q192" s="250">
        <f t="shared" si="8"/>
        <v>275000</v>
      </c>
    </row>
    <row r="193" spans="2:17">
      <c r="B193" s="200">
        <v>190</v>
      </c>
      <c r="C193" s="237" t="s">
        <v>778</v>
      </c>
      <c r="D193" s="238" t="s">
        <v>779</v>
      </c>
      <c r="E193" s="239" t="s">
        <v>9</v>
      </c>
      <c r="F193" s="240" t="s">
        <v>780</v>
      </c>
      <c r="G193" s="237"/>
      <c r="H193" s="237" t="s">
        <v>776</v>
      </c>
      <c r="I193" s="237"/>
      <c r="J193" s="240" t="s">
        <v>50</v>
      </c>
      <c r="K193" s="237" t="s">
        <v>781</v>
      </c>
      <c r="L193" s="248">
        <v>44554</v>
      </c>
      <c r="M193" s="249">
        <v>254545</v>
      </c>
      <c r="N193" s="237">
        <v>5</v>
      </c>
      <c r="O193" s="250">
        <f t="shared" si="9"/>
        <v>1272725</v>
      </c>
      <c r="P193" s="250">
        <v>275000</v>
      </c>
      <c r="Q193" s="250">
        <f t="shared" si="8"/>
        <v>1375000</v>
      </c>
    </row>
    <row r="194" spans="2:17">
      <c r="B194" s="200">
        <v>191</v>
      </c>
      <c r="C194" s="237" t="s">
        <v>782</v>
      </c>
      <c r="D194" s="238" t="s">
        <v>779</v>
      </c>
      <c r="E194" s="239" t="s">
        <v>9</v>
      </c>
      <c r="F194" s="240" t="s">
        <v>349</v>
      </c>
      <c r="G194" s="237"/>
      <c r="H194" s="237" t="s">
        <v>783</v>
      </c>
      <c r="I194" s="237"/>
      <c r="J194" s="240" t="s">
        <v>50</v>
      </c>
      <c r="K194" s="237" t="s">
        <v>784</v>
      </c>
      <c r="L194" s="248">
        <v>44554</v>
      </c>
      <c r="M194" s="249">
        <v>254545</v>
      </c>
      <c r="N194" s="237">
        <v>3</v>
      </c>
      <c r="O194" s="250">
        <f t="shared" si="9"/>
        <v>763635</v>
      </c>
      <c r="P194" s="250">
        <v>275000</v>
      </c>
      <c r="Q194" s="250">
        <f t="shared" si="8"/>
        <v>825000</v>
      </c>
    </row>
    <row r="195" spans="2:17">
      <c r="B195" s="200">
        <v>192</v>
      </c>
      <c r="C195" s="237" t="s">
        <v>785</v>
      </c>
      <c r="D195" s="238" t="s">
        <v>779</v>
      </c>
      <c r="E195" s="239" t="s">
        <v>9</v>
      </c>
      <c r="F195" s="240" t="s">
        <v>786</v>
      </c>
      <c r="G195" s="237"/>
      <c r="H195" s="237" t="s">
        <v>776</v>
      </c>
      <c r="I195" s="237"/>
      <c r="J195" s="240" t="s">
        <v>50</v>
      </c>
      <c r="K195" s="237" t="s">
        <v>787</v>
      </c>
      <c r="L195" s="248">
        <v>44554</v>
      </c>
      <c r="M195" s="249">
        <v>254545</v>
      </c>
      <c r="N195" s="237">
        <v>8</v>
      </c>
      <c r="O195" s="250">
        <f t="shared" si="9"/>
        <v>2036360</v>
      </c>
      <c r="P195" s="250">
        <v>275000</v>
      </c>
      <c r="Q195" s="250">
        <f t="shared" si="8"/>
        <v>2200000</v>
      </c>
    </row>
    <row r="196" spans="2:17">
      <c r="B196" s="200">
        <v>193</v>
      </c>
      <c r="C196" s="237" t="s">
        <v>788</v>
      </c>
      <c r="D196" s="238">
        <v>80942</v>
      </c>
      <c r="E196" s="255" t="s">
        <v>17</v>
      </c>
      <c r="F196" s="255" t="s">
        <v>88</v>
      </c>
      <c r="G196" s="256"/>
      <c r="H196" s="256" t="s">
        <v>789</v>
      </c>
      <c r="I196" s="256"/>
      <c r="J196" s="255" t="s">
        <v>85</v>
      </c>
      <c r="K196" s="256" t="s">
        <v>90</v>
      </c>
      <c r="L196" s="248">
        <v>44557</v>
      </c>
      <c r="M196" s="257">
        <v>222727</v>
      </c>
      <c r="N196" s="258">
        <v>49</v>
      </c>
      <c r="O196" s="257">
        <f t="shared" ref="O196:O197" si="10">SUM(M196*N196)</f>
        <v>10913623</v>
      </c>
      <c r="P196" s="258">
        <v>279090.90999999997</v>
      </c>
      <c r="Q196" s="258">
        <f t="shared" si="8"/>
        <v>13675454.589999998</v>
      </c>
    </row>
    <row r="197" spans="2:17">
      <c r="B197" s="200">
        <v>194</v>
      </c>
      <c r="C197" s="237" t="s">
        <v>790</v>
      </c>
      <c r="D197" s="238">
        <v>80942</v>
      </c>
      <c r="E197" s="255" t="s">
        <v>17</v>
      </c>
      <c r="F197" s="255" t="s">
        <v>88</v>
      </c>
      <c r="G197" s="256"/>
      <c r="H197" s="256" t="s">
        <v>789</v>
      </c>
      <c r="I197" s="256"/>
      <c r="J197" s="255" t="s">
        <v>92</v>
      </c>
      <c r="K197" s="256" t="s">
        <v>93</v>
      </c>
      <c r="L197" s="248">
        <v>44557</v>
      </c>
      <c r="M197" s="257">
        <v>46364</v>
      </c>
      <c r="N197" s="258">
        <v>49</v>
      </c>
      <c r="O197" s="257">
        <f t="shared" si="10"/>
        <v>2271836</v>
      </c>
      <c r="P197" s="258">
        <v>58181.82</v>
      </c>
      <c r="Q197" s="258">
        <f t="shared" si="8"/>
        <v>2850909.18</v>
      </c>
    </row>
    <row r="198" spans="2:17">
      <c r="B198" s="200">
        <v>195</v>
      </c>
      <c r="C198" s="237" t="s">
        <v>791</v>
      </c>
      <c r="D198" s="238">
        <v>4800439628</v>
      </c>
      <c r="E198" s="239" t="s">
        <v>12</v>
      </c>
      <c r="F198" s="240" t="s">
        <v>466</v>
      </c>
      <c r="G198" s="237"/>
      <c r="H198" s="237" t="s">
        <v>792</v>
      </c>
      <c r="I198" s="237"/>
      <c r="J198" s="240" t="s">
        <v>85</v>
      </c>
      <c r="K198" s="237" t="s">
        <v>793</v>
      </c>
      <c r="L198" s="248">
        <v>44559</v>
      </c>
      <c r="M198" s="249">
        <v>222727</v>
      </c>
      <c r="N198" s="237">
        <v>50</v>
      </c>
      <c r="O198" s="257">
        <f t="shared" ref="O198" si="11">SUM(M198*N198)</f>
        <v>11136350</v>
      </c>
      <c r="P198" s="258">
        <v>265136</v>
      </c>
      <c r="Q198" s="258">
        <f t="shared" si="8"/>
        <v>13256800</v>
      </c>
    </row>
    <row r="199" spans="2:17">
      <c r="B199" s="200">
        <v>196</v>
      </c>
      <c r="C199" s="237" t="s">
        <v>794</v>
      </c>
      <c r="D199" s="238" t="s">
        <v>795</v>
      </c>
      <c r="E199" s="239" t="s">
        <v>9</v>
      </c>
      <c r="F199" s="240" t="s">
        <v>796</v>
      </c>
      <c r="G199" s="237"/>
      <c r="H199" s="237" t="s">
        <v>797</v>
      </c>
      <c r="I199" s="237"/>
      <c r="J199" s="240" t="s">
        <v>50</v>
      </c>
      <c r="K199" s="237" t="s">
        <v>798</v>
      </c>
      <c r="L199" s="248">
        <v>44561</v>
      </c>
      <c r="M199" s="249">
        <v>254545</v>
      </c>
      <c r="N199" s="237">
        <v>1</v>
      </c>
      <c r="O199" s="250">
        <f t="shared" ref="O199:O200" si="12">N199*M199</f>
        <v>254545</v>
      </c>
      <c r="P199" s="250">
        <v>275000</v>
      </c>
      <c r="Q199" s="250">
        <f t="shared" si="8"/>
        <v>275000</v>
      </c>
    </row>
    <row r="200" spans="2:17">
      <c r="B200" s="200">
        <v>197</v>
      </c>
      <c r="C200" s="237" t="s">
        <v>799</v>
      </c>
      <c r="D200" s="238" t="s">
        <v>795</v>
      </c>
      <c r="E200" s="239" t="s">
        <v>9</v>
      </c>
      <c r="F200" s="240" t="s">
        <v>800</v>
      </c>
      <c r="G200" s="237"/>
      <c r="H200" s="237" t="s">
        <v>801</v>
      </c>
      <c r="I200" s="237"/>
      <c r="J200" s="240" t="s">
        <v>50</v>
      </c>
      <c r="K200" s="237" t="s">
        <v>802</v>
      </c>
      <c r="L200" s="248">
        <v>44561</v>
      </c>
      <c r="M200" s="249">
        <v>254545</v>
      </c>
      <c r="N200" s="237">
        <v>1</v>
      </c>
      <c r="O200" s="250">
        <f t="shared" si="12"/>
        <v>254545</v>
      </c>
      <c r="P200" s="250">
        <v>275000</v>
      </c>
      <c r="Q200" s="250">
        <f t="shared" si="8"/>
        <v>275000</v>
      </c>
    </row>
    <row r="201" spans="2:17">
      <c r="B201" s="200">
        <v>198</v>
      </c>
      <c r="C201" s="241" t="s">
        <v>803</v>
      </c>
      <c r="D201" s="242" t="s">
        <v>804</v>
      </c>
      <c r="E201" s="243" t="s">
        <v>9</v>
      </c>
      <c r="F201" s="244" t="s">
        <v>805</v>
      </c>
      <c r="G201" s="241"/>
      <c r="H201" s="241" t="s">
        <v>806</v>
      </c>
      <c r="I201" s="241"/>
      <c r="J201" s="244" t="s">
        <v>50</v>
      </c>
      <c r="K201" s="241" t="s">
        <v>807</v>
      </c>
      <c r="L201" s="251">
        <v>44564</v>
      </c>
      <c r="M201" s="252">
        <v>254545</v>
      </c>
      <c r="N201" s="241">
        <v>2</v>
      </c>
      <c r="O201" s="253">
        <f>M201*N201</f>
        <v>509090</v>
      </c>
      <c r="P201" s="253">
        <v>275000</v>
      </c>
      <c r="Q201" s="253">
        <f t="shared" si="8"/>
        <v>550000</v>
      </c>
    </row>
    <row r="202" spans="2:17">
      <c r="B202" s="200">
        <v>199</v>
      </c>
      <c r="C202" s="241" t="s">
        <v>808</v>
      </c>
      <c r="D202" s="242" t="s">
        <v>804</v>
      </c>
      <c r="E202" s="243" t="s">
        <v>9</v>
      </c>
      <c r="F202" s="244" t="s">
        <v>809</v>
      </c>
      <c r="G202" s="241"/>
      <c r="H202" s="241" t="s">
        <v>810</v>
      </c>
      <c r="I202" s="241"/>
      <c r="J202" s="244" t="s">
        <v>50</v>
      </c>
      <c r="K202" s="241" t="s">
        <v>811</v>
      </c>
      <c r="L202" s="251">
        <v>44564</v>
      </c>
      <c r="M202" s="252">
        <v>254545</v>
      </c>
      <c r="N202" s="241">
        <v>3</v>
      </c>
      <c r="O202" s="253">
        <f>M202*N202</f>
        <v>763635</v>
      </c>
      <c r="P202" s="253">
        <v>275001</v>
      </c>
      <c r="Q202" s="253">
        <f t="shared" si="8"/>
        <v>825003</v>
      </c>
    </row>
    <row r="203" spans="2:17">
      <c r="B203" s="200">
        <v>200</v>
      </c>
      <c r="C203" s="241" t="s">
        <v>812</v>
      </c>
      <c r="D203" s="242" t="s">
        <v>813</v>
      </c>
      <c r="E203" s="243" t="s">
        <v>10</v>
      </c>
      <c r="F203" s="244" t="s">
        <v>814</v>
      </c>
      <c r="G203" s="241" t="s">
        <v>815</v>
      </c>
      <c r="H203" s="241" t="s">
        <v>2</v>
      </c>
      <c r="I203" s="241"/>
      <c r="J203" s="244" t="s">
        <v>816</v>
      </c>
      <c r="K203" s="241" t="s">
        <v>817</v>
      </c>
      <c r="L203" s="251">
        <v>44568</v>
      </c>
      <c r="M203" s="252">
        <v>22727</v>
      </c>
      <c r="N203" s="241">
        <v>150</v>
      </c>
      <c r="O203" s="253">
        <f t="shared" ref="O203:O352" si="13">M203*N203</f>
        <v>3409050</v>
      </c>
      <c r="P203" s="253">
        <v>29090.91</v>
      </c>
      <c r="Q203" s="253">
        <f t="shared" ref="Q203:Q356" si="14">P203*N203</f>
        <v>4363636.5</v>
      </c>
    </row>
    <row r="204" spans="2:17">
      <c r="B204" s="200">
        <v>201</v>
      </c>
      <c r="C204" s="241" t="s">
        <v>818</v>
      </c>
      <c r="D204" s="242" t="s">
        <v>819</v>
      </c>
      <c r="E204" s="243" t="s">
        <v>9</v>
      </c>
      <c r="F204" s="244" t="s">
        <v>820</v>
      </c>
      <c r="G204" s="241"/>
      <c r="H204" s="241" t="s">
        <v>821</v>
      </c>
      <c r="I204" s="241"/>
      <c r="J204" s="244" t="s">
        <v>50</v>
      </c>
      <c r="K204" s="241" t="s">
        <v>822</v>
      </c>
      <c r="L204" s="251">
        <v>44567</v>
      </c>
      <c r="M204" s="252">
        <v>254545</v>
      </c>
      <c r="N204" s="241">
        <v>7</v>
      </c>
      <c r="O204" s="253">
        <f t="shared" si="13"/>
        <v>1781815</v>
      </c>
      <c r="P204" s="253">
        <v>275000</v>
      </c>
      <c r="Q204" s="253">
        <f t="shared" si="14"/>
        <v>1925000</v>
      </c>
    </row>
    <row r="205" spans="2:17">
      <c r="B205" s="200">
        <v>202</v>
      </c>
      <c r="C205" s="241" t="s">
        <v>823</v>
      </c>
      <c r="D205" s="242" t="s">
        <v>824</v>
      </c>
      <c r="E205" s="243" t="s">
        <v>9</v>
      </c>
      <c r="F205" s="244" t="s">
        <v>825</v>
      </c>
      <c r="G205" s="241"/>
      <c r="H205" s="241" t="s">
        <v>826</v>
      </c>
      <c r="I205" s="241"/>
      <c r="J205" s="244" t="s">
        <v>50</v>
      </c>
      <c r="K205" s="241" t="s">
        <v>827</v>
      </c>
      <c r="L205" s="251">
        <v>44568</v>
      </c>
      <c r="M205" s="252">
        <v>254545</v>
      </c>
      <c r="N205" s="241">
        <v>3</v>
      </c>
      <c r="O205" s="253">
        <f t="shared" si="13"/>
        <v>763635</v>
      </c>
      <c r="P205" s="253">
        <v>275000</v>
      </c>
      <c r="Q205" s="253">
        <f t="shared" si="14"/>
        <v>825000</v>
      </c>
    </row>
    <row r="206" spans="2:17">
      <c r="B206" s="200">
        <v>203</v>
      </c>
      <c r="C206" s="241" t="s">
        <v>828</v>
      </c>
      <c r="D206" s="242" t="s">
        <v>824</v>
      </c>
      <c r="E206" s="243" t="s">
        <v>9</v>
      </c>
      <c r="F206" s="244" t="s">
        <v>829</v>
      </c>
      <c r="G206" s="241"/>
      <c r="H206" s="241" t="s">
        <v>826</v>
      </c>
      <c r="I206" s="241"/>
      <c r="J206" s="244" t="s">
        <v>50</v>
      </c>
      <c r="K206" s="241" t="s">
        <v>830</v>
      </c>
      <c r="L206" s="251">
        <v>44568</v>
      </c>
      <c r="M206" s="252">
        <v>254545</v>
      </c>
      <c r="N206" s="241">
        <v>3</v>
      </c>
      <c r="O206" s="253">
        <f t="shared" si="13"/>
        <v>763635</v>
      </c>
      <c r="P206" s="253">
        <v>275000</v>
      </c>
      <c r="Q206" s="253">
        <f t="shared" si="14"/>
        <v>825000</v>
      </c>
    </row>
    <row r="207" spans="2:17">
      <c r="B207" s="200">
        <v>204</v>
      </c>
      <c r="C207" s="241" t="s">
        <v>831</v>
      </c>
      <c r="D207" s="242" t="s">
        <v>824</v>
      </c>
      <c r="E207" s="243" t="s">
        <v>9</v>
      </c>
      <c r="F207" s="244" t="s">
        <v>832</v>
      </c>
      <c r="G207" s="241"/>
      <c r="H207" s="241" t="s">
        <v>826</v>
      </c>
      <c r="I207" s="241"/>
      <c r="J207" s="244" t="s">
        <v>50</v>
      </c>
      <c r="K207" s="241" t="s">
        <v>833</v>
      </c>
      <c r="L207" s="251">
        <v>44568</v>
      </c>
      <c r="M207" s="252">
        <v>254545</v>
      </c>
      <c r="N207" s="241">
        <v>5</v>
      </c>
      <c r="O207" s="253">
        <f t="shared" si="13"/>
        <v>1272725</v>
      </c>
      <c r="P207" s="253">
        <v>275000</v>
      </c>
      <c r="Q207" s="253">
        <f t="shared" si="14"/>
        <v>1375000</v>
      </c>
    </row>
    <row r="208" spans="2:17">
      <c r="B208" s="200">
        <v>205</v>
      </c>
      <c r="C208" s="241" t="s">
        <v>834</v>
      </c>
      <c r="D208" s="242" t="s">
        <v>835</v>
      </c>
      <c r="E208" s="243" t="s">
        <v>9</v>
      </c>
      <c r="F208" s="244" t="s">
        <v>836</v>
      </c>
      <c r="G208" s="241"/>
      <c r="H208" s="241" t="s">
        <v>837</v>
      </c>
      <c r="I208" s="241"/>
      <c r="J208" s="244" t="s">
        <v>50</v>
      </c>
      <c r="K208" s="241" t="s">
        <v>838</v>
      </c>
      <c r="L208" s="251">
        <v>44572</v>
      </c>
      <c r="M208" s="252">
        <v>254545</v>
      </c>
      <c r="N208" s="241">
        <v>2</v>
      </c>
      <c r="O208" s="253">
        <f t="shared" si="13"/>
        <v>509090</v>
      </c>
      <c r="P208" s="253">
        <v>275000</v>
      </c>
      <c r="Q208" s="253">
        <f t="shared" si="14"/>
        <v>550000</v>
      </c>
    </row>
    <row r="209" spans="2:17">
      <c r="B209" s="200">
        <v>206</v>
      </c>
      <c r="C209" s="241" t="s">
        <v>839</v>
      </c>
      <c r="D209" s="242" t="s">
        <v>835</v>
      </c>
      <c r="E209" s="243" t="s">
        <v>9</v>
      </c>
      <c r="F209" s="244" t="s">
        <v>840</v>
      </c>
      <c r="G209" s="241"/>
      <c r="H209" s="241" t="s">
        <v>837</v>
      </c>
      <c r="I209" s="241"/>
      <c r="J209" s="244" t="s">
        <v>50</v>
      </c>
      <c r="K209" s="241" t="s">
        <v>841</v>
      </c>
      <c r="L209" s="251">
        <v>44572</v>
      </c>
      <c r="M209" s="252">
        <v>254545</v>
      </c>
      <c r="N209" s="241">
        <v>1</v>
      </c>
      <c r="O209" s="253">
        <f t="shared" si="13"/>
        <v>254545</v>
      </c>
      <c r="P209" s="253">
        <v>275000</v>
      </c>
      <c r="Q209" s="253">
        <f t="shared" si="14"/>
        <v>275000</v>
      </c>
    </row>
    <row r="210" spans="2:17">
      <c r="B210" s="200">
        <v>207</v>
      </c>
      <c r="C210" s="241" t="s">
        <v>842</v>
      </c>
      <c r="D210" s="242" t="s">
        <v>835</v>
      </c>
      <c r="E210" s="243" t="s">
        <v>9</v>
      </c>
      <c r="F210" s="244" t="s">
        <v>843</v>
      </c>
      <c r="G210" s="241"/>
      <c r="H210" s="241" t="s">
        <v>837</v>
      </c>
      <c r="I210" s="241"/>
      <c r="J210" s="244" t="s">
        <v>50</v>
      </c>
      <c r="K210" s="241" t="s">
        <v>844</v>
      </c>
      <c r="L210" s="251">
        <v>44572</v>
      </c>
      <c r="M210" s="252">
        <v>254545</v>
      </c>
      <c r="N210" s="241">
        <v>1</v>
      </c>
      <c r="O210" s="253">
        <f t="shared" si="13"/>
        <v>254545</v>
      </c>
      <c r="P210" s="253">
        <v>275000</v>
      </c>
      <c r="Q210" s="253">
        <f t="shared" si="14"/>
        <v>275000</v>
      </c>
    </row>
    <row r="211" spans="2:17">
      <c r="B211" s="200">
        <v>208</v>
      </c>
      <c r="C211" s="241" t="s">
        <v>845</v>
      </c>
      <c r="D211" s="242" t="s">
        <v>835</v>
      </c>
      <c r="E211" s="243" t="s">
        <v>9</v>
      </c>
      <c r="F211" s="244" t="s">
        <v>846</v>
      </c>
      <c r="G211" s="241"/>
      <c r="H211" s="241" t="s">
        <v>847</v>
      </c>
      <c r="I211" s="241"/>
      <c r="J211" s="244" t="s">
        <v>50</v>
      </c>
      <c r="K211" s="241" t="s">
        <v>848</v>
      </c>
      <c r="L211" s="251">
        <v>44572</v>
      </c>
      <c r="M211" s="252">
        <v>254545</v>
      </c>
      <c r="N211" s="241">
        <v>2</v>
      </c>
      <c r="O211" s="253">
        <f t="shared" si="13"/>
        <v>509090</v>
      </c>
      <c r="P211" s="253">
        <v>275000</v>
      </c>
      <c r="Q211" s="253">
        <f t="shared" si="14"/>
        <v>550000</v>
      </c>
    </row>
    <row r="212" spans="2:17">
      <c r="B212" s="200">
        <v>209</v>
      </c>
      <c r="C212" s="241" t="s">
        <v>849</v>
      </c>
      <c r="D212" s="242" t="s">
        <v>835</v>
      </c>
      <c r="E212" s="243" t="s">
        <v>9</v>
      </c>
      <c r="F212" s="244" t="s">
        <v>549</v>
      </c>
      <c r="G212" s="241"/>
      <c r="H212" s="241" t="s">
        <v>837</v>
      </c>
      <c r="I212" s="241"/>
      <c r="J212" s="244" t="s">
        <v>50</v>
      </c>
      <c r="K212" s="241" t="s">
        <v>850</v>
      </c>
      <c r="L212" s="251">
        <v>44572</v>
      </c>
      <c r="M212" s="252">
        <v>254545</v>
      </c>
      <c r="N212" s="241">
        <v>1</v>
      </c>
      <c r="O212" s="253">
        <f t="shared" si="13"/>
        <v>254545</v>
      </c>
      <c r="P212" s="253">
        <v>275000</v>
      </c>
      <c r="Q212" s="253">
        <f t="shared" si="14"/>
        <v>275000</v>
      </c>
    </row>
    <row r="213" spans="2:17">
      <c r="B213" s="200">
        <v>210</v>
      </c>
      <c r="C213" s="241" t="s">
        <v>851</v>
      </c>
      <c r="D213" s="242" t="s">
        <v>835</v>
      </c>
      <c r="E213" s="243" t="s">
        <v>9</v>
      </c>
      <c r="F213" s="244" t="s">
        <v>141</v>
      </c>
      <c r="G213" s="241"/>
      <c r="H213" s="241" t="s">
        <v>837</v>
      </c>
      <c r="I213" s="241"/>
      <c r="J213" s="244" t="s">
        <v>50</v>
      </c>
      <c r="K213" s="241" t="s">
        <v>852</v>
      </c>
      <c r="L213" s="251">
        <v>44572</v>
      </c>
      <c r="M213" s="252">
        <v>254545</v>
      </c>
      <c r="N213" s="241">
        <v>1</v>
      </c>
      <c r="O213" s="253">
        <f t="shared" si="13"/>
        <v>254545</v>
      </c>
      <c r="P213" s="253">
        <v>275000</v>
      </c>
      <c r="Q213" s="253">
        <f t="shared" si="14"/>
        <v>275000</v>
      </c>
    </row>
    <row r="214" spans="2:17">
      <c r="B214" s="200">
        <v>211</v>
      </c>
      <c r="C214" s="241" t="s">
        <v>853</v>
      </c>
      <c r="D214" s="242">
        <v>4800440725</v>
      </c>
      <c r="E214" s="243" t="s">
        <v>12</v>
      </c>
      <c r="F214" s="244" t="s">
        <v>466</v>
      </c>
      <c r="G214" s="241"/>
      <c r="H214" s="241" t="s">
        <v>854</v>
      </c>
      <c r="I214" s="241"/>
      <c r="J214" s="244" t="s">
        <v>85</v>
      </c>
      <c r="K214" s="241" t="s">
        <v>855</v>
      </c>
      <c r="L214" s="251">
        <v>44574</v>
      </c>
      <c r="M214" s="252">
        <v>222727</v>
      </c>
      <c r="N214" s="241">
        <v>60</v>
      </c>
      <c r="O214" s="253">
        <f t="shared" si="13"/>
        <v>13363620</v>
      </c>
      <c r="P214" s="253">
        <v>265136</v>
      </c>
      <c r="Q214" s="253">
        <f t="shared" si="14"/>
        <v>15908160</v>
      </c>
    </row>
    <row r="215" spans="2:17">
      <c r="B215" s="200">
        <v>212</v>
      </c>
      <c r="C215" s="241" t="s">
        <v>856</v>
      </c>
      <c r="D215" s="242" t="s">
        <v>857</v>
      </c>
      <c r="E215" s="243" t="s">
        <v>9</v>
      </c>
      <c r="F215" s="244" t="s">
        <v>858</v>
      </c>
      <c r="G215" s="241"/>
      <c r="H215" s="241" t="s">
        <v>859</v>
      </c>
      <c r="I215" s="241"/>
      <c r="J215" s="244" t="s">
        <v>50</v>
      </c>
      <c r="K215" s="241" t="s">
        <v>860</v>
      </c>
      <c r="L215" s="251">
        <v>44579</v>
      </c>
      <c r="M215" s="252">
        <v>254545</v>
      </c>
      <c r="N215" s="241">
        <v>4</v>
      </c>
      <c r="O215" s="253">
        <f t="shared" si="13"/>
        <v>1018180</v>
      </c>
      <c r="P215" s="253">
        <v>275000</v>
      </c>
      <c r="Q215" s="253">
        <f t="shared" si="14"/>
        <v>1100000</v>
      </c>
    </row>
    <row r="216" spans="2:17">
      <c r="B216" s="200">
        <v>213</v>
      </c>
      <c r="C216" s="241" t="s">
        <v>861</v>
      </c>
      <c r="D216" s="242" t="s">
        <v>857</v>
      </c>
      <c r="E216" s="243" t="s">
        <v>9</v>
      </c>
      <c r="F216" s="244" t="s">
        <v>862</v>
      </c>
      <c r="G216" s="241"/>
      <c r="H216" s="241" t="s">
        <v>863</v>
      </c>
      <c r="I216" s="241"/>
      <c r="J216" s="244" t="s">
        <v>50</v>
      </c>
      <c r="K216" s="241" t="s">
        <v>864</v>
      </c>
      <c r="L216" s="251">
        <v>44579</v>
      </c>
      <c r="M216" s="252">
        <v>254545</v>
      </c>
      <c r="N216" s="241">
        <v>3</v>
      </c>
      <c r="O216" s="253">
        <f t="shared" si="13"/>
        <v>763635</v>
      </c>
      <c r="P216" s="253">
        <v>275000</v>
      </c>
      <c r="Q216" s="253">
        <f t="shared" si="14"/>
        <v>825000</v>
      </c>
    </row>
    <row r="217" spans="2:17">
      <c r="B217" s="200">
        <v>214</v>
      </c>
      <c r="C217" s="241" t="s">
        <v>865</v>
      </c>
      <c r="D217" s="242" t="s">
        <v>857</v>
      </c>
      <c r="E217" s="243" t="s">
        <v>9</v>
      </c>
      <c r="F217" s="244" t="s">
        <v>866</v>
      </c>
      <c r="G217" s="241"/>
      <c r="H217" s="241" t="s">
        <v>837</v>
      </c>
      <c r="I217" s="241"/>
      <c r="J217" s="244" t="s">
        <v>50</v>
      </c>
      <c r="K217" s="241" t="s">
        <v>867</v>
      </c>
      <c r="L217" s="251">
        <v>44579</v>
      </c>
      <c r="M217" s="252">
        <v>254545</v>
      </c>
      <c r="N217" s="241">
        <v>2</v>
      </c>
      <c r="O217" s="253">
        <f t="shared" si="13"/>
        <v>509090</v>
      </c>
      <c r="P217" s="253">
        <v>275000</v>
      </c>
      <c r="Q217" s="253">
        <f t="shared" si="14"/>
        <v>550000</v>
      </c>
    </row>
    <row r="218" spans="2:17">
      <c r="B218" s="200">
        <v>215</v>
      </c>
      <c r="C218" s="241" t="s">
        <v>868</v>
      </c>
      <c r="D218" s="242" t="s">
        <v>869</v>
      </c>
      <c r="E218" s="243" t="s">
        <v>9</v>
      </c>
      <c r="F218" s="244" t="s">
        <v>870</v>
      </c>
      <c r="G218" s="241"/>
      <c r="H218" s="241" t="s">
        <v>871</v>
      </c>
      <c r="I218" s="241"/>
      <c r="J218" s="244" t="s">
        <v>50</v>
      </c>
      <c r="K218" s="241" t="s">
        <v>872</v>
      </c>
      <c r="L218" s="251">
        <v>44579</v>
      </c>
      <c r="M218" s="252">
        <v>254545</v>
      </c>
      <c r="N218" s="241">
        <v>1</v>
      </c>
      <c r="O218" s="253">
        <f t="shared" si="13"/>
        <v>254545</v>
      </c>
      <c r="P218" s="253">
        <v>275000</v>
      </c>
      <c r="Q218" s="253">
        <f t="shared" si="14"/>
        <v>275000</v>
      </c>
    </row>
    <row r="219" spans="2:17">
      <c r="B219" s="200">
        <v>216</v>
      </c>
      <c r="C219" s="241" t="s">
        <v>873</v>
      </c>
      <c r="D219" s="242" t="s">
        <v>874</v>
      </c>
      <c r="E219" s="243" t="s">
        <v>9</v>
      </c>
      <c r="F219" s="244" t="s">
        <v>875</v>
      </c>
      <c r="G219" s="241"/>
      <c r="H219" s="241" t="s">
        <v>876</v>
      </c>
      <c r="I219" s="241"/>
      <c r="J219" s="244" t="s">
        <v>50</v>
      </c>
      <c r="K219" s="241" t="s">
        <v>877</v>
      </c>
      <c r="L219" s="251">
        <v>44580</v>
      </c>
      <c r="M219" s="252">
        <v>254545</v>
      </c>
      <c r="N219" s="241">
        <v>140</v>
      </c>
      <c r="O219" s="253">
        <f t="shared" si="13"/>
        <v>35636300</v>
      </c>
      <c r="P219" s="253">
        <v>275000</v>
      </c>
      <c r="Q219" s="253">
        <f t="shared" si="14"/>
        <v>38500000</v>
      </c>
    </row>
    <row r="220" spans="2:17">
      <c r="B220" s="200">
        <v>217</v>
      </c>
      <c r="C220" s="241" t="s">
        <v>878</v>
      </c>
      <c r="D220" s="242" t="s">
        <v>879</v>
      </c>
      <c r="E220" s="243" t="s">
        <v>11</v>
      </c>
      <c r="F220" s="244" t="s">
        <v>880</v>
      </c>
      <c r="G220" s="241"/>
      <c r="H220" s="241" t="s">
        <v>881</v>
      </c>
      <c r="I220" s="241"/>
      <c r="J220" s="244" t="s">
        <v>882</v>
      </c>
      <c r="K220" s="241" t="s">
        <v>883</v>
      </c>
      <c r="L220" s="251">
        <v>44585</v>
      </c>
      <c r="M220" s="252">
        <v>213150</v>
      </c>
      <c r="N220" s="241">
        <v>6</v>
      </c>
      <c r="O220" s="253">
        <f t="shared" si="13"/>
        <v>1278900</v>
      </c>
      <c r="P220" s="253">
        <v>232527</v>
      </c>
      <c r="Q220" s="253">
        <f t="shared" si="14"/>
        <v>1395162</v>
      </c>
    </row>
    <row r="221" spans="2:17">
      <c r="B221" s="200">
        <v>218</v>
      </c>
      <c r="C221" s="241" t="s">
        <v>884</v>
      </c>
      <c r="D221" s="242" t="s">
        <v>885</v>
      </c>
      <c r="E221" s="243" t="s">
        <v>11</v>
      </c>
      <c r="F221" s="244" t="s">
        <v>880</v>
      </c>
      <c r="G221" s="241"/>
      <c r="H221" s="241" t="s">
        <v>881</v>
      </c>
      <c r="I221" s="241"/>
      <c r="J221" s="244" t="s">
        <v>886</v>
      </c>
      <c r="K221" s="241" t="s">
        <v>887</v>
      </c>
      <c r="L221" s="251">
        <v>44585</v>
      </c>
      <c r="M221" s="252">
        <v>184875</v>
      </c>
      <c r="N221" s="241">
        <v>6</v>
      </c>
      <c r="O221" s="253">
        <f t="shared" si="13"/>
        <v>1109250</v>
      </c>
      <c r="P221" s="253">
        <v>201682</v>
      </c>
      <c r="Q221" s="253">
        <f t="shared" si="14"/>
        <v>1210092</v>
      </c>
    </row>
    <row r="222" spans="2:17">
      <c r="B222" s="200">
        <v>219</v>
      </c>
      <c r="C222" s="241" t="s">
        <v>888</v>
      </c>
      <c r="D222" s="242" t="s">
        <v>889</v>
      </c>
      <c r="E222" s="243" t="s">
        <v>19</v>
      </c>
      <c r="F222" s="244" t="s">
        <v>462</v>
      </c>
      <c r="G222" s="241"/>
      <c r="H222" s="241" t="s">
        <v>890</v>
      </c>
      <c r="I222" s="241"/>
      <c r="J222" s="244" t="s">
        <v>85</v>
      </c>
      <c r="K222" s="241" t="s">
        <v>891</v>
      </c>
      <c r="L222" s="251">
        <v>44586</v>
      </c>
      <c r="M222" s="252">
        <v>222727</v>
      </c>
      <c r="N222" s="241">
        <v>1</v>
      </c>
      <c r="O222" s="253">
        <f t="shared" si="13"/>
        <v>222727</v>
      </c>
      <c r="P222" s="253">
        <v>279090.90999999997</v>
      </c>
      <c r="Q222" s="253">
        <f t="shared" si="14"/>
        <v>279090.90999999997</v>
      </c>
    </row>
    <row r="223" spans="2:17">
      <c r="B223" s="200">
        <v>220</v>
      </c>
      <c r="C223" s="241" t="s">
        <v>892</v>
      </c>
      <c r="D223" s="242" t="s">
        <v>893</v>
      </c>
      <c r="E223" s="243" t="s">
        <v>9</v>
      </c>
      <c r="F223" s="244" t="s">
        <v>894</v>
      </c>
      <c r="G223" s="241"/>
      <c r="H223" s="241" t="s">
        <v>895</v>
      </c>
      <c r="I223" s="241"/>
      <c r="J223" s="244" t="s">
        <v>50</v>
      </c>
      <c r="K223" s="241" t="s">
        <v>896</v>
      </c>
      <c r="L223" s="251">
        <v>44579</v>
      </c>
      <c r="M223" s="252">
        <v>254545</v>
      </c>
      <c r="N223" s="241">
        <v>7</v>
      </c>
      <c r="O223" s="253">
        <f t="shared" si="13"/>
        <v>1781815</v>
      </c>
      <c r="P223" s="253">
        <v>275000</v>
      </c>
      <c r="Q223" s="253">
        <f t="shared" si="14"/>
        <v>1925000</v>
      </c>
    </row>
    <row r="224" spans="2:17">
      <c r="B224" s="200">
        <v>221</v>
      </c>
      <c r="C224" s="241" t="s">
        <v>897</v>
      </c>
      <c r="D224" s="242" t="s">
        <v>898</v>
      </c>
      <c r="E224" s="243" t="s">
        <v>11</v>
      </c>
      <c r="F224" s="244" t="s">
        <v>733</v>
      </c>
      <c r="G224" s="241"/>
      <c r="H224" s="241" t="s">
        <v>899</v>
      </c>
      <c r="I224" s="241"/>
      <c r="J224" s="244" t="s">
        <v>85</v>
      </c>
      <c r="K224" s="241" t="s">
        <v>735</v>
      </c>
      <c r="L224" s="251">
        <v>44587</v>
      </c>
      <c r="M224" s="252">
        <v>222727</v>
      </c>
      <c r="N224" s="241">
        <v>13</v>
      </c>
      <c r="O224" s="253">
        <f t="shared" si="13"/>
        <v>2895451</v>
      </c>
      <c r="P224" s="253">
        <v>297091</v>
      </c>
      <c r="Q224" s="253">
        <f t="shared" si="14"/>
        <v>3862183</v>
      </c>
    </row>
    <row r="225" spans="2:17">
      <c r="B225" s="200">
        <v>222</v>
      </c>
      <c r="C225" s="241" t="s">
        <v>900</v>
      </c>
      <c r="D225" s="242" t="s">
        <v>901</v>
      </c>
      <c r="E225" s="243" t="s">
        <v>9</v>
      </c>
      <c r="F225" s="243" t="s">
        <v>902</v>
      </c>
      <c r="G225" s="241"/>
      <c r="H225" s="241" t="s">
        <v>903</v>
      </c>
      <c r="I225" s="241"/>
      <c r="J225" s="244" t="s">
        <v>50</v>
      </c>
      <c r="K225" s="241" t="s">
        <v>904</v>
      </c>
      <c r="L225" s="251">
        <v>44588</v>
      </c>
      <c r="M225" s="252">
        <v>254545</v>
      </c>
      <c r="N225" s="241">
        <v>1</v>
      </c>
      <c r="O225" s="253">
        <f t="shared" si="13"/>
        <v>254545</v>
      </c>
      <c r="P225" s="253">
        <v>275000</v>
      </c>
      <c r="Q225" s="253">
        <f t="shared" si="14"/>
        <v>275000</v>
      </c>
    </row>
    <row r="226" spans="2:17">
      <c r="B226" s="200">
        <v>223</v>
      </c>
      <c r="C226" s="241" t="s">
        <v>905</v>
      </c>
      <c r="D226" s="242" t="s">
        <v>901</v>
      </c>
      <c r="E226" s="243" t="s">
        <v>9</v>
      </c>
      <c r="F226" s="243" t="s">
        <v>906</v>
      </c>
      <c r="G226" s="241"/>
      <c r="H226" s="241" t="s">
        <v>903</v>
      </c>
      <c r="I226" s="241"/>
      <c r="J226" s="244" t="s">
        <v>50</v>
      </c>
      <c r="K226" s="241" t="s">
        <v>907</v>
      </c>
      <c r="L226" s="251">
        <v>44588</v>
      </c>
      <c r="M226" s="252">
        <v>254545</v>
      </c>
      <c r="N226" s="241">
        <v>3</v>
      </c>
      <c r="O226" s="253">
        <f t="shared" si="13"/>
        <v>763635</v>
      </c>
      <c r="P226" s="253">
        <v>275000</v>
      </c>
      <c r="Q226" s="253">
        <f t="shared" si="14"/>
        <v>825000</v>
      </c>
    </row>
    <row r="227" spans="2:17">
      <c r="B227" s="200">
        <v>224</v>
      </c>
      <c r="C227" s="241" t="s">
        <v>908</v>
      </c>
      <c r="D227" s="242" t="s">
        <v>909</v>
      </c>
      <c r="E227" s="243" t="s">
        <v>10</v>
      </c>
      <c r="F227" s="244" t="s">
        <v>814</v>
      </c>
      <c r="G227" s="241" t="s">
        <v>910</v>
      </c>
      <c r="H227" s="241" t="s">
        <v>2</v>
      </c>
      <c r="I227" s="241"/>
      <c r="J227" s="244" t="s">
        <v>816</v>
      </c>
      <c r="K227" s="241" t="s">
        <v>817</v>
      </c>
      <c r="L227" s="251">
        <v>44588</v>
      </c>
      <c r="M227" s="252">
        <v>22727</v>
      </c>
      <c r="N227" s="241">
        <v>150</v>
      </c>
      <c r="O227" s="253">
        <f t="shared" si="13"/>
        <v>3409050</v>
      </c>
      <c r="P227" s="253">
        <v>29090.91</v>
      </c>
      <c r="Q227" s="253">
        <f t="shared" si="14"/>
        <v>4363636.5</v>
      </c>
    </row>
    <row r="228" spans="2:17">
      <c r="B228" s="200">
        <v>225</v>
      </c>
      <c r="C228" s="241" t="s">
        <v>911</v>
      </c>
      <c r="D228" s="242" t="s">
        <v>912</v>
      </c>
      <c r="E228" s="243" t="s">
        <v>11</v>
      </c>
      <c r="F228" s="244" t="s">
        <v>733</v>
      </c>
      <c r="G228" s="241"/>
      <c r="H228" s="241" t="s">
        <v>913</v>
      </c>
      <c r="I228" s="241"/>
      <c r="J228" s="244" t="s">
        <v>85</v>
      </c>
      <c r="K228" s="241" t="s">
        <v>914</v>
      </c>
      <c r="L228" s="251">
        <v>44588</v>
      </c>
      <c r="M228" s="252">
        <v>222727</v>
      </c>
      <c r="N228" s="241">
        <v>15</v>
      </c>
      <c r="O228" s="253">
        <f t="shared" si="13"/>
        <v>3340905</v>
      </c>
      <c r="P228" s="253">
        <v>297091</v>
      </c>
      <c r="Q228" s="253">
        <f t="shared" si="14"/>
        <v>4456365</v>
      </c>
    </row>
    <row r="229" spans="2:17">
      <c r="B229" s="200">
        <v>226</v>
      </c>
      <c r="C229" s="237" t="s">
        <v>915</v>
      </c>
      <c r="D229" s="238" t="s">
        <v>916</v>
      </c>
      <c r="E229" s="239" t="s">
        <v>9</v>
      </c>
      <c r="F229" s="240" t="s">
        <v>917</v>
      </c>
      <c r="G229" s="237"/>
      <c r="H229" s="237" t="s">
        <v>918</v>
      </c>
      <c r="I229" s="237"/>
      <c r="J229" s="240" t="s">
        <v>50</v>
      </c>
      <c r="K229" s="237" t="s">
        <v>919</v>
      </c>
      <c r="L229" s="248">
        <v>44594</v>
      </c>
      <c r="M229" s="249">
        <v>254545</v>
      </c>
      <c r="N229" s="237">
        <v>1</v>
      </c>
      <c r="O229" s="250">
        <f t="shared" si="13"/>
        <v>254545</v>
      </c>
      <c r="P229" s="250">
        <v>275000</v>
      </c>
      <c r="Q229" s="250">
        <f t="shared" si="14"/>
        <v>275000</v>
      </c>
    </row>
    <row r="230" spans="2:17">
      <c r="B230" s="200">
        <v>227</v>
      </c>
      <c r="C230" s="237" t="s">
        <v>920</v>
      </c>
      <c r="D230" s="238" t="s">
        <v>916</v>
      </c>
      <c r="E230" s="239" t="s">
        <v>9</v>
      </c>
      <c r="F230" s="240" t="s">
        <v>921</v>
      </c>
      <c r="G230" s="237"/>
      <c r="H230" s="237" t="s">
        <v>922</v>
      </c>
      <c r="I230" s="237"/>
      <c r="J230" s="240" t="s">
        <v>50</v>
      </c>
      <c r="K230" s="237" t="s">
        <v>923</v>
      </c>
      <c r="L230" s="248">
        <v>44594</v>
      </c>
      <c r="M230" s="249">
        <v>254545</v>
      </c>
      <c r="N230" s="237">
        <v>1</v>
      </c>
      <c r="O230" s="250">
        <f t="shared" si="13"/>
        <v>254545</v>
      </c>
      <c r="P230" s="250">
        <v>275000</v>
      </c>
      <c r="Q230" s="250">
        <f t="shared" si="14"/>
        <v>275000</v>
      </c>
    </row>
    <row r="231" spans="2:17">
      <c r="B231" s="200">
        <v>228</v>
      </c>
      <c r="C231" s="237" t="s">
        <v>924</v>
      </c>
      <c r="D231" s="238" t="s">
        <v>916</v>
      </c>
      <c r="E231" s="239" t="s">
        <v>9</v>
      </c>
      <c r="F231" s="240" t="s">
        <v>925</v>
      </c>
      <c r="G231" s="237"/>
      <c r="H231" s="237" t="s">
        <v>926</v>
      </c>
      <c r="I231" s="237"/>
      <c r="J231" s="240" t="s">
        <v>50</v>
      </c>
      <c r="K231" s="237" t="s">
        <v>927</v>
      </c>
      <c r="L231" s="248">
        <v>44594</v>
      </c>
      <c r="M231" s="249">
        <v>254545</v>
      </c>
      <c r="N231" s="237">
        <v>2</v>
      </c>
      <c r="O231" s="250">
        <f t="shared" si="13"/>
        <v>509090</v>
      </c>
      <c r="P231" s="250">
        <v>275000</v>
      </c>
      <c r="Q231" s="250">
        <f t="shared" si="14"/>
        <v>550000</v>
      </c>
    </row>
    <row r="232" spans="2:17">
      <c r="B232" s="200">
        <v>229</v>
      </c>
      <c r="C232" s="237" t="s">
        <v>928</v>
      </c>
      <c r="D232" s="238" t="s">
        <v>929</v>
      </c>
      <c r="E232" s="239" t="s">
        <v>9</v>
      </c>
      <c r="F232" s="240" t="s">
        <v>930</v>
      </c>
      <c r="G232" s="237"/>
      <c r="H232" s="237" t="s">
        <v>931</v>
      </c>
      <c r="I232" s="237"/>
      <c r="J232" s="240" t="s">
        <v>50</v>
      </c>
      <c r="K232" s="237" t="s">
        <v>932</v>
      </c>
      <c r="L232" s="248">
        <v>44594</v>
      </c>
      <c r="M232" s="249">
        <v>254545</v>
      </c>
      <c r="N232" s="237">
        <v>3</v>
      </c>
      <c r="O232" s="250">
        <f t="shared" si="13"/>
        <v>763635</v>
      </c>
      <c r="P232" s="250">
        <v>275000</v>
      </c>
      <c r="Q232" s="250">
        <f t="shared" si="14"/>
        <v>825000</v>
      </c>
    </row>
    <row r="233" spans="2:17">
      <c r="B233" s="200">
        <v>230</v>
      </c>
      <c r="C233" s="237" t="s">
        <v>933</v>
      </c>
      <c r="D233" s="238" t="s">
        <v>929</v>
      </c>
      <c r="E233" s="239" t="s">
        <v>9</v>
      </c>
      <c r="F233" s="240" t="s">
        <v>934</v>
      </c>
      <c r="G233" s="237"/>
      <c r="H233" s="237" t="s">
        <v>931</v>
      </c>
      <c r="I233" s="237"/>
      <c r="J233" s="240" t="s">
        <v>50</v>
      </c>
      <c r="K233" s="237" t="s">
        <v>935</v>
      </c>
      <c r="L233" s="248">
        <v>44594</v>
      </c>
      <c r="M233" s="249">
        <v>254545</v>
      </c>
      <c r="N233" s="237">
        <v>5</v>
      </c>
      <c r="O233" s="250">
        <f t="shared" si="13"/>
        <v>1272725</v>
      </c>
      <c r="P233" s="250">
        <v>275000</v>
      </c>
      <c r="Q233" s="250">
        <f t="shared" si="14"/>
        <v>1375000</v>
      </c>
    </row>
    <row r="234" spans="2:17">
      <c r="B234" s="200">
        <v>231</v>
      </c>
      <c r="C234" s="237" t="s">
        <v>936</v>
      </c>
      <c r="D234" s="238" t="s">
        <v>937</v>
      </c>
      <c r="E234" s="239" t="s">
        <v>10</v>
      </c>
      <c r="F234" s="240" t="s">
        <v>733</v>
      </c>
      <c r="G234" s="237"/>
      <c r="H234" s="237" t="s">
        <v>938</v>
      </c>
      <c r="I234" s="237"/>
      <c r="J234" s="240" t="s">
        <v>85</v>
      </c>
      <c r="K234" s="237" t="s">
        <v>939</v>
      </c>
      <c r="L234" s="248">
        <v>44599</v>
      </c>
      <c r="M234" s="249">
        <v>222727</v>
      </c>
      <c r="N234" s="237">
        <v>12</v>
      </c>
      <c r="O234" s="250">
        <f t="shared" si="13"/>
        <v>2672724</v>
      </c>
      <c r="P234" s="250">
        <v>279091</v>
      </c>
      <c r="Q234" s="250">
        <f t="shared" si="14"/>
        <v>3349092</v>
      </c>
    </row>
    <row r="235" spans="2:17">
      <c r="B235" s="200">
        <v>232</v>
      </c>
      <c r="C235" s="237" t="s">
        <v>940</v>
      </c>
      <c r="D235" s="238">
        <v>4800443057</v>
      </c>
      <c r="E235" s="239" t="s">
        <v>12</v>
      </c>
      <c r="F235" s="240" t="s">
        <v>941</v>
      </c>
      <c r="G235" s="237"/>
      <c r="H235" s="237" t="s">
        <v>942</v>
      </c>
      <c r="I235" s="237"/>
      <c r="J235" s="240" t="s">
        <v>85</v>
      </c>
      <c r="K235" s="237" t="s">
        <v>943</v>
      </c>
      <c r="L235" s="248">
        <v>44599</v>
      </c>
      <c r="M235" s="249">
        <v>222727</v>
      </c>
      <c r="N235" s="237">
        <v>40</v>
      </c>
      <c r="O235" s="250">
        <f t="shared" si="13"/>
        <v>8909080</v>
      </c>
      <c r="P235" s="250">
        <v>265136</v>
      </c>
      <c r="Q235" s="250">
        <f t="shared" si="14"/>
        <v>10605440</v>
      </c>
    </row>
    <row r="236" spans="2:17">
      <c r="B236" s="200">
        <v>233</v>
      </c>
      <c r="C236" s="237" t="s">
        <v>944</v>
      </c>
      <c r="D236" s="238" t="s">
        <v>945</v>
      </c>
      <c r="E236" s="239" t="s">
        <v>82</v>
      </c>
      <c r="F236" s="240" t="s">
        <v>83</v>
      </c>
      <c r="G236" s="237"/>
      <c r="H236" s="237" t="s">
        <v>946</v>
      </c>
      <c r="I236" s="237"/>
      <c r="J236" s="240" t="s">
        <v>85</v>
      </c>
      <c r="K236" s="237" t="s">
        <v>947</v>
      </c>
      <c r="L236" s="248">
        <v>44601</v>
      </c>
      <c r="M236" s="249">
        <v>222727</v>
      </c>
      <c r="N236" s="237">
        <v>250</v>
      </c>
      <c r="O236" s="250">
        <f t="shared" si="13"/>
        <v>55681750</v>
      </c>
      <c r="P236" s="250">
        <v>279090.90999999997</v>
      </c>
      <c r="Q236" s="250">
        <f t="shared" si="14"/>
        <v>69772727.5</v>
      </c>
    </row>
    <row r="237" spans="2:17">
      <c r="B237" s="200">
        <v>234</v>
      </c>
      <c r="C237" s="237" t="s">
        <v>948</v>
      </c>
      <c r="D237" s="238" t="s">
        <v>949</v>
      </c>
      <c r="E237" s="239" t="s">
        <v>9</v>
      </c>
      <c r="F237" s="240" t="s">
        <v>950</v>
      </c>
      <c r="G237" s="237"/>
      <c r="H237" s="237" t="s">
        <v>951</v>
      </c>
      <c r="I237" s="237"/>
      <c r="J237" s="240" t="s">
        <v>50</v>
      </c>
      <c r="K237" s="237" t="s">
        <v>952</v>
      </c>
      <c r="L237" s="248">
        <v>44601</v>
      </c>
      <c r="M237" s="249">
        <v>254545</v>
      </c>
      <c r="N237" s="237">
        <v>3</v>
      </c>
      <c r="O237" s="250">
        <f t="shared" si="13"/>
        <v>763635</v>
      </c>
      <c r="P237" s="250">
        <v>275000</v>
      </c>
      <c r="Q237" s="250">
        <f t="shared" si="14"/>
        <v>825000</v>
      </c>
    </row>
    <row r="238" spans="2:17">
      <c r="B238" s="200">
        <v>235</v>
      </c>
      <c r="C238" s="237" t="s">
        <v>953</v>
      </c>
      <c r="D238" s="238" t="s">
        <v>949</v>
      </c>
      <c r="E238" s="239" t="s">
        <v>9</v>
      </c>
      <c r="F238" s="240" t="s">
        <v>684</v>
      </c>
      <c r="G238" s="237"/>
      <c r="H238" s="237" t="s">
        <v>954</v>
      </c>
      <c r="I238" s="237"/>
      <c r="J238" s="240" t="s">
        <v>50</v>
      </c>
      <c r="K238" s="237" t="s">
        <v>955</v>
      </c>
      <c r="L238" s="248">
        <v>44601</v>
      </c>
      <c r="M238" s="249">
        <v>254545</v>
      </c>
      <c r="N238" s="237">
        <v>1</v>
      </c>
      <c r="O238" s="250">
        <f t="shared" si="13"/>
        <v>254545</v>
      </c>
      <c r="P238" s="250">
        <v>275000</v>
      </c>
      <c r="Q238" s="250">
        <f t="shared" si="14"/>
        <v>275000</v>
      </c>
    </row>
    <row r="239" spans="2:17">
      <c r="B239" s="200">
        <v>236</v>
      </c>
      <c r="C239" s="237" t="s">
        <v>956</v>
      </c>
      <c r="D239" s="238" t="s">
        <v>949</v>
      </c>
      <c r="E239" s="239" t="s">
        <v>9</v>
      </c>
      <c r="F239" s="240" t="s">
        <v>957</v>
      </c>
      <c r="G239" s="237"/>
      <c r="H239" s="237" t="s">
        <v>958</v>
      </c>
      <c r="I239" s="237"/>
      <c r="J239" s="240" t="s">
        <v>50</v>
      </c>
      <c r="K239" s="237" t="s">
        <v>959</v>
      </c>
      <c r="L239" s="248">
        <v>44601</v>
      </c>
      <c r="M239" s="249">
        <v>254545</v>
      </c>
      <c r="N239" s="237">
        <v>9</v>
      </c>
      <c r="O239" s="250">
        <f t="shared" si="13"/>
        <v>2290905</v>
      </c>
      <c r="P239" s="250">
        <v>275000</v>
      </c>
      <c r="Q239" s="250">
        <f t="shared" si="14"/>
        <v>2475000</v>
      </c>
    </row>
    <row r="240" spans="2:17">
      <c r="B240" s="200">
        <v>237</v>
      </c>
      <c r="C240" s="237" t="s">
        <v>960</v>
      </c>
      <c r="D240" s="238" t="s">
        <v>949</v>
      </c>
      <c r="E240" s="239" t="s">
        <v>9</v>
      </c>
      <c r="F240" s="240" t="s">
        <v>961</v>
      </c>
      <c r="G240" s="237"/>
      <c r="H240" s="237" t="s">
        <v>951</v>
      </c>
      <c r="I240" s="237"/>
      <c r="J240" s="240" t="s">
        <v>50</v>
      </c>
      <c r="K240" s="237" t="s">
        <v>962</v>
      </c>
      <c r="L240" s="248">
        <v>44601</v>
      </c>
      <c r="M240" s="249">
        <v>254545</v>
      </c>
      <c r="N240" s="237">
        <v>2</v>
      </c>
      <c r="O240" s="250">
        <f t="shared" si="13"/>
        <v>509090</v>
      </c>
      <c r="P240" s="250">
        <v>275000</v>
      </c>
      <c r="Q240" s="250">
        <f t="shared" si="14"/>
        <v>550000</v>
      </c>
    </row>
    <row r="241" spans="2:17">
      <c r="B241" s="200">
        <v>238</v>
      </c>
      <c r="C241" s="237" t="s">
        <v>963</v>
      </c>
      <c r="D241" s="238">
        <v>4800443987</v>
      </c>
      <c r="E241" s="239" t="s">
        <v>12</v>
      </c>
      <c r="F241" s="240" t="s">
        <v>466</v>
      </c>
      <c r="G241" s="237"/>
      <c r="H241" s="237" t="s">
        <v>964</v>
      </c>
      <c r="I241" s="237"/>
      <c r="J241" s="240" t="s">
        <v>85</v>
      </c>
      <c r="K241" s="237" t="s">
        <v>965</v>
      </c>
      <c r="L241" s="248">
        <v>44607</v>
      </c>
      <c r="M241" s="249">
        <v>222727</v>
      </c>
      <c r="N241" s="237">
        <v>8</v>
      </c>
      <c r="O241" s="250">
        <f t="shared" si="13"/>
        <v>1781816</v>
      </c>
      <c r="P241" s="250">
        <v>265136</v>
      </c>
      <c r="Q241" s="250">
        <f t="shared" si="14"/>
        <v>2121088</v>
      </c>
    </row>
    <row r="242" spans="2:17">
      <c r="B242" s="200">
        <v>239</v>
      </c>
      <c r="C242" s="237" t="s">
        <v>966</v>
      </c>
      <c r="D242" s="238" t="s">
        <v>967</v>
      </c>
      <c r="E242" s="239" t="s">
        <v>11</v>
      </c>
      <c r="F242" s="240" t="s">
        <v>880</v>
      </c>
      <c r="G242" s="237"/>
      <c r="H242" s="237" t="s">
        <v>968</v>
      </c>
      <c r="I242" s="237"/>
      <c r="J242" s="240" t="s">
        <v>886</v>
      </c>
      <c r="K242" s="237" t="s">
        <v>969</v>
      </c>
      <c r="L242" s="248">
        <v>44607</v>
      </c>
      <c r="M242" s="249">
        <v>184875</v>
      </c>
      <c r="N242" s="237">
        <v>25</v>
      </c>
      <c r="O242" s="250">
        <f t="shared" si="13"/>
        <v>4621875</v>
      </c>
      <c r="P242" s="250">
        <v>201682</v>
      </c>
      <c r="Q242" s="250">
        <f t="shared" si="14"/>
        <v>5042050</v>
      </c>
    </row>
    <row r="243" spans="2:17">
      <c r="B243" s="200">
        <v>240</v>
      </c>
      <c r="C243" s="237" t="s">
        <v>970</v>
      </c>
      <c r="D243" s="238" t="s">
        <v>971</v>
      </c>
      <c r="E243" s="239" t="s">
        <v>10</v>
      </c>
      <c r="F243" s="240" t="s">
        <v>814</v>
      </c>
      <c r="G243" s="237" t="s">
        <v>972</v>
      </c>
      <c r="H243" s="237" t="s">
        <v>2</v>
      </c>
      <c r="I243" s="237"/>
      <c r="J243" s="240" t="s">
        <v>816</v>
      </c>
      <c r="K243" s="237" t="s">
        <v>973</v>
      </c>
      <c r="L243" s="248">
        <v>44607</v>
      </c>
      <c r="M243" s="249">
        <v>22727</v>
      </c>
      <c r="N243" s="237">
        <v>120</v>
      </c>
      <c r="O243" s="250">
        <f t="shared" si="13"/>
        <v>2727240</v>
      </c>
      <c r="P243" s="250">
        <v>29090.91</v>
      </c>
      <c r="Q243" s="250">
        <f t="shared" si="14"/>
        <v>3490909.2</v>
      </c>
    </row>
    <row r="244" spans="2:17">
      <c r="B244" s="200">
        <v>241</v>
      </c>
      <c r="C244" s="237" t="s">
        <v>974</v>
      </c>
      <c r="D244" s="238">
        <v>81314</v>
      </c>
      <c r="E244" s="239" t="s">
        <v>17</v>
      </c>
      <c r="F244" s="240" t="s">
        <v>114</v>
      </c>
      <c r="G244" s="237"/>
      <c r="H244" s="237" t="s">
        <v>975</v>
      </c>
      <c r="I244" s="237"/>
      <c r="J244" s="240" t="s">
        <v>85</v>
      </c>
      <c r="K244" s="237" t="s">
        <v>116</v>
      </c>
      <c r="L244" s="248">
        <v>44609</v>
      </c>
      <c r="M244" s="249">
        <v>171818</v>
      </c>
      <c r="N244" s="237">
        <v>20</v>
      </c>
      <c r="O244" s="250">
        <f t="shared" si="13"/>
        <v>3436360</v>
      </c>
      <c r="P244" s="250">
        <v>279090.90999999997</v>
      </c>
      <c r="Q244" s="250">
        <f t="shared" si="14"/>
        <v>5581818.1999999993</v>
      </c>
    </row>
    <row r="245" spans="2:17">
      <c r="B245" s="200">
        <v>242</v>
      </c>
      <c r="C245" s="237" t="s">
        <v>976</v>
      </c>
      <c r="D245" s="238">
        <v>81314</v>
      </c>
      <c r="E245" s="239" t="s">
        <v>17</v>
      </c>
      <c r="F245" s="240" t="s">
        <v>114</v>
      </c>
      <c r="G245" s="237"/>
      <c r="H245" s="237" t="s">
        <v>975</v>
      </c>
      <c r="I245" s="237"/>
      <c r="J245" s="240" t="s">
        <v>92</v>
      </c>
      <c r="K245" s="237" t="s">
        <v>118</v>
      </c>
      <c r="L245" s="248">
        <v>44609</v>
      </c>
      <c r="M245" s="249">
        <v>40909</v>
      </c>
      <c r="N245" s="237">
        <v>20</v>
      </c>
      <c r="O245" s="250">
        <f t="shared" si="13"/>
        <v>818180</v>
      </c>
      <c r="P245" s="250">
        <v>58181.82</v>
      </c>
      <c r="Q245" s="250">
        <f t="shared" si="14"/>
        <v>1163636.3999999999</v>
      </c>
    </row>
    <row r="246" spans="2:17">
      <c r="B246" s="200">
        <v>243</v>
      </c>
      <c r="C246" s="237" t="s">
        <v>977</v>
      </c>
      <c r="D246" s="238" t="s">
        <v>978</v>
      </c>
      <c r="E246" s="239" t="s">
        <v>9</v>
      </c>
      <c r="F246" s="240" t="s">
        <v>979</v>
      </c>
      <c r="G246" s="237"/>
      <c r="H246" s="237" t="s">
        <v>801</v>
      </c>
      <c r="I246" s="237"/>
      <c r="J246" s="240" t="s">
        <v>50</v>
      </c>
      <c r="K246" s="237" t="s">
        <v>980</v>
      </c>
      <c r="L246" s="248">
        <v>44609</v>
      </c>
      <c r="M246" s="249">
        <v>254545</v>
      </c>
      <c r="N246" s="237">
        <v>1</v>
      </c>
      <c r="O246" s="250">
        <f t="shared" si="13"/>
        <v>254545</v>
      </c>
      <c r="P246" s="250">
        <v>275000</v>
      </c>
      <c r="Q246" s="250">
        <f t="shared" si="14"/>
        <v>275000</v>
      </c>
    </row>
    <row r="247" spans="2:17">
      <c r="B247" s="200">
        <v>244</v>
      </c>
      <c r="C247" s="237" t="s">
        <v>981</v>
      </c>
      <c r="D247" s="238" t="s">
        <v>978</v>
      </c>
      <c r="E247" s="239" t="s">
        <v>9</v>
      </c>
      <c r="F247" s="240" t="s">
        <v>982</v>
      </c>
      <c r="G247" s="237"/>
      <c r="H247" s="237" t="s">
        <v>983</v>
      </c>
      <c r="I247" s="237"/>
      <c r="J247" s="240" t="s">
        <v>50</v>
      </c>
      <c r="K247" s="237" t="s">
        <v>984</v>
      </c>
      <c r="L247" s="248">
        <v>44609</v>
      </c>
      <c r="M247" s="249">
        <v>254545</v>
      </c>
      <c r="N247" s="237">
        <v>1</v>
      </c>
      <c r="O247" s="250">
        <f t="shared" si="13"/>
        <v>254545</v>
      </c>
      <c r="P247" s="250">
        <v>275000</v>
      </c>
      <c r="Q247" s="250">
        <f t="shared" si="14"/>
        <v>275000</v>
      </c>
    </row>
    <row r="248" spans="2:17">
      <c r="B248" s="200">
        <v>245</v>
      </c>
      <c r="C248" s="237" t="s">
        <v>985</v>
      </c>
      <c r="D248" s="238" t="s">
        <v>978</v>
      </c>
      <c r="E248" s="239" t="s">
        <v>9</v>
      </c>
      <c r="F248" s="240" t="s">
        <v>986</v>
      </c>
      <c r="G248" s="237"/>
      <c r="H248" s="237" t="s">
        <v>983</v>
      </c>
      <c r="I248" s="237"/>
      <c r="J248" s="240" t="s">
        <v>50</v>
      </c>
      <c r="K248" s="237" t="s">
        <v>987</v>
      </c>
      <c r="L248" s="248">
        <v>44609</v>
      </c>
      <c r="M248" s="249">
        <v>254545</v>
      </c>
      <c r="N248" s="237">
        <v>4</v>
      </c>
      <c r="O248" s="250">
        <f t="shared" si="13"/>
        <v>1018180</v>
      </c>
      <c r="P248" s="250">
        <v>275000</v>
      </c>
      <c r="Q248" s="250">
        <f t="shared" si="14"/>
        <v>1100000</v>
      </c>
    </row>
    <row r="249" spans="2:17">
      <c r="B249" s="200">
        <v>246</v>
      </c>
      <c r="C249" s="237" t="s">
        <v>988</v>
      </c>
      <c r="D249" s="238" t="s">
        <v>989</v>
      </c>
      <c r="E249" s="239" t="s">
        <v>16</v>
      </c>
      <c r="F249" s="240" t="s">
        <v>165</v>
      </c>
      <c r="G249" s="237"/>
      <c r="H249" s="237" t="s">
        <v>990</v>
      </c>
      <c r="I249" s="237"/>
      <c r="J249" s="240" t="s">
        <v>85</v>
      </c>
      <c r="K249" s="237" t="s">
        <v>991</v>
      </c>
      <c r="L249" s="248">
        <v>44613</v>
      </c>
      <c r="M249" s="249">
        <v>222727</v>
      </c>
      <c r="N249" s="237">
        <v>160</v>
      </c>
      <c r="O249" s="250">
        <f t="shared" si="13"/>
        <v>35636320</v>
      </c>
      <c r="P249" s="250">
        <v>279090.90999999997</v>
      </c>
      <c r="Q249" s="250">
        <f t="shared" si="14"/>
        <v>44654545.599999994</v>
      </c>
    </row>
    <row r="250" spans="2:17">
      <c r="B250" s="200">
        <v>247</v>
      </c>
      <c r="C250" s="237" t="s">
        <v>992</v>
      </c>
      <c r="D250" s="238" t="s">
        <v>978</v>
      </c>
      <c r="E250" s="239" t="s">
        <v>9</v>
      </c>
      <c r="F250" s="240" t="s">
        <v>445</v>
      </c>
      <c r="G250" s="237"/>
      <c r="H250" s="237" t="s">
        <v>993</v>
      </c>
      <c r="I250" s="237"/>
      <c r="J250" s="240" t="s">
        <v>50</v>
      </c>
      <c r="K250" s="237" t="s">
        <v>994</v>
      </c>
      <c r="L250" s="248">
        <v>44613</v>
      </c>
      <c r="M250" s="249">
        <v>254545</v>
      </c>
      <c r="N250" s="237">
        <v>3</v>
      </c>
      <c r="O250" s="250">
        <f t="shared" si="13"/>
        <v>763635</v>
      </c>
      <c r="P250" s="250">
        <v>275000</v>
      </c>
      <c r="Q250" s="250">
        <f t="shared" si="14"/>
        <v>825000</v>
      </c>
    </row>
    <row r="251" spans="2:17">
      <c r="B251" s="200">
        <v>248</v>
      </c>
      <c r="C251" s="237" t="s">
        <v>995</v>
      </c>
      <c r="D251" s="238" t="s">
        <v>978</v>
      </c>
      <c r="E251" s="239" t="s">
        <v>9</v>
      </c>
      <c r="F251" s="240" t="s">
        <v>445</v>
      </c>
      <c r="G251" s="237"/>
      <c r="H251" s="237" t="s">
        <v>996</v>
      </c>
      <c r="I251" s="237"/>
      <c r="J251" s="240" t="s">
        <v>50</v>
      </c>
      <c r="K251" s="237" t="s">
        <v>997</v>
      </c>
      <c r="L251" s="248">
        <v>44613</v>
      </c>
      <c r="M251" s="249">
        <v>254545</v>
      </c>
      <c r="N251" s="237">
        <v>3</v>
      </c>
      <c r="O251" s="250">
        <f t="shared" si="13"/>
        <v>763635</v>
      </c>
      <c r="P251" s="250">
        <v>275000</v>
      </c>
      <c r="Q251" s="250">
        <f t="shared" si="14"/>
        <v>825000</v>
      </c>
    </row>
    <row r="252" spans="2:17">
      <c r="B252" s="200">
        <v>249</v>
      </c>
      <c r="C252" s="237" t="s">
        <v>998</v>
      </c>
      <c r="D252" s="238" t="s">
        <v>978</v>
      </c>
      <c r="E252" s="239" t="s">
        <v>9</v>
      </c>
      <c r="F252" s="240" t="s">
        <v>999</v>
      </c>
      <c r="G252" s="237"/>
      <c r="H252" s="237" t="s">
        <v>1000</v>
      </c>
      <c r="I252" s="237"/>
      <c r="J252" s="240" t="s">
        <v>50</v>
      </c>
      <c r="K252" s="237" t="s">
        <v>1001</v>
      </c>
      <c r="L252" s="248">
        <v>44613</v>
      </c>
      <c r="M252" s="249">
        <v>254545</v>
      </c>
      <c r="N252" s="237">
        <v>2</v>
      </c>
      <c r="O252" s="250">
        <f t="shared" si="13"/>
        <v>509090</v>
      </c>
      <c r="P252" s="250">
        <v>275000</v>
      </c>
      <c r="Q252" s="250">
        <f t="shared" si="14"/>
        <v>550000</v>
      </c>
    </row>
    <row r="253" spans="2:17">
      <c r="B253" s="200">
        <v>250</v>
      </c>
      <c r="C253" s="237" t="s">
        <v>1002</v>
      </c>
      <c r="D253" s="238" t="s">
        <v>978</v>
      </c>
      <c r="E253" s="239" t="s">
        <v>9</v>
      </c>
      <c r="F253" s="240" t="s">
        <v>1003</v>
      </c>
      <c r="G253" s="237"/>
      <c r="H253" s="237" t="s">
        <v>996</v>
      </c>
      <c r="I253" s="237"/>
      <c r="J253" s="240" t="s">
        <v>50</v>
      </c>
      <c r="K253" s="237" t="s">
        <v>1004</v>
      </c>
      <c r="L253" s="248">
        <v>44613</v>
      </c>
      <c r="M253" s="249">
        <v>254545</v>
      </c>
      <c r="N253" s="237">
        <v>8</v>
      </c>
      <c r="O253" s="250">
        <f t="shared" si="13"/>
        <v>2036360</v>
      </c>
      <c r="P253" s="250">
        <v>275000</v>
      </c>
      <c r="Q253" s="250">
        <f t="shared" si="14"/>
        <v>2200000</v>
      </c>
    </row>
    <row r="254" spans="2:17">
      <c r="B254" s="200">
        <v>251</v>
      </c>
      <c r="C254" s="237" t="s">
        <v>1005</v>
      </c>
      <c r="D254" s="238" t="s">
        <v>978</v>
      </c>
      <c r="E254" s="239" t="s">
        <v>9</v>
      </c>
      <c r="F254" s="240" t="s">
        <v>1006</v>
      </c>
      <c r="G254" s="237"/>
      <c r="H254" s="237" t="s">
        <v>1000</v>
      </c>
      <c r="I254" s="237"/>
      <c r="J254" s="240" t="s">
        <v>50</v>
      </c>
      <c r="K254" s="237" t="s">
        <v>1007</v>
      </c>
      <c r="L254" s="248">
        <v>44613</v>
      </c>
      <c r="M254" s="249">
        <v>254545</v>
      </c>
      <c r="N254" s="237">
        <v>1</v>
      </c>
      <c r="O254" s="250">
        <f t="shared" si="13"/>
        <v>254545</v>
      </c>
      <c r="P254" s="250">
        <v>275000</v>
      </c>
      <c r="Q254" s="250">
        <f t="shared" si="14"/>
        <v>275000</v>
      </c>
    </row>
    <row r="255" spans="2:17">
      <c r="B255" s="200">
        <v>252</v>
      </c>
      <c r="C255" s="237" t="s">
        <v>1008</v>
      </c>
      <c r="D255" s="238" t="s">
        <v>1009</v>
      </c>
      <c r="E255" s="239" t="s">
        <v>9</v>
      </c>
      <c r="F255" s="240" t="s">
        <v>925</v>
      </c>
      <c r="G255" s="237"/>
      <c r="H255" s="237" t="s">
        <v>1010</v>
      </c>
      <c r="I255" s="237"/>
      <c r="J255" s="240" t="s">
        <v>50</v>
      </c>
      <c r="K255" s="237" t="s">
        <v>1011</v>
      </c>
      <c r="L255" s="248">
        <v>44617</v>
      </c>
      <c r="M255" s="249">
        <v>254545</v>
      </c>
      <c r="N255" s="237">
        <v>3</v>
      </c>
      <c r="O255" s="250">
        <f t="shared" si="13"/>
        <v>763635</v>
      </c>
      <c r="P255" s="250">
        <v>275000</v>
      </c>
      <c r="Q255" s="250">
        <f t="shared" si="14"/>
        <v>825000</v>
      </c>
    </row>
    <row r="256" spans="2:17">
      <c r="B256" s="200">
        <v>253</v>
      </c>
      <c r="C256" s="237" t="s">
        <v>1012</v>
      </c>
      <c r="D256" s="238" t="s">
        <v>1009</v>
      </c>
      <c r="E256" s="239" t="s">
        <v>9</v>
      </c>
      <c r="F256" s="240" t="s">
        <v>1013</v>
      </c>
      <c r="G256" s="237"/>
      <c r="H256" s="237" t="s">
        <v>1010</v>
      </c>
      <c r="I256" s="237"/>
      <c r="J256" s="240" t="s">
        <v>50</v>
      </c>
      <c r="K256" s="237" t="s">
        <v>1014</v>
      </c>
      <c r="L256" s="248">
        <v>44617</v>
      </c>
      <c r="M256" s="249">
        <v>254545</v>
      </c>
      <c r="N256" s="237">
        <v>2</v>
      </c>
      <c r="O256" s="250">
        <f t="shared" si="13"/>
        <v>509090</v>
      </c>
      <c r="P256" s="250">
        <v>275000</v>
      </c>
      <c r="Q256" s="250">
        <f t="shared" si="14"/>
        <v>550000</v>
      </c>
    </row>
    <row r="257" spans="2:17">
      <c r="B257" s="200">
        <v>254</v>
      </c>
      <c r="C257" s="237" t="s">
        <v>1015</v>
      </c>
      <c r="D257" s="238" t="s">
        <v>1016</v>
      </c>
      <c r="E257" s="239" t="s">
        <v>10</v>
      </c>
      <c r="F257" s="240" t="s">
        <v>814</v>
      </c>
      <c r="G257" s="237"/>
      <c r="H257" s="237" t="s">
        <v>1017</v>
      </c>
      <c r="I257" s="237"/>
      <c r="J257" s="240" t="s">
        <v>85</v>
      </c>
      <c r="K257" s="237" t="s">
        <v>1018</v>
      </c>
      <c r="L257" s="248">
        <v>44617</v>
      </c>
      <c r="M257" s="249">
        <v>222727</v>
      </c>
      <c r="N257" s="237">
        <v>297</v>
      </c>
      <c r="O257" s="250">
        <f t="shared" si="13"/>
        <v>66149919</v>
      </c>
      <c r="P257" s="250">
        <v>279090.90999999997</v>
      </c>
      <c r="Q257" s="250">
        <f t="shared" si="14"/>
        <v>82890000.269999996</v>
      </c>
    </row>
    <row r="258" spans="2:17">
      <c r="B258" s="200">
        <v>255</v>
      </c>
      <c r="C258" s="241" t="s">
        <v>1019</v>
      </c>
      <c r="D258" s="242" t="s">
        <v>1020</v>
      </c>
      <c r="E258" s="243" t="s">
        <v>9</v>
      </c>
      <c r="F258" s="244" t="s">
        <v>1021</v>
      </c>
      <c r="G258" s="241"/>
      <c r="H258" s="241" t="s">
        <v>1022</v>
      </c>
      <c r="I258" s="241"/>
      <c r="J258" s="244" t="s">
        <v>50</v>
      </c>
      <c r="K258" s="241" t="s">
        <v>1023</v>
      </c>
      <c r="L258" s="251">
        <v>44628</v>
      </c>
      <c r="M258" s="252">
        <v>254545</v>
      </c>
      <c r="N258" s="241">
        <v>1</v>
      </c>
      <c r="O258" s="253">
        <f t="shared" si="13"/>
        <v>254545</v>
      </c>
      <c r="P258" s="253">
        <v>275000</v>
      </c>
      <c r="Q258" s="253">
        <f t="shared" si="14"/>
        <v>275000</v>
      </c>
    </row>
    <row r="259" spans="2:17">
      <c r="B259" s="200">
        <v>256</v>
      </c>
      <c r="C259" s="241" t="s">
        <v>1024</v>
      </c>
      <c r="D259" s="242" t="s">
        <v>1020</v>
      </c>
      <c r="E259" s="243" t="s">
        <v>9</v>
      </c>
      <c r="F259" s="244" t="s">
        <v>1025</v>
      </c>
      <c r="G259" s="241"/>
      <c r="H259" s="241" t="s">
        <v>1026</v>
      </c>
      <c r="I259" s="241"/>
      <c r="J259" s="244" t="s">
        <v>50</v>
      </c>
      <c r="K259" s="241" t="s">
        <v>1027</v>
      </c>
      <c r="L259" s="251">
        <v>44628</v>
      </c>
      <c r="M259" s="252">
        <v>254545</v>
      </c>
      <c r="N259" s="241">
        <v>1</v>
      </c>
      <c r="O259" s="253">
        <f t="shared" si="13"/>
        <v>254545</v>
      </c>
      <c r="P259" s="253">
        <v>275000</v>
      </c>
      <c r="Q259" s="253">
        <f t="shared" si="14"/>
        <v>275000</v>
      </c>
    </row>
    <row r="260" spans="2:17">
      <c r="B260" s="200">
        <v>257</v>
      </c>
      <c r="C260" s="241" t="s">
        <v>1028</v>
      </c>
      <c r="D260" s="242" t="s">
        <v>1020</v>
      </c>
      <c r="E260" s="243" t="s">
        <v>9</v>
      </c>
      <c r="F260" s="244" t="s">
        <v>1029</v>
      </c>
      <c r="G260" s="241"/>
      <c r="H260" s="241" t="s">
        <v>1030</v>
      </c>
      <c r="I260" s="241"/>
      <c r="J260" s="244" t="s">
        <v>50</v>
      </c>
      <c r="K260" s="241" t="s">
        <v>1031</v>
      </c>
      <c r="L260" s="251">
        <v>44628</v>
      </c>
      <c r="M260" s="252">
        <v>254545</v>
      </c>
      <c r="N260" s="241">
        <v>2</v>
      </c>
      <c r="O260" s="253">
        <f t="shared" si="13"/>
        <v>509090</v>
      </c>
      <c r="P260" s="253">
        <v>275000</v>
      </c>
      <c r="Q260" s="253">
        <f t="shared" si="14"/>
        <v>550000</v>
      </c>
    </row>
    <row r="261" spans="2:17">
      <c r="B261" s="200">
        <v>258</v>
      </c>
      <c r="C261" s="241" t="s">
        <v>1032</v>
      </c>
      <c r="D261" s="242" t="s">
        <v>1020</v>
      </c>
      <c r="E261" s="243" t="s">
        <v>9</v>
      </c>
      <c r="F261" s="244" t="s">
        <v>1033</v>
      </c>
      <c r="G261" s="241"/>
      <c r="H261" s="241" t="s">
        <v>1030</v>
      </c>
      <c r="I261" s="241"/>
      <c r="J261" s="244" t="s">
        <v>50</v>
      </c>
      <c r="K261" s="241" t="s">
        <v>1034</v>
      </c>
      <c r="L261" s="251">
        <v>44628</v>
      </c>
      <c r="M261" s="252">
        <v>254545</v>
      </c>
      <c r="N261" s="241">
        <v>1</v>
      </c>
      <c r="O261" s="253">
        <f t="shared" si="13"/>
        <v>254545</v>
      </c>
      <c r="P261" s="253">
        <v>275000</v>
      </c>
      <c r="Q261" s="253">
        <f t="shared" si="14"/>
        <v>275000</v>
      </c>
    </row>
    <row r="262" spans="2:17">
      <c r="B262" s="200">
        <v>259</v>
      </c>
      <c r="C262" s="241" t="s">
        <v>1035</v>
      </c>
      <c r="D262" s="242" t="s">
        <v>1036</v>
      </c>
      <c r="E262" s="243" t="s">
        <v>11</v>
      </c>
      <c r="F262" s="244" t="s">
        <v>880</v>
      </c>
      <c r="G262" s="241"/>
      <c r="H262" s="241" t="s">
        <v>1037</v>
      </c>
      <c r="I262" s="241"/>
      <c r="J262" s="244" t="s">
        <v>1038</v>
      </c>
      <c r="K262" s="241" t="s">
        <v>1039</v>
      </c>
      <c r="L262" s="251">
        <v>44629</v>
      </c>
      <c r="M262" s="252">
        <v>184875</v>
      </c>
      <c r="N262" s="241">
        <v>15</v>
      </c>
      <c r="O262" s="253">
        <f t="shared" si="13"/>
        <v>2773125</v>
      </c>
      <c r="P262" s="253">
        <v>201682</v>
      </c>
      <c r="Q262" s="253">
        <f t="shared" si="14"/>
        <v>3025230</v>
      </c>
    </row>
    <row r="263" spans="2:17">
      <c r="B263" s="200">
        <v>260</v>
      </c>
      <c r="C263" s="241" t="s">
        <v>1040</v>
      </c>
      <c r="D263" s="242" t="s">
        <v>1041</v>
      </c>
      <c r="E263" s="243" t="s">
        <v>9</v>
      </c>
      <c r="F263" s="244" t="s">
        <v>1042</v>
      </c>
      <c r="G263" s="241"/>
      <c r="H263" s="241" t="s">
        <v>1043</v>
      </c>
      <c r="I263" s="241"/>
      <c r="J263" s="244" t="s">
        <v>50</v>
      </c>
      <c r="K263" s="241" t="s">
        <v>1044</v>
      </c>
      <c r="L263" s="251">
        <v>44631</v>
      </c>
      <c r="M263" s="252">
        <v>254545</v>
      </c>
      <c r="N263" s="241">
        <v>1</v>
      </c>
      <c r="O263" s="253">
        <f t="shared" si="13"/>
        <v>254545</v>
      </c>
      <c r="P263" s="253">
        <v>275000</v>
      </c>
      <c r="Q263" s="253">
        <f t="shared" si="14"/>
        <v>275000</v>
      </c>
    </row>
    <row r="264" spans="2:17">
      <c r="B264" s="200">
        <v>261</v>
      </c>
      <c r="C264" s="241" t="s">
        <v>1045</v>
      </c>
      <c r="D264" s="242" t="s">
        <v>1046</v>
      </c>
      <c r="E264" s="243" t="s">
        <v>9</v>
      </c>
      <c r="F264" s="244" t="s">
        <v>1047</v>
      </c>
      <c r="G264" s="241"/>
      <c r="H264" s="241" t="s">
        <v>1048</v>
      </c>
      <c r="I264" s="241"/>
      <c r="J264" s="244" t="s">
        <v>50</v>
      </c>
      <c r="K264" s="241" t="s">
        <v>1049</v>
      </c>
      <c r="L264" s="251">
        <v>44635</v>
      </c>
      <c r="M264" s="252">
        <v>254545</v>
      </c>
      <c r="N264" s="241">
        <v>1</v>
      </c>
      <c r="O264" s="253">
        <f t="shared" si="13"/>
        <v>254545</v>
      </c>
      <c r="P264" s="253">
        <v>275000</v>
      </c>
      <c r="Q264" s="253">
        <f t="shared" si="14"/>
        <v>275000</v>
      </c>
    </row>
    <row r="265" spans="2:17">
      <c r="B265" s="200">
        <v>262</v>
      </c>
      <c r="C265" s="241" t="s">
        <v>1050</v>
      </c>
      <c r="D265" s="242" t="s">
        <v>1046</v>
      </c>
      <c r="E265" s="243" t="s">
        <v>9</v>
      </c>
      <c r="F265" s="244" t="s">
        <v>1051</v>
      </c>
      <c r="G265" s="241"/>
      <c r="H265" s="241" t="s">
        <v>1048</v>
      </c>
      <c r="I265" s="241"/>
      <c r="J265" s="244" t="s">
        <v>50</v>
      </c>
      <c r="K265" s="241" t="s">
        <v>1052</v>
      </c>
      <c r="L265" s="251">
        <v>44635</v>
      </c>
      <c r="M265" s="252">
        <v>254545</v>
      </c>
      <c r="N265" s="241">
        <v>1</v>
      </c>
      <c r="O265" s="253">
        <f t="shared" si="13"/>
        <v>254545</v>
      </c>
      <c r="P265" s="253">
        <v>275000</v>
      </c>
      <c r="Q265" s="253">
        <f t="shared" si="14"/>
        <v>275000</v>
      </c>
    </row>
    <row r="266" spans="2:17">
      <c r="B266" s="200">
        <v>263</v>
      </c>
      <c r="C266" s="241" t="s">
        <v>1053</v>
      </c>
      <c r="D266" s="242" t="s">
        <v>1054</v>
      </c>
      <c r="E266" s="243" t="s">
        <v>6</v>
      </c>
      <c r="F266" s="244" t="s">
        <v>509</v>
      </c>
      <c r="G266" s="241"/>
      <c r="H266" s="241" t="s">
        <v>1055</v>
      </c>
      <c r="I266" s="241"/>
      <c r="J266" s="244" t="s">
        <v>50</v>
      </c>
      <c r="K266" s="241" t="s">
        <v>1056</v>
      </c>
      <c r="L266" s="251">
        <v>44637</v>
      </c>
      <c r="M266" s="252">
        <v>444545</v>
      </c>
      <c r="N266" s="241">
        <v>116</v>
      </c>
      <c r="O266" s="253">
        <f t="shared" si="13"/>
        <v>51567220</v>
      </c>
      <c r="P266" s="253">
        <v>556363.64</v>
      </c>
      <c r="Q266" s="253">
        <f t="shared" si="14"/>
        <v>64538182.240000002</v>
      </c>
    </row>
    <row r="267" spans="2:17">
      <c r="B267" s="200">
        <v>264</v>
      </c>
      <c r="C267" s="241" t="s">
        <v>1057</v>
      </c>
      <c r="D267" s="242" t="s">
        <v>1058</v>
      </c>
      <c r="E267" s="243" t="s">
        <v>9</v>
      </c>
      <c r="F267" s="244" t="s">
        <v>1059</v>
      </c>
      <c r="G267" s="241"/>
      <c r="H267" s="241" t="s">
        <v>1060</v>
      </c>
      <c r="I267" s="241"/>
      <c r="J267" s="244" t="s">
        <v>50</v>
      </c>
      <c r="K267" s="241" t="s">
        <v>1061</v>
      </c>
      <c r="L267" s="251">
        <v>44641</v>
      </c>
      <c r="M267" s="252">
        <v>254545</v>
      </c>
      <c r="N267" s="241">
        <v>7</v>
      </c>
      <c r="O267" s="253">
        <f t="shared" si="13"/>
        <v>1781815</v>
      </c>
      <c r="P267" s="253">
        <v>275000</v>
      </c>
      <c r="Q267" s="253">
        <f t="shared" si="14"/>
        <v>1925000</v>
      </c>
    </row>
    <row r="268" spans="2:17">
      <c r="B268" s="200">
        <v>265</v>
      </c>
      <c r="C268" s="241" t="s">
        <v>1062</v>
      </c>
      <c r="D268" s="242" t="s">
        <v>1058</v>
      </c>
      <c r="E268" s="243" t="s">
        <v>9</v>
      </c>
      <c r="F268" s="244" t="s">
        <v>1063</v>
      </c>
      <c r="G268" s="241"/>
      <c r="H268" s="241" t="s">
        <v>1060</v>
      </c>
      <c r="I268" s="241"/>
      <c r="J268" s="244" t="s">
        <v>50</v>
      </c>
      <c r="K268" s="241" t="s">
        <v>1064</v>
      </c>
      <c r="L268" s="251">
        <v>44641</v>
      </c>
      <c r="M268" s="252">
        <v>254545</v>
      </c>
      <c r="N268" s="241">
        <v>2</v>
      </c>
      <c r="O268" s="253">
        <f t="shared" si="13"/>
        <v>509090</v>
      </c>
      <c r="P268" s="253">
        <v>275000</v>
      </c>
      <c r="Q268" s="253">
        <f t="shared" si="14"/>
        <v>550000</v>
      </c>
    </row>
    <row r="269" spans="2:17">
      <c r="B269" s="200">
        <v>266</v>
      </c>
      <c r="C269" s="241" t="s">
        <v>1065</v>
      </c>
      <c r="D269" s="242" t="s">
        <v>1058</v>
      </c>
      <c r="E269" s="243" t="s">
        <v>9</v>
      </c>
      <c r="F269" s="244" t="s">
        <v>832</v>
      </c>
      <c r="G269" s="241"/>
      <c r="H269" s="241" t="s">
        <v>1060</v>
      </c>
      <c r="I269" s="241"/>
      <c r="J269" s="244" t="s">
        <v>50</v>
      </c>
      <c r="K269" s="241" t="s">
        <v>1066</v>
      </c>
      <c r="L269" s="251">
        <v>44641</v>
      </c>
      <c r="M269" s="252">
        <v>254545</v>
      </c>
      <c r="N269" s="241">
        <v>3</v>
      </c>
      <c r="O269" s="253">
        <f t="shared" si="13"/>
        <v>763635</v>
      </c>
      <c r="P269" s="253">
        <v>275000</v>
      </c>
      <c r="Q269" s="253">
        <f t="shared" si="14"/>
        <v>825000</v>
      </c>
    </row>
    <row r="270" spans="2:17">
      <c r="B270" s="200">
        <v>267</v>
      </c>
      <c r="C270" s="241" t="s">
        <v>1067</v>
      </c>
      <c r="D270" s="242" t="s">
        <v>1068</v>
      </c>
      <c r="E270" s="243" t="s">
        <v>9</v>
      </c>
      <c r="F270" s="244" t="s">
        <v>1069</v>
      </c>
      <c r="G270" s="241"/>
      <c r="H270" s="241" t="s">
        <v>1070</v>
      </c>
      <c r="I270" s="241"/>
      <c r="J270" s="244" t="s">
        <v>50</v>
      </c>
      <c r="K270" s="241" t="s">
        <v>1071</v>
      </c>
      <c r="L270" s="251">
        <v>44644</v>
      </c>
      <c r="M270" s="252">
        <v>254545</v>
      </c>
      <c r="N270" s="241">
        <v>1</v>
      </c>
      <c r="O270" s="253">
        <f t="shared" si="13"/>
        <v>254545</v>
      </c>
      <c r="P270" s="253">
        <v>275000</v>
      </c>
      <c r="Q270" s="253">
        <f t="shared" si="14"/>
        <v>275000</v>
      </c>
    </row>
    <row r="271" spans="2:17">
      <c r="B271" s="200">
        <v>268</v>
      </c>
      <c r="C271" s="241" t="s">
        <v>1072</v>
      </c>
      <c r="D271" s="242" t="s">
        <v>1068</v>
      </c>
      <c r="E271" s="243" t="s">
        <v>9</v>
      </c>
      <c r="F271" s="244" t="s">
        <v>1073</v>
      </c>
      <c r="G271" s="241"/>
      <c r="H271" s="241" t="s">
        <v>1070</v>
      </c>
      <c r="I271" s="241"/>
      <c r="J271" s="244" t="s">
        <v>50</v>
      </c>
      <c r="K271" s="241" t="s">
        <v>1074</v>
      </c>
      <c r="L271" s="251">
        <v>44644</v>
      </c>
      <c r="M271" s="252">
        <v>254545</v>
      </c>
      <c r="N271" s="241">
        <v>1</v>
      </c>
      <c r="O271" s="253">
        <f t="shared" si="13"/>
        <v>254545</v>
      </c>
      <c r="P271" s="253">
        <v>275000</v>
      </c>
      <c r="Q271" s="253">
        <f t="shared" si="14"/>
        <v>275000</v>
      </c>
    </row>
    <row r="272" spans="2:17">
      <c r="B272" s="200">
        <v>269</v>
      </c>
      <c r="C272" s="241" t="s">
        <v>1075</v>
      </c>
      <c r="D272" s="242" t="s">
        <v>1068</v>
      </c>
      <c r="E272" s="243" t="s">
        <v>9</v>
      </c>
      <c r="F272" s="244" t="s">
        <v>206</v>
      </c>
      <c r="G272" s="241"/>
      <c r="H272" s="241" t="s">
        <v>1070</v>
      </c>
      <c r="I272" s="241"/>
      <c r="J272" s="244" t="s">
        <v>50</v>
      </c>
      <c r="K272" s="241" t="s">
        <v>1076</v>
      </c>
      <c r="L272" s="251">
        <v>44644</v>
      </c>
      <c r="M272" s="252">
        <v>254545</v>
      </c>
      <c r="N272" s="241">
        <v>2</v>
      </c>
      <c r="O272" s="253">
        <f t="shared" si="13"/>
        <v>509090</v>
      </c>
      <c r="P272" s="253">
        <v>275000</v>
      </c>
      <c r="Q272" s="253">
        <f t="shared" si="14"/>
        <v>550000</v>
      </c>
    </row>
    <row r="273" spans="2:17">
      <c r="B273" s="200">
        <v>270</v>
      </c>
      <c r="C273" s="241" t="s">
        <v>1077</v>
      </c>
      <c r="D273" s="242" t="s">
        <v>1078</v>
      </c>
      <c r="E273" s="243" t="s">
        <v>9</v>
      </c>
      <c r="F273" s="244" t="s">
        <v>645</v>
      </c>
      <c r="G273" s="241"/>
      <c r="H273" s="241" t="s">
        <v>1079</v>
      </c>
      <c r="I273" s="241"/>
      <c r="J273" s="244" t="s">
        <v>50</v>
      </c>
      <c r="K273" s="241" t="s">
        <v>1080</v>
      </c>
      <c r="L273" s="251">
        <v>44645</v>
      </c>
      <c r="M273" s="252">
        <v>254545</v>
      </c>
      <c r="N273" s="241">
        <v>2</v>
      </c>
      <c r="O273" s="253">
        <f t="shared" si="13"/>
        <v>509090</v>
      </c>
      <c r="P273" s="253">
        <v>275000</v>
      </c>
      <c r="Q273" s="253">
        <f t="shared" si="14"/>
        <v>550000</v>
      </c>
    </row>
    <row r="274" spans="2:17">
      <c r="B274" s="200">
        <v>271</v>
      </c>
      <c r="C274" s="241" t="s">
        <v>1081</v>
      </c>
      <c r="D274" s="242" t="s">
        <v>1078</v>
      </c>
      <c r="E274" s="243" t="s">
        <v>9</v>
      </c>
      <c r="F274" s="244" t="s">
        <v>1082</v>
      </c>
      <c r="G274" s="241"/>
      <c r="H274" s="241" t="s">
        <v>1070</v>
      </c>
      <c r="I274" s="241"/>
      <c r="J274" s="244" t="s">
        <v>50</v>
      </c>
      <c r="K274" s="241" t="s">
        <v>1083</v>
      </c>
      <c r="L274" s="251">
        <v>44645</v>
      </c>
      <c r="M274" s="252">
        <v>254545</v>
      </c>
      <c r="N274" s="241">
        <v>3</v>
      </c>
      <c r="O274" s="253">
        <f t="shared" si="13"/>
        <v>763635</v>
      </c>
      <c r="P274" s="253">
        <v>275000</v>
      </c>
      <c r="Q274" s="253">
        <f t="shared" si="14"/>
        <v>825000</v>
      </c>
    </row>
    <row r="275" spans="2:17">
      <c r="B275" s="200">
        <v>272</v>
      </c>
      <c r="C275" s="241" t="s">
        <v>1084</v>
      </c>
      <c r="D275" s="242" t="s">
        <v>1078</v>
      </c>
      <c r="E275" s="243" t="s">
        <v>9</v>
      </c>
      <c r="F275" s="244" t="s">
        <v>1082</v>
      </c>
      <c r="G275" s="241"/>
      <c r="H275" s="241" t="s">
        <v>1070</v>
      </c>
      <c r="I275" s="241"/>
      <c r="J275" s="244" t="s">
        <v>50</v>
      </c>
      <c r="K275" s="241" t="s">
        <v>1085</v>
      </c>
      <c r="L275" s="251">
        <v>44645</v>
      </c>
      <c r="M275" s="252">
        <v>254545</v>
      </c>
      <c r="N275" s="241">
        <v>1</v>
      </c>
      <c r="O275" s="253">
        <f t="shared" si="13"/>
        <v>254545</v>
      </c>
      <c r="P275" s="253">
        <v>275000</v>
      </c>
      <c r="Q275" s="253">
        <f t="shared" si="14"/>
        <v>275000</v>
      </c>
    </row>
    <row r="276" spans="2:17">
      <c r="B276" s="200">
        <v>273</v>
      </c>
      <c r="C276" s="241" t="s">
        <v>1086</v>
      </c>
      <c r="D276" s="242" t="s">
        <v>1087</v>
      </c>
      <c r="E276" s="243" t="s">
        <v>9</v>
      </c>
      <c r="F276" s="244" t="s">
        <v>1003</v>
      </c>
      <c r="G276" s="241"/>
      <c r="H276" s="241" t="s">
        <v>1088</v>
      </c>
      <c r="I276" s="241"/>
      <c r="J276" s="244" t="s">
        <v>50</v>
      </c>
      <c r="K276" s="241" t="s">
        <v>1089</v>
      </c>
      <c r="L276" s="251">
        <v>44649</v>
      </c>
      <c r="M276" s="252">
        <v>254545</v>
      </c>
      <c r="N276" s="241">
        <v>5</v>
      </c>
      <c r="O276" s="253">
        <f t="shared" si="13"/>
        <v>1272725</v>
      </c>
      <c r="P276" s="253">
        <v>275000</v>
      </c>
      <c r="Q276" s="253">
        <f t="shared" si="14"/>
        <v>1375000</v>
      </c>
    </row>
    <row r="277" spans="2:17">
      <c r="B277" s="200">
        <v>274</v>
      </c>
      <c r="C277" s="241" t="s">
        <v>1090</v>
      </c>
      <c r="D277" s="242" t="s">
        <v>1087</v>
      </c>
      <c r="E277" s="243" t="s">
        <v>9</v>
      </c>
      <c r="F277" s="244" t="s">
        <v>1091</v>
      </c>
      <c r="G277" s="241"/>
      <c r="H277" s="241" t="s">
        <v>1088</v>
      </c>
      <c r="I277" s="241"/>
      <c r="J277" s="244" t="s">
        <v>50</v>
      </c>
      <c r="K277" s="241" t="s">
        <v>1092</v>
      </c>
      <c r="L277" s="251">
        <v>44649</v>
      </c>
      <c r="M277" s="252">
        <v>254545</v>
      </c>
      <c r="N277" s="241">
        <v>1</v>
      </c>
      <c r="O277" s="253">
        <f t="shared" si="13"/>
        <v>254545</v>
      </c>
      <c r="P277" s="253">
        <v>275000</v>
      </c>
      <c r="Q277" s="253">
        <f t="shared" si="14"/>
        <v>275000</v>
      </c>
    </row>
    <row r="278" spans="2:17">
      <c r="B278" s="200">
        <v>275</v>
      </c>
      <c r="C278" s="241" t="s">
        <v>1093</v>
      </c>
      <c r="D278" s="242" t="s">
        <v>1087</v>
      </c>
      <c r="E278" s="243" t="s">
        <v>9</v>
      </c>
      <c r="F278" s="244" t="s">
        <v>1094</v>
      </c>
      <c r="G278" s="241"/>
      <c r="H278" s="241" t="s">
        <v>1088</v>
      </c>
      <c r="I278" s="241"/>
      <c r="J278" s="244" t="s">
        <v>50</v>
      </c>
      <c r="K278" s="241" t="s">
        <v>1095</v>
      </c>
      <c r="L278" s="251">
        <v>44649</v>
      </c>
      <c r="M278" s="252">
        <v>254545</v>
      </c>
      <c r="N278" s="241">
        <v>1</v>
      </c>
      <c r="O278" s="253">
        <f t="shared" si="13"/>
        <v>254545</v>
      </c>
      <c r="P278" s="253">
        <v>275000</v>
      </c>
      <c r="Q278" s="253">
        <f t="shared" si="14"/>
        <v>275000</v>
      </c>
    </row>
    <row r="279" spans="2:17">
      <c r="B279" s="200">
        <v>276</v>
      </c>
      <c r="C279" s="241" t="s">
        <v>1096</v>
      </c>
      <c r="D279" s="242" t="s">
        <v>1087</v>
      </c>
      <c r="E279" s="243" t="s">
        <v>9</v>
      </c>
      <c r="F279" s="244" t="s">
        <v>1091</v>
      </c>
      <c r="G279" s="241"/>
      <c r="H279" s="241" t="s">
        <v>1088</v>
      </c>
      <c r="I279" s="241"/>
      <c r="J279" s="244" t="s">
        <v>50</v>
      </c>
      <c r="K279" s="241" t="s">
        <v>1097</v>
      </c>
      <c r="L279" s="251">
        <v>44649</v>
      </c>
      <c r="M279" s="252">
        <v>254545</v>
      </c>
      <c r="N279" s="241">
        <v>1</v>
      </c>
      <c r="O279" s="253">
        <f t="shared" si="13"/>
        <v>254545</v>
      </c>
      <c r="P279" s="253">
        <v>275000</v>
      </c>
      <c r="Q279" s="253">
        <f t="shared" si="14"/>
        <v>275000</v>
      </c>
    </row>
    <row r="280" spans="2:17">
      <c r="B280" s="200">
        <v>277</v>
      </c>
      <c r="C280" s="241" t="s">
        <v>1098</v>
      </c>
      <c r="D280" s="242" t="s">
        <v>1087</v>
      </c>
      <c r="E280" s="243" t="s">
        <v>9</v>
      </c>
      <c r="F280" s="244" t="s">
        <v>1094</v>
      </c>
      <c r="G280" s="241"/>
      <c r="H280" s="241" t="s">
        <v>1088</v>
      </c>
      <c r="I280" s="241"/>
      <c r="J280" s="244" t="s">
        <v>50</v>
      </c>
      <c r="K280" s="241" t="s">
        <v>1099</v>
      </c>
      <c r="L280" s="251">
        <v>44649</v>
      </c>
      <c r="M280" s="252">
        <v>254545</v>
      </c>
      <c r="N280" s="241">
        <v>2</v>
      </c>
      <c r="O280" s="253">
        <f t="shared" si="13"/>
        <v>509090</v>
      </c>
      <c r="P280" s="253">
        <v>275000</v>
      </c>
      <c r="Q280" s="253">
        <f t="shared" si="14"/>
        <v>550000</v>
      </c>
    </row>
    <row r="281" spans="2:17">
      <c r="B281" s="200">
        <v>278</v>
      </c>
      <c r="C281" s="241" t="s">
        <v>1100</v>
      </c>
      <c r="D281" s="242" t="s">
        <v>1087</v>
      </c>
      <c r="E281" s="243" t="s">
        <v>9</v>
      </c>
      <c r="F281" s="244" t="s">
        <v>1101</v>
      </c>
      <c r="G281" s="241"/>
      <c r="H281" s="241" t="s">
        <v>1088</v>
      </c>
      <c r="I281" s="241"/>
      <c r="J281" s="244" t="s">
        <v>50</v>
      </c>
      <c r="K281" s="241" t="s">
        <v>1102</v>
      </c>
      <c r="L281" s="251">
        <v>44649</v>
      </c>
      <c r="M281" s="252">
        <v>254545</v>
      </c>
      <c r="N281" s="241">
        <v>1</v>
      </c>
      <c r="O281" s="253">
        <f t="shared" si="13"/>
        <v>254545</v>
      </c>
      <c r="P281" s="253">
        <v>275000</v>
      </c>
      <c r="Q281" s="253">
        <f t="shared" si="14"/>
        <v>275000</v>
      </c>
    </row>
    <row r="282" spans="2:17">
      <c r="B282" s="200">
        <v>279</v>
      </c>
      <c r="C282" s="241" t="s">
        <v>1103</v>
      </c>
      <c r="D282" s="242" t="s">
        <v>1087</v>
      </c>
      <c r="E282" s="243" t="s">
        <v>9</v>
      </c>
      <c r="F282" s="244" t="s">
        <v>1104</v>
      </c>
      <c r="G282" s="241"/>
      <c r="H282" s="241" t="s">
        <v>1088</v>
      </c>
      <c r="I282" s="241"/>
      <c r="J282" s="244" t="s">
        <v>50</v>
      </c>
      <c r="K282" s="241" t="s">
        <v>1105</v>
      </c>
      <c r="L282" s="251">
        <v>44649</v>
      </c>
      <c r="M282" s="252">
        <v>254545</v>
      </c>
      <c r="N282" s="241">
        <v>6</v>
      </c>
      <c r="O282" s="253">
        <f t="shared" si="13"/>
        <v>1527270</v>
      </c>
      <c r="P282" s="253">
        <v>275000</v>
      </c>
      <c r="Q282" s="253">
        <f t="shared" si="14"/>
        <v>1650000</v>
      </c>
    </row>
    <row r="283" spans="2:17">
      <c r="B283" s="200">
        <v>280</v>
      </c>
      <c r="C283" s="241" t="s">
        <v>1106</v>
      </c>
      <c r="D283" s="242" t="s">
        <v>1087</v>
      </c>
      <c r="E283" s="243" t="s">
        <v>9</v>
      </c>
      <c r="F283" s="244" t="s">
        <v>1107</v>
      </c>
      <c r="G283" s="241"/>
      <c r="H283" s="241" t="s">
        <v>1088</v>
      </c>
      <c r="I283" s="241"/>
      <c r="J283" s="244" t="s">
        <v>50</v>
      </c>
      <c r="K283" s="241" t="s">
        <v>1108</v>
      </c>
      <c r="L283" s="251">
        <v>44649</v>
      </c>
      <c r="M283" s="252">
        <v>254545</v>
      </c>
      <c r="N283" s="241">
        <v>1</v>
      </c>
      <c r="O283" s="253">
        <f t="shared" si="13"/>
        <v>254545</v>
      </c>
      <c r="P283" s="253">
        <v>275000</v>
      </c>
      <c r="Q283" s="253">
        <f t="shared" si="14"/>
        <v>275000</v>
      </c>
    </row>
    <row r="284" spans="2:17">
      <c r="B284" s="200">
        <v>281</v>
      </c>
      <c r="C284" s="241" t="s">
        <v>1109</v>
      </c>
      <c r="D284" s="242" t="s">
        <v>1087</v>
      </c>
      <c r="E284" s="243" t="s">
        <v>9</v>
      </c>
      <c r="F284" s="244" t="s">
        <v>1110</v>
      </c>
      <c r="G284" s="241"/>
      <c r="H284" s="241" t="s">
        <v>1088</v>
      </c>
      <c r="I284" s="241"/>
      <c r="J284" s="244" t="s">
        <v>50</v>
      </c>
      <c r="K284" s="241" t="s">
        <v>1111</v>
      </c>
      <c r="L284" s="251">
        <v>44649</v>
      </c>
      <c r="M284" s="252">
        <v>254545</v>
      </c>
      <c r="N284" s="241">
        <v>1</v>
      </c>
      <c r="O284" s="253">
        <f t="shared" si="13"/>
        <v>254545</v>
      </c>
      <c r="P284" s="253">
        <v>275000</v>
      </c>
      <c r="Q284" s="253">
        <f t="shared" si="14"/>
        <v>275000</v>
      </c>
    </row>
    <row r="285" spans="2:17">
      <c r="B285" s="200">
        <v>282</v>
      </c>
      <c r="C285" s="241" t="s">
        <v>1112</v>
      </c>
      <c r="D285" s="242" t="s">
        <v>1113</v>
      </c>
      <c r="E285" s="243" t="s">
        <v>9</v>
      </c>
      <c r="F285" s="244" t="s">
        <v>222</v>
      </c>
      <c r="G285" s="241"/>
      <c r="H285" s="241" t="s">
        <v>1114</v>
      </c>
      <c r="I285" s="241"/>
      <c r="J285" s="244" t="s">
        <v>50</v>
      </c>
      <c r="K285" s="241" t="s">
        <v>1115</v>
      </c>
      <c r="L285" s="251">
        <v>44651</v>
      </c>
      <c r="M285" s="252">
        <v>254545</v>
      </c>
      <c r="N285" s="241">
        <v>1</v>
      </c>
      <c r="O285" s="253">
        <f t="shared" si="13"/>
        <v>254545</v>
      </c>
      <c r="P285" s="253">
        <v>275000</v>
      </c>
      <c r="Q285" s="253">
        <f t="shared" si="14"/>
        <v>275000</v>
      </c>
    </row>
    <row r="286" spans="2:17">
      <c r="B286" s="200">
        <v>283</v>
      </c>
      <c r="C286" s="241" t="s">
        <v>1116</v>
      </c>
      <c r="D286" s="242" t="s">
        <v>1113</v>
      </c>
      <c r="E286" s="243" t="s">
        <v>9</v>
      </c>
      <c r="F286" s="244" t="s">
        <v>1117</v>
      </c>
      <c r="G286" s="241"/>
      <c r="H286" s="241" t="s">
        <v>1114</v>
      </c>
      <c r="I286" s="241"/>
      <c r="J286" s="244" t="s">
        <v>50</v>
      </c>
      <c r="K286" s="241" t="s">
        <v>1118</v>
      </c>
      <c r="L286" s="251">
        <v>44651</v>
      </c>
      <c r="M286" s="252">
        <v>254545</v>
      </c>
      <c r="N286" s="241">
        <v>2</v>
      </c>
      <c r="O286" s="253">
        <f t="shared" si="13"/>
        <v>509090</v>
      </c>
      <c r="P286" s="253">
        <v>275000</v>
      </c>
      <c r="Q286" s="253">
        <f t="shared" si="14"/>
        <v>550000</v>
      </c>
    </row>
    <row r="287" spans="2:17">
      <c r="B287" s="200">
        <v>284</v>
      </c>
      <c r="C287" s="237" t="s">
        <v>1119</v>
      </c>
      <c r="D287" s="238" t="s">
        <v>1120</v>
      </c>
      <c r="E287" s="239" t="s">
        <v>9</v>
      </c>
      <c r="F287" s="240" t="s">
        <v>1121</v>
      </c>
      <c r="G287" s="237"/>
      <c r="H287" s="237" t="s">
        <v>1114</v>
      </c>
      <c r="I287" s="237"/>
      <c r="J287" s="240" t="s">
        <v>50</v>
      </c>
      <c r="K287" s="237" t="s">
        <v>1122</v>
      </c>
      <c r="L287" s="248">
        <v>44652</v>
      </c>
      <c r="M287" s="249">
        <v>254545</v>
      </c>
      <c r="N287" s="237">
        <v>2</v>
      </c>
      <c r="O287" s="250">
        <f t="shared" si="13"/>
        <v>509090</v>
      </c>
      <c r="P287" s="250">
        <v>275000</v>
      </c>
      <c r="Q287" s="250">
        <f t="shared" si="14"/>
        <v>550000</v>
      </c>
    </row>
    <row r="288" spans="2:17">
      <c r="B288" s="200">
        <v>285</v>
      </c>
      <c r="C288" s="237" t="s">
        <v>1123</v>
      </c>
      <c r="D288" s="238" t="s">
        <v>1120</v>
      </c>
      <c r="E288" s="239" t="s">
        <v>9</v>
      </c>
      <c r="F288" s="240" t="s">
        <v>1124</v>
      </c>
      <c r="G288" s="237"/>
      <c r="H288" s="237" t="s">
        <v>1114</v>
      </c>
      <c r="I288" s="237"/>
      <c r="J288" s="240" t="s">
        <v>50</v>
      </c>
      <c r="K288" s="237" t="s">
        <v>1125</v>
      </c>
      <c r="L288" s="248">
        <v>44652</v>
      </c>
      <c r="M288" s="249">
        <v>254545</v>
      </c>
      <c r="N288" s="237">
        <v>9</v>
      </c>
      <c r="O288" s="250">
        <f t="shared" si="13"/>
        <v>2290905</v>
      </c>
      <c r="P288" s="250">
        <v>275000</v>
      </c>
      <c r="Q288" s="250">
        <f t="shared" si="14"/>
        <v>2475000</v>
      </c>
    </row>
    <row r="289" spans="2:17">
      <c r="B289" s="200">
        <v>286</v>
      </c>
      <c r="C289" s="237" t="s">
        <v>1126</v>
      </c>
      <c r="D289" s="238" t="s">
        <v>1120</v>
      </c>
      <c r="E289" s="239" t="s">
        <v>9</v>
      </c>
      <c r="F289" s="240" t="s">
        <v>1127</v>
      </c>
      <c r="G289" s="237"/>
      <c r="H289" s="237" t="s">
        <v>1114</v>
      </c>
      <c r="I289" s="237"/>
      <c r="J289" s="240" t="s">
        <v>50</v>
      </c>
      <c r="K289" s="237" t="s">
        <v>1128</v>
      </c>
      <c r="L289" s="248">
        <v>44652</v>
      </c>
      <c r="M289" s="249">
        <v>254545</v>
      </c>
      <c r="N289" s="237">
        <v>3</v>
      </c>
      <c r="O289" s="250">
        <f t="shared" si="13"/>
        <v>763635</v>
      </c>
      <c r="P289" s="250">
        <v>275000</v>
      </c>
      <c r="Q289" s="250">
        <f t="shared" si="14"/>
        <v>825000</v>
      </c>
    </row>
    <row r="290" spans="2:17">
      <c r="B290" s="200">
        <v>287</v>
      </c>
      <c r="C290" s="237" t="s">
        <v>1129</v>
      </c>
      <c r="D290" s="238" t="s">
        <v>1120</v>
      </c>
      <c r="E290" s="239" t="s">
        <v>9</v>
      </c>
      <c r="F290" s="240" t="s">
        <v>1130</v>
      </c>
      <c r="G290" s="237"/>
      <c r="H290" s="237" t="s">
        <v>1114</v>
      </c>
      <c r="I290" s="237"/>
      <c r="J290" s="240" t="s">
        <v>50</v>
      </c>
      <c r="K290" s="237" t="s">
        <v>1131</v>
      </c>
      <c r="L290" s="248">
        <v>44652</v>
      </c>
      <c r="M290" s="249">
        <v>254545</v>
      </c>
      <c r="N290" s="237">
        <v>2</v>
      </c>
      <c r="O290" s="250">
        <f t="shared" si="13"/>
        <v>509090</v>
      </c>
      <c r="P290" s="250">
        <v>275000</v>
      </c>
      <c r="Q290" s="250">
        <f t="shared" si="14"/>
        <v>550000</v>
      </c>
    </row>
    <row r="291" spans="2:17">
      <c r="B291" s="200">
        <v>288</v>
      </c>
      <c r="C291" s="237" t="s">
        <v>1132</v>
      </c>
      <c r="D291" s="238" t="s">
        <v>1120</v>
      </c>
      <c r="E291" s="239" t="s">
        <v>9</v>
      </c>
      <c r="F291" s="240" t="s">
        <v>1133</v>
      </c>
      <c r="G291" s="237"/>
      <c r="H291" s="237" t="s">
        <v>1114</v>
      </c>
      <c r="I291" s="237"/>
      <c r="J291" s="240" t="s">
        <v>50</v>
      </c>
      <c r="K291" s="237" t="s">
        <v>1134</v>
      </c>
      <c r="L291" s="248">
        <v>44652</v>
      </c>
      <c r="M291" s="249">
        <v>254545</v>
      </c>
      <c r="N291" s="237">
        <v>4</v>
      </c>
      <c r="O291" s="250">
        <f t="shared" si="13"/>
        <v>1018180</v>
      </c>
      <c r="P291" s="250">
        <v>275000</v>
      </c>
      <c r="Q291" s="250">
        <f t="shared" si="14"/>
        <v>1100000</v>
      </c>
    </row>
    <row r="292" spans="2:17">
      <c r="B292" s="200">
        <v>289</v>
      </c>
      <c r="C292" s="237" t="s">
        <v>1135</v>
      </c>
      <c r="D292" s="238" t="s">
        <v>1120</v>
      </c>
      <c r="E292" s="239" t="s">
        <v>9</v>
      </c>
      <c r="F292" s="240" t="s">
        <v>1136</v>
      </c>
      <c r="G292" s="237"/>
      <c r="H292" s="237" t="s">
        <v>1114</v>
      </c>
      <c r="I292" s="237"/>
      <c r="J292" s="240" t="s">
        <v>50</v>
      </c>
      <c r="K292" s="237" t="s">
        <v>1137</v>
      </c>
      <c r="L292" s="248">
        <v>44652</v>
      </c>
      <c r="M292" s="249">
        <v>254545</v>
      </c>
      <c r="N292" s="237">
        <v>4</v>
      </c>
      <c r="O292" s="250">
        <f t="shared" si="13"/>
        <v>1018180</v>
      </c>
      <c r="P292" s="250">
        <v>275000</v>
      </c>
      <c r="Q292" s="250">
        <f t="shared" si="14"/>
        <v>1100000</v>
      </c>
    </row>
    <row r="293" spans="2:17">
      <c r="B293" s="200">
        <v>290</v>
      </c>
      <c r="C293" s="237" t="s">
        <v>1138</v>
      </c>
      <c r="D293" s="238" t="s">
        <v>1139</v>
      </c>
      <c r="E293" s="239" t="s">
        <v>9</v>
      </c>
      <c r="F293" s="240" t="s">
        <v>1140</v>
      </c>
      <c r="G293" s="237"/>
      <c r="H293" s="237" t="s">
        <v>1141</v>
      </c>
      <c r="I293" s="237"/>
      <c r="J293" s="240" t="s">
        <v>50</v>
      </c>
      <c r="K293" s="237" t="s">
        <v>1142</v>
      </c>
      <c r="L293" s="248">
        <v>44657</v>
      </c>
      <c r="M293" s="249">
        <v>254545</v>
      </c>
      <c r="N293" s="237">
        <v>4</v>
      </c>
      <c r="O293" s="250">
        <f t="shared" si="13"/>
        <v>1018180</v>
      </c>
      <c r="P293" s="250">
        <v>275000</v>
      </c>
      <c r="Q293" s="250">
        <f t="shared" si="14"/>
        <v>1100000</v>
      </c>
    </row>
    <row r="294" spans="2:17">
      <c r="B294" s="200">
        <v>291</v>
      </c>
      <c r="C294" s="237" t="s">
        <v>1143</v>
      </c>
      <c r="D294" s="238" t="s">
        <v>1139</v>
      </c>
      <c r="E294" s="239" t="s">
        <v>9</v>
      </c>
      <c r="F294" s="240" t="s">
        <v>1144</v>
      </c>
      <c r="G294" s="237"/>
      <c r="H294" s="237" t="s">
        <v>1141</v>
      </c>
      <c r="I294" s="237"/>
      <c r="J294" s="240" t="s">
        <v>50</v>
      </c>
      <c r="K294" s="237" t="s">
        <v>1145</v>
      </c>
      <c r="L294" s="248">
        <v>44657</v>
      </c>
      <c r="M294" s="249">
        <v>254545</v>
      </c>
      <c r="N294" s="237">
        <v>2</v>
      </c>
      <c r="O294" s="250">
        <f t="shared" si="13"/>
        <v>509090</v>
      </c>
      <c r="P294" s="250">
        <v>275000</v>
      </c>
      <c r="Q294" s="250">
        <f t="shared" si="14"/>
        <v>550000</v>
      </c>
    </row>
    <row r="295" spans="2:17">
      <c r="B295" s="200">
        <v>292</v>
      </c>
      <c r="C295" s="237" t="s">
        <v>1146</v>
      </c>
      <c r="D295" s="238" t="s">
        <v>1139</v>
      </c>
      <c r="E295" s="239" t="s">
        <v>9</v>
      </c>
      <c r="F295" s="240" t="s">
        <v>1147</v>
      </c>
      <c r="G295" s="237"/>
      <c r="H295" s="237" t="s">
        <v>1141</v>
      </c>
      <c r="I295" s="237"/>
      <c r="J295" s="240" t="s">
        <v>50</v>
      </c>
      <c r="K295" s="237" t="s">
        <v>1148</v>
      </c>
      <c r="L295" s="248">
        <v>44657</v>
      </c>
      <c r="M295" s="249">
        <v>254545</v>
      </c>
      <c r="N295" s="237">
        <v>12</v>
      </c>
      <c r="O295" s="250">
        <f t="shared" si="13"/>
        <v>3054540</v>
      </c>
      <c r="P295" s="250">
        <v>275000</v>
      </c>
      <c r="Q295" s="250">
        <f t="shared" si="14"/>
        <v>3300000</v>
      </c>
    </row>
    <row r="296" spans="2:17">
      <c r="B296" s="200">
        <v>293</v>
      </c>
      <c r="C296" s="237" t="s">
        <v>1149</v>
      </c>
      <c r="D296" s="238" t="s">
        <v>1139</v>
      </c>
      <c r="E296" s="239" t="s">
        <v>9</v>
      </c>
      <c r="F296" s="240" t="s">
        <v>1150</v>
      </c>
      <c r="G296" s="237"/>
      <c r="H296" s="237" t="s">
        <v>1141</v>
      </c>
      <c r="I296" s="237"/>
      <c r="J296" s="240" t="s">
        <v>50</v>
      </c>
      <c r="K296" s="237" t="s">
        <v>1151</v>
      </c>
      <c r="L296" s="248">
        <v>44657</v>
      </c>
      <c r="M296" s="249">
        <v>254545</v>
      </c>
      <c r="N296" s="237">
        <v>3</v>
      </c>
      <c r="O296" s="250">
        <f t="shared" si="13"/>
        <v>763635</v>
      </c>
      <c r="P296" s="250">
        <v>275000</v>
      </c>
      <c r="Q296" s="250">
        <f t="shared" si="14"/>
        <v>825000</v>
      </c>
    </row>
    <row r="297" spans="2:17">
      <c r="B297" s="200">
        <v>294</v>
      </c>
      <c r="C297" s="237" t="s">
        <v>1152</v>
      </c>
      <c r="D297" s="238" t="s">
        <v>1139</v>
      </c>
      <c r="E297" s="239" t="s">
        <v>9</v>
      </c>
      <c r="F297" s="240" t="s">
        <v>1153</v>
      </c>
      <c r="G297" s="237"/>
      <c r="H297" s="237" t="s">
        <v>1141</v>
      </c>
      <c r="I297" s="237"/>
      <c r="J297" s="240" t="s">
        <v>50</v>
      </c>
      <c r="K297" s="237" t="s">
        <v>1154</v>
      </c>
      <c r="L297" s="248">
        <v>44657</v>
      </c>
      <c r="M297" s="249">
        <v>254545</v>
      </c>
      <c r="N297" s="237">
        <v>8</v>
      </c>
      <c r="O297" s="250">
        <f t="shared" si="13"/>
        <v>2036360</v>
      </c>
      <c r="P297" s="250">
        <v>275000</v>
      </c>
      <c r="Q297" s="250">
        <f t="shared" si="14"/>
        <v>2200000</v>
      </c>
    </row>
    <row r="298" spans="2:17">
      <c r="B298" s="200">
        <v>295</v>
      </c>
      <c r="C298" s="237" t="s">
        <v>1155</v>
      </c>
      <c r="D298" s="238" t="s">
        <v>1139</v>
      </c>
      <c r="E298" s="239" t="s">
        <v>9</v>
      </c>
      <c r="F298" s="240" t="s">
        <v>1156</v>
      </c>
      <c r="G298" s="237"/>
      <c r="H298" s="237" t="s">
        <v>1141</v>
      </c>
      <c r="I298" s="237"/>
      <c r="J298" s="240" t="s">
        <v>50</v>
      </c>
      <c r="K298" s="237" t="s">
        <v>1157</v>
      </c>
      <c r="L298" s="248">
        <v>44657</v>
      </c>
      <c r="M298" s="249">
        <v>254545</v>
      </c>
      <c r="N298" s="237">
        <v>1</v>
      </c>
      <c r="O298" s="250">
        <f t="shared" si="13"/>
        <v>254545</v>
      </c>
      <c r="P298" s="250">
        <v>275000</v>
      </c>
      <c r="Q298" s="250">
        <f t="shared" si="14"/>
        <v>275000</v>
      </c>
    </row>
    <row r="299" spans="2:17">
      <c r="B299" s="200">
        <v>296</v>
      </c>
      <c r="C299" s="237" t="s">
        <v>1158</v>
      </c>
      <c r="D299" s="238" t="s">
        <v>1139</v>
      </c>
      <c r="E299" s="239" t="s">
        <v>9</v>
      </c>
      <c r="F299" s="240" t="s">
        <v>1159</v>
      </c>
      <c r="G299" s="237"/>
      <c r="H299" s="237" t="s">
        <v>1141</v>
      </c>
      <c r="I299" s="237"/>
      <c r="J299" s="240" t="s">
        <v>50</v>
      </c>
      <c r="K299" s="237" t="s">
        <v>1160</v>
      </c>
      <c r="L299" s="248">
        <v>44657</v>
      </c>
      <c r="M299" s="249">
        <v>254545</v>
      </c>
      <c r="N299" s="237">
        <v>1</v>
      </c>
      <c r="O299" s="250">
        <f t="shared" si="13"/>
        <v>254545</v>
      </c>
      <c r="P299" s="250">
        <v>275000</v>
      </c>
      <c r="Q299" s="250">
        <f t="shared" si="14"/>
        <v>275000</v>
      </c>
    </row>
    <row r="300" spans="2:17">
      <c r="B300" s="200">
        <v>297</v>
      </c>
      <c r="C300" s="237" t="s">
        <v>1161</v>
      </c>
      <c r="D300" s="238" t="s">
        <v>1139</v>
      </c>
      <c r="E300" s="239" t="s">
        <v>9</v>
      </c>
      <c r="F300" s="240" t="s">
        <v>1162</v>
      </c>
      <c r="G300" s="237"/>
      <c r="H300" s="237" t="s">
        <v>1141</v>
      </c>
      <c r="I300" s="237"/>
      <c r="J300" s="240" t="s">
        <v>50</v>
      </c>
      <c r="K300" s="237" t="s">
        <v>1163</v>
      </c>
      <c r="L300" s="248">
        <v>44657</v>
      </c>
      <c r="M300" s="249">
        <v>254545</v>
      </c>
      <c r="N300" s="237">
        <v>1</v>
      </c>
      <c r="O300" s="250">
        <f t="shared" si="13"/>
        <v>254545</v>
      </c>
      <c r="P300" s="250">
        <v>275000</v>
      </c>
      <c r="Q300" s="250">
        <f t="shared" si="14"/>
        <v>275000</v>
      </c>
    </row>
    <row r="301" spans="2:17">
      <c r="B301" s="200">
        <v>298</v>
      </c>
      <c r="C301" s="237" t="s">
        <v>1164</v>
      </c>
      <c r="D301" s="238" t="s">
        <v>1165</v>
      </c>
      <c r="E301" s="239" t="s">
        <v>11</v>
      </c>
      <c r="F301" s="240" t="s">
        <v>733</v>
      </c>
      <c r="G301" s="237"/>
      <c r="H301" s="237" t="s">
        <v>1166</v>
      </c>
      <c r="I301" s="237"/>
      <c r="J301" s="240" t="s">
        <v>85</v>
      </c>
      <c r="K301" s="237" t="s">
        <v>1167</v>
      </c>
      <c r="L301" s="248">
        <v>44657</v>
      </c>
      <c r="M301" s="249">
        <v>222727</v>
      </c>
      <c r="N301" s="237">
        <v>5</v>
      </c>
      <c r="O301" s="250">
        <f t="shared" si="13"/>
        <v>1113635</v>
      </c>
      <c r="P301" s="250">
        <v>279091</v>
      </c>
      <c r="Q301" s="250">
        <f t="shared" si="14"/>
        <v>1395455</v>
      </c>
    </row>
    <row r="302" spans="2:17">
      <c r="B302" s="200">
        <v>299</v>
      </c>
      <c r="C302" s="237" t="s">
        <v>1168</v>
      </c>
      <c r="D302" s="238" t="s">
        <v>1169</v>
      </c>
      <c r="E302" s="239" t="s">
        <v>9</v>
      </c>
      <c r="F302" s="240" t="s">
        <v>1170</v>
      </c>
      <c r="G302" s="237"/>
      <c r="H302" s="237" t="s">
        <v>801</v>
      </c>
      <c r="I302" s="237"/>
      <c r="J302" s="240" t="s">
        <v>50</v>
      </c>
      <c r="K302" s="237" t="s">
        <v>1171</v>
      </c>
      <c r="L302" s="248">
        <v>44659</v>
      </c>
      <c r="M302" s="249">
        <v>254545</v>
      </c>
      <c r="N302" s="237">
        <v>4</v>
      </c>
      <c r="O302" s="250">
        <f t="shared" si="13"/>
        <v>1018180</v>
      </c>
      <c r="P302" s="250">
        <v>275000</v>
      </c>
      <c r="Q302" s="250">
        <f t="shared" si="14"/>
        <v>1100000</v>
      </c>
    </row>
    <row r="303" spans="2:17">
      <c r="B303" s="200">
        <v>300</v>
      </c>
      <c r="C303" s="237" t="s">
        <v>1172</v>
      </c>
      <c r="D303" s="238" t="s">
        <v>1169</v>
      </c>
      <c r="E303" s="239" t="s">
        <v>9</v>
      </c>
      <c r="F303" s="240" t="s">
        <v>1173</v>
      </c>
      <c r="G303" s="237"/>
      <c r="H303" s="237" t="s">
        <v>801</v>
      </c>
      <c r="I303" s="237"/>
      <c r="J303" s="240" t="s">
        <v>50</v>
      </c>
      <c r="K303" s="237" t="s">
        <v>1174</v>
      </c>
      <c r="L303" s="248">
        <v>44659</v>
      </c>
      <c r="M303" s="249">
        <v>254545</v>
      </c>
      <c r="N303" s="237">
        <v>4</v>
      </c>
      <c r="O303" s="250">
        <f t="shared" si="13"/>
        <v>1018180</v>
      </c>
      <c r="P303" s="250">
        <v>275000</v>
      </c>
      <c r="Q303" s="250">
        <f t="shared" si="14"/>
        <v>1100000</v>
      </c>
    </row>
    <row r="304" spans="2:17">
      <c r="B304" s="200">
        <v>301</v>
      </c>
      <c r="C304" s="237" t="s">
        <v>1175</v>
      </c>
      <c r="D304" s="238" t="s">
        <v>1169</v>
      </c>
      <c r="E304" s="239" t="s">
        <v>9</v>
      </c>
      <c r="F304" s="240" t="s">
        <v>1176</v>
      </c>
      <c r="G304" s="237"/>
      <c r="H304" s="237" t="s">
        <v>801</v>
      </c>
      <c r="I304" s="237"/>
      <c r="J304" s="240" t="s">
        <v>50</v>
      </c>
      <c r="K304" s="237" t="s">
        <v>1177</v>
      </c>
      <c r="L304" s="248">
        <v>44659</v>
      </c>
      <c r="M304" s="249">
        <v>254545</v>
      </c>
      <c r="N304" s="237">
        <v>8</v>
      </c>
      <c r="O304" s="250">
        <f t="shared" si="13"/>
        <v>2036360</v>
      </c>
      <c r="P304" s="250">
        <v>275000</v>
      </c>
      <c r="Q304" s="250">
        <f t="shared" si="14"/>
        <v>2200000</v>
      </c>
    </row>
    <row r="305" spans="2:17">
      <c r="B305" s="200">
        <v>302</v>
      </c>
      <c r="C305" s="237" t="s">
        <v>1178</v>
      </c>
      <c r="D305" s="238" t="s">
        <v>1169</v>
      </c>
      <c r="E305" s="239" t="s">
        <v>9</v>
      </c>
      <c r="F305" s="240" t="s">
        <v>1179</v>
      </c>
      <c r="G305" s="237"/>
      <c r="H305" s="237" t="s">
        <v>801</v>
      </c>
      <c r="I305" s="237"/>
      <c r="J305" s="240" t="s">
        <v>50</v>
      </c>
      <c r="K305" s="237" t="s">
        <v>1180</v>
      </c>
      <c r="L305" s="248">
        <v>44659</v>
      </c>
      <c r="M305" s="249">
        <v>254545</v>
      </c>
      <c r="N305" s="237">
        <v>5</v>
      </c>
      <c r="O305" s="250">
        <f t="shared" si="13"/>
        <v>1272725</v>
      </c>
      <c r="P305" s="250">
        <v>275000</v>
      </c>
      <c r="Q305" s="250">
        <f t="shared" si="14"/>
        <v>1375000</v>
      </c>
    </row>
    <row r="306" spans="2:17">
      <c r="B306" s="200">
        <v>303</v>
      </c>
      <c r="C306" s="237" t="s">
        <v>1181</v>
      </c>
      <c r="D306" s="238" t="s">
        <v>1169</v>
      </c>
      <c r="E306" s="239" t="s">
        <v>9</v>
      </c>
      <c r="F306" s="240" t="s">
        <v>1182</v>
      </c>
      <c r="G306" s="237"/>
      <c r="H306" s="237" t="s">
        <v>801</v>
      </c>
      <c r="I306" s="237"/>
      <c r="J306" s="240" t="s">
        <v>50</v>
      </c>
      <c r="K306" s="237" t="s">
        <v>1183</v>
      </c>
      <c r="L306" s="248">
        <v>44659</v>
      </c>
      <c r="M306" s="249">
        <v>254545</v>
      </c>
      <c r="N306" s="237">
        <v>4</v>
      </c>
      <c r="O306" s="250">
        <f t="shared" si="13"/>
        <v>1018180</v>
      </c>
      <c r="P306" s="250">
        <v>275000</v>
      </c>
      <c r="Q306" s="250">
        <f t="shared" si="14"/>
        <v>1100000</v>
      </c>
    </row>
    <row r="307" spans="2:17">
      <c r="B307" s="200">
        <v>304</v>
      </c>
      <c r="C307" s="237" t="s">
        <v>1184</v>
      </c>
      <c r="D307" s="238" t="s">
        <v>1169</v>
      </c>
      <c r="E307" s="239" t="s">
        <v>9</v>
      </c>
      <c r="F307" s="240" t="s">
        <v>999</v>
      </c>
      <c r="G307" s="237"/>
      <c r="H307" s="237" t="s">
        <v>801</v>
      </c>
      <c r="I307" s="237"/>
      <c r="J307" s="240" t="s">
        <v>50</v>
      </c>
      <c r="K307" s="237" t="s">
        <v>1185</v>
      </c>
      <c r="L307" s="248">
        <v>44659</v>
      </c>
      <c r="M307" s="249">
        <v>254545</v>
      </c>
      <c r="N307" s="237">
        <v>1</v>
      </c>
      <c r="O307" s="250">
        <f>M307*N307</f>
        <v>254545</v>
      </c>
      <c r="P307" s="250">
        <v>275000</v>
      </c>
      <c r="Q307" s="250">
        <f t="shared" si="14"/>
        <v>275000</v>
      </c>
    </row>
    <row r="308" spans="2:17">
      <c r="B308" s="200">
        <v>305</v>
      </c>
      <c r="C308" s="237" t="s">
        <v>1186</v>
      </c>
      <c r="D308" s="238" t="s">
        <v>1187</v>
      </c>
      <c r="E308" s="239" t="s">
        <v>11</v>
      </c>
      <c r="F308" s="240" t="s">
        <v>1188</v>
      </c>
      <c r="G308" s="237"/>
      <c r="H308" s="237" t="s">
        <v>801</v>
      </c>
      <c r="I308" s="237"/>
      <c r="J308" s="240" t="s">
        <v>50</v>
      </c>
      <c r="K308" s="237" t="s">
        <v>1189</v>
      </c>
      <c r="L308" s="248">
        <v>44662</v>
      </c>
      <c r="M308" s="249">
        <v>444545</v>
      </c>
      <c r="N308" s="237">
        <v>2</v>
      </c>
      <c r="O308" s="250">
        <f t="shared" ref="O308:O338" si="15">M308*N308</f>
        <v>889090</v>
      </c>
      <c r="P308" s="250">
        <v>556363.63</v>
      </c>
      <c r="Q308" s="250">
        <f t="shared" si="14"/>
        <v>1112727.26</v>
      </c>
    </row>
    <row r="309" spans="2:17">
      <c r="B309" s="200">
        <v>306</v>
      </c>
      <c r="C309" s="237" t="s">
        <v>1186</v>
      </c>
      <c r="D309" s="238" t="s">
        <v>1187</v>
      </c>
      <c r="E309" s="239" t="s">
        <v>11</v>
      </c>
      <c r="F309" s="240" t="s">
        <v>1188</v>
      </c>
      <c r="G309" s="237"/>
      <c r="H309" s="237" t="s">
        <v>1190</v>
      </c>
      <c r="I309" s="237"/>
      <c r="J309" s="240" t="s">
        <v>50</v>
      </c>
      <c r="K309" s="237" t="s">
        <v>1191</v>
      </c>
      <c r="L309" s="248">
        <v>44662</v>
      </c>
      <c r="M309" s="249">
        <v>444545</v>
      </c>
      <c r="N309" s="237">
        <v>5</v>
      </c>
      <c r="O309" s="250">
        <f t="shared" si="15"/>
        <v>2222725</v>
      </c>
      <c r="P309" s="250">
        <v>556363.63</v>
      </c>
      <c r="Q309" s="250">
        <f t="shared" si="14"/>
        <v>2781818.15</v>
      </c>
    </row>
    <row r="310" spans="2:17">
      <c r="B310" s="200">
        <v>307</v>
      </c>
      <c r="C310" s="237" t="s">
        <v>1186</v>
      </c>
      <c r="D310" s="238" t="s">
        <v>1187</v>
      </c>
      <c r="E310" s="239" t="s">
        <v>11</v>
      </c>
      <c r="F310" s="240" t="s">
        <v>1188</v>
      </c>
      <c r="G310" s="237"/>
      <c r="H310" s="237" t="s">
        <v>1192</v>
      </c>
      <c r="I310" s="237"/>
      <c r="J310" s="240" t="s">
        <v>50</v>
      </c>
      <c r="K310" s="237" t="s">
        <v>1193</v>
      </c>
      <c r="L310" s="248">
        <v>44662</v>
      </c>
      <c r="M310" s="249">
        <v>444545</v>
      </c>
      <c r="N310" s="237">
        <v>5</v>
      </c>
      <c r="O310" s="250">
        <f t="shared" si="15"/>
        <v>2222725</v>
      </c>
      <c r="P310" s="250">
        <v>556363.63</v>
      </c>
      <c r="Q310" s="250">
        <f t="shared" si="14"/>
        <v>2781818.15</v>
      </c>
    </row>
    <row r="311" spans="2:17">
      <c r="B311" s="200">
        <v>308</v>
      </c>
      <c r="C311" s="237" t="s">
        <v>1194</v>
      </c>
      <c r="D311" s="238" t="s">
        <v>1195</v>
      </c>
      <c r="E311" s="239" t="s">
        <v>9</v>
      </c>
      <c r="F311" s="240" t="s">
        <v>1196</v>
      </c>
      <c r="G311" s="237"/>
      <c r="H311" s="237" t="s">
        <v>1197</v>
      </c>
      <c r="I311" s="237"/>
      <c r="J311" s="240" t="s">
        <v>50</v>
      </c>
      <c r="K311" s="237" t="s">
        <v>1198</v>
      </c>
      <c r="L311" s="248">
        <v>44663</v>
      </c>
      <c r="M311" s="249">
        <v>254545</v>
      </c>
      <c r="N311" s="237">
        <v>1</v>
      </c>
      <c r="O311" s="250">
        <f t="shared" si="15"/>
        <v>254545</v>
      </c>
      <c r="P311" s="250">
        <v>275000</v>
      </c>
      <c r="Q311" s="250">
        <f t="shared" si="14"/>
        <v>275000</v>
      </c>
    </row>
    <row r="312" spans="2:17">
      <c r="B312" s="200">
        <v>309</v>
      </c>
      <c r="C312" s="237" t="s">
        <v>1199</v>
      </c>
      <c r="D312" s="238" t="s">
        <v>1195</v>
      </c>
      <c r="E312" s="239" t="s">
        <v>9</v>
      </c>
      <c r="F312" s="240" t="s">
        <v>1063</v>
      </c>
      <c r="G312" s="237"/>
      <c r="H312" s="237" t="s">
        <v>1197</v>
      </c>
      <c r="I312" s="237"/>
      <c r="J312" s="240" t="s">
        <v>50</v>
      </c>
      <c r="K312" s="237" t="s">
        <v>1200</v>
      </c>
      <c r="L312" s="248">
        <v>44663</v>
      </c>
      <c r="M312" s="249">
        <v>254545</v>
      </c>
      <c r="N312" s="237">
        <v>1</v>
      </c>
      <c r="O312" s="250">
        <f t="shared" si="15"/>
        <v>254545</v>
      </c>
      <c r="P312" s="250">
        <v>275000</v>
      </c>
      <c r="Q312" s="250">
        <f t="shared" si="14"/>
        <v>275000</v>
      </c>
    </row>
    <row r="313" spans="2:17">
      <c r="B313" s="200">
        <v>310</v>
      </c>
      <c r="C313" s="237" t="s">
        <v>1201</v>
      </c>
      <c r="D313" s="238" t="s">
        <v>1202</v>
      </c>
      <c r="E313" s="239" t="s">
        <v>9</v>
      </c>
      <c r="F313" s="240" t="s">
        <v>1203</v>
      </c>
      <c r="G313" s="237"/>
      <c r="H313" s="237" t="s">
        <v>1204</v>
      </c>
      <c r="I313" s="237"/>
      <c r="J313" s="240" t="s">
        <v>50</v>
      </c>
      <c r="K313" s="237" t="s">
        <v>1205</v>
      </c>
      <c r="L313" s="248">
        <v>44669</v>
      </c>
      <c r="M313" s="249">
        <v>254545</v>
      </c>
      <c r="N313" s="237">
        <v>1</v>
      </c>
      <c r="O313" s="250">
        <f t="shared" si="15"/>
        <v>254545</v>
      </c>
      <c r="P313" s="250">
        <v>275000</v>
      </c>
      <c r="Q313" s="250">
        <f t="shared" si="14"/>
        <v>275000</v>
      </c>
    </row>
    <row r="314" spans="2:17">
      <c r="B314" s="200">
        <v>311</v>
      </c>
      <c r="C314" s="237" t="s">
        <v>1206</v>
      </c>
      <c r="D314" s="238" t="s">
        <v>1202</v>
      </c>
      <c r="E314" s="239" t="s">
        <v>9</v>
      </c>
      <c r="F314" s="240" t="s">
        <v>1207</v>
      </c>
      <c r="G314" s="237"/>
      <c r="H314" s="237" t="s">
        <v>1204</v>
      </c>
      <c r="I314" s="237"/>
      <c r="J314" s="240" t="s">
        <v>50</v>
      </c>
      <c r="K314" s="237" t="s">
        <v>1208</v>
      </c>
      <c r="L314" s="248">
        <v>44669</v>
      </c>
      <c r="M314" s="249">
        <v>254545</v>
      </c>
      <c r="N314" s="237">
        <v>9</v>
      </c>
      <c r="O314" s="250">
        <f t="shared" si="15"/>
        <v>2290905</v>
      </c>
      <c r="P314" s="250">
        <v>275000</v>
      </c>
      <c r="Q314" s="250">
        <f t="shared" si="14"/>
        <v>2475000</v>
      </c>
    </row>
    <row r="315" spans="2:17">
      <c r="B315" s="200">
        <v>312</v>
      </c>
      <c r="C315" s="237" t="s">
        <v>1209</v>
      </c>
      <c r="D315" s="238" t="s">
        <v>1202</v>
      </c>
      <c r="E315" s="239" t="s">
        <v>9</v>
      </c>
      <c r="F315" s="240" t="s">
        <v>1210</v>
      </c>
      <c r="G315" s="237"/>
      <c r="H315" s="237" t="s">
        <v>1204</v>
      </c>
      <c r="I315" s="237"/>
      <c r="J315" s="240" t="s">
        <v>50</v>
      </c>
      <c r="K315" s="237" t="s">
        <v>1211</v>
      </c>
      <c r="L315" s="248">
        <v>44669</v>
      </c>
      <c r="M315" s="249">
        <v>254545</v>
      </c>
      <c r="N315" s="237">
        <v>2</v>
      </c>
      <c r="O315" s="250">
        <f t="shared" si="15"/>
        <v>509090</v>
      </c>
      <c r="P315" s="250">
        <v>275000</v>
      </c>
      <c r="Q315" s="250">
        <f t="shared" si="14"/>
        <v>550000</v>
      </c>
    </row>
    <row r="316" spans="2:17">
      <c r="B316" s="200">
        <v>313</v>
      </c>
      <c r="C316" s="237" t="s">
        <v>1212</v>
      </c>
      <c r="D316" s="238" t="s">
        <v>1213</v>
      </c>
      <c r="E316" s="239" t="s">
        <v>9</v>
      </c>
      <c r="F316" s="240" t="s">
        <v>1214</v>
      </c>
      <c r="G316" s="237"/>
      <c r="H316" s="237" t="s">
        <v>1215</v>
      </c>
      <c r="I316" s="237"/>
      <c r="J316" s="240" t="s">
        <v>50</v>
      </c>
      <c r="K316" s="237" t="s">
        <v>1216</v>
      </c>
      <c r="L316" s="248">
        <v>44676</v>
      </c>
      <c r="M316" s="249">
        <v>254545</v>
      </c>
      <c r="N316" s="237">
        <v>2</v>
      </c>
      <c r="O316" s="250">
        <f t="shared" si="15"/>
        <v>509090</v>
      </c>
      <c r="P316" s="250">
        <v>275000</v>
      </c>
      <c r="Q316" s="250">
        <f t="shared" si="14"/>
        <v>550000</v>
      </c>
    </row>
    <row r="317" spans="2:17">
      <c r="B317" s="200">
        <v>314</v>
      </c>
      <c r="C317" s="237" t="s">
        <v>1217</v>
      </c>
      <c r="D317" s="238" t="s">
        <v>1213</v>
      </c>
      <c r="E317" s="239" t="s">
        <v>9</v>
      </c>
      <c r="F317" s="240" t="s">
        <v>1218</v>
      </c>
      <c r="G317" s="237"/>
      <c r="H317" s="237" t="s">
        <v>1215</v>
      </c>
      <c r="I317" s="237"/>
      <c r="J317" s="240" t="s">
        <v>50</v>
      </c>
      <c r="K317" s="237" t="s">
        <v>1219</v>
      </c>
      <c r="L317" s="248">
        <v>44676</v>
      </c>
      <c r="M317" s="249">
        <v>254545</v>
      </c>
      <c r="N317" s="237">
        <v>2</v>
      </c>
      <c r="O317" s="250">
        <f t="shared" si="15"/>
        <v>509090</v>
      </c>
      <c r="P317" s="250">
        <v>275000</v>
      </c>
      <c r="Q317" s="250">
        <f t="shared" si="14"/>
        <v>550000</v>
      </c>
    </row>
    <row r="318" spans="2:17">
      <c r="B318" s="200">
        <v>315</v>
      </c>
      <c r="C318" s="237" t="s">
        <v>1220</v>
      </c>
      <c r="D318" s="238" t="s">
        <v>1213</v>
      </c>
      <c r="E318" s="239" t="s">
        <v>9</v>
      </c>
      <c r="F318" s="240" t="s">
        <v>445</v>
      </c>
      <c r="G318" s="237"/>
      <c r="H318" s="237" t="s">
        <v>1221</v>
      </c>
      <c r="I318" s="237"/>
      <c r="J318" s="240" t="s">
        <v>50</v>
      </c>
      <c r="K318" s="237" t="s">
        <v>1222</v>
      </c>
      <c r="L318" s="248">
        <v>44676</v>
      </c>
      <c r="M318" s="249">
        <v>254545</v>
      </c>
      <c r="N318" s="237">
        <v>1</v>
      </c>
      <c r="O318" s="250">
        <f t="shared" si="15"/>
        <v>254545</v>
      </c>
      <c r="P318" s="250">
        <v>275000</v>
      </c>
      <c r="Q318" s="250">
        <f t="shared" si="14"/>
        <v>275000</v>
      </c>
    </row>
    <row r="319" spans="2:17">
      <c r="B319" s="200">
        <v>316</v>
      </c>
      <c r="C319" s="241" t="s">
        <v>1223</v>
      </c>
      <c r="D319" s="242" t="s">
        <v>1224</v>
      </c>
      <c r="E319" s="243" t="s">
        <v>9</v>
      </c>
      <c r="F319" s="244" t="s">
        <v>665</v>
      </c>
      <c r="G319" s="241"/>
      <c r="H319" s="241" t="s">
        <v>1225</v>
      </c>
      <c r="I319" s="241"/>
      <c r="J319" s="244" t="s">
        <v>50</v>
      </c>
      <c r="K319" s="241" t="s">
        <v>1226</v>
      </c>
      <c r="L319" s="251">
        <v>44690</v>
      </c>
      <c r="M319" s="252">
        <v>254545</v>
      </c>
      <c r="N319" s="241">
        <v>2</v>
      </c>
      <c r="O319" s="253">
        <f t="shared" si="15"/>
        <v>509090</v>
      </c>
      <c r="P319" s="253">
        <v>275000</v>
      </c>
      <c r="Q319" s="253">
        <f t="shared" si="14"/>
        <v>550000</v>
      </c>
    </row>
    <row r="320" spans="2:17">
      <c r="B320" s="200">
        <v>317</v>
      </c>
      <c r="C320" s="241" t="s">
        <v>1227</v>
      </c>
      <c r="D320" s="242" t="s">
        <v>1224</v>
      </c>
      <c r="E320" s="243" t="s">
        <v>9</v>
      </c>
      <c r="F320" s="244" t="s">
        <v>1228</v>
      </c>
      <c r="G320" s="241"/>
      <c r="H320" s="241" t="s">
        <v>1225</v>
      </c>
      <c r="I320" s="241"/>
      <c r="J320" s="244" t="s">
        <v>50</v>
      </c>
      <c r="K320" s="241" t="s">
        <v>1229</v>
      </c>
      <c r="L320" s="251">
        <v>44690</v>
      </c>
      <c r="M320" s="252">
        <v>254545</v>
      </c>
      <c r="N320" s="241">
        <v>3</v>
      </c>
      <c r="O320" s="253">
        <f t="shared" si="15"/>
        <v>763635</v>
      </c>
      <c r="P320" s="253">
        <v>275000</v>
      </c>
      <c r="Q320" s="253">
        <f t="shared" si="14"/>
        <v>825000</v>
      </c>
    </row>
    <row r="321" spans="2:17">
      <c r="B321" s="200">
        <v>318</v>
      </c>
      <c r="C321" s="241" t="s">
        <v>1230</v>
      </c>
      <c r="D321" s="242" t="s">
        <v>1231</v>
      </c>
      <c r="E321" s="243" t="s">
        <v>11</v>
      </c>
      <c r="F321" s="244" t="s">
        <v>6</v>
      </c>
      <c r="G321" s="241"/>
      <c r="H321" s="241" t="s">
        <v>1232</v>
      </c>
      <c r="I321" s="241"/>
      <c r="J321" s="244" t="s">
        <v>50</v>
      </c>
      <c r="K321" s="241" t="s">
        <v>1233</v>
      </c>
      <c r="L321" s="251">
        <v>44690</v>
      </c>
      <c r="M321" s="252">
        <v>184875</v>
      </c>
      <c r="N321" s="241">
        <v>3</v>
      </c>
      <c r="O321" s="253">
        <f t="shared" si="15"/>
        <v>554625</v>
      </c>
      <c r="P321" s="253">
        <v>201682</v>
      </c>
      <c r="Q321" s="253">
        <f t="shared" si="14"/>
        <v>605046</v>
      </c>
    </row>
    <row r="322" spans="2:17">
      <c r="B322" s="200">
        <v>319</v>
      </c>
      <c r="C322" s="241" t="s">
        <v>1234</v>
      </c>
      <c r="D322" s="242" t="s">
        <v>1235</v>
      </c>
      <c r="E322" s="243" t="s">
        <v>9</v>
      </c>
      <c r="F322" s="244" t="s">
        <v>1047</v>
      </c>
      <c r="G322" s="241"/>
      <c r="H322" s="241" t="s">
        <v>1236</v>
      </c>
      <c r="I322" s="241"/>
      <c r="J322" s="244" t="s">
        <v>50</v>
      </c>
      <c r="K322" s="241" t="s">
        <v>1237</v>
      </c>
      <c r="L322" s="251">
        <v>44690</v>
      </c>
      <c r="M322" s="252">
        <v>254545</v>
      </c>
      <c r="N322" s="241">
        <v>1</v>
      </c>
      <c r="O322" s="253">
        <f t="shared" si="15"/>
        <v>254545</v>
      </c>
      <c r="P322" s="253">
        <v>275000</v>
      </c>
      <c r="Q322" s="253">
        <f t="shared" si="14"/>
        <v>275000</v>
      </c>
    </row>
    <row r="323" spans="2:17">
      <c r="B323" s="200">
        <v>320</v>
      </c>
      <c r="C323" s="241" t="s">
        <v>1238</v>
      </c>
      <c r="D323" s="242" t="s">
        <v>1235</v>
      </c>
      <c r="E323" s="243" t="s">
        <v>9</v>
      </c>
      <c r="F323" s="244" t="s">
        <v>1173</v>
      </c>
      <c r="G323" s="241"/>
      <c r="H323" s="241" t="s">
        <v>1236</v>
      </c>
      <c r="I323" s="241"/>
      <c r="J323" s="244" t="s">
        <v>50</v>
      </c>
      <c r="K323" s="241" t="s">
        <v>1239</v>
      </c>
      <c r="L323" s="251">
        <v>44690</v>
      </c>
      <c r="M323" s="252">
        <v>254545</v>
      </c>
      <c r="N323" s="241">
        <v>2</v>
      </c>
      <c r="O323" s="253">
        <f t="shared" si="15"/>
        <v>509090</v>
      </c>
      <c r="P323" s="253">
        <v>275000</v>
      </c>
      <c r="Q323" s="253">
        <f t="shared" si="14"/>
        <v>550000</v>
      </c>
    </row>
    <row r="324" spans="2:17">
      <c r="B324" s="200">
        <v>321</v>
      </c>
      <c r="C324" s="241" t="s">
        <v>1240</v>
      </c>
      <c r="D324" s="242" t="s">
        <v>1241</v>
      </c>
      <c r="E324" s="243" t="s">
        <v>9</v>
      </c>
      <c r="F324" s="244" t="s">
        <v>1242</v>
      </c>
      <c r="G324" s="241"/>
      <c r="H324" s="241" t="s">
        <v>1243</v>
      </c>
      <c r="I324" s="241"/>
      <c r="J324" s="244" t="s">
        <v>50</v>
      </c>
      <c r="K324" s="241" t="s">
        <v>1244</v>
      </c>
      <c r="L324" s="251">
        <v>44693</v>
      </c>
      <c r="M324" s="252">
        <v>254545</v>
      </c>
      <c r="N324" s="241">
        <v>1</v>
      </c>
      <c r="O324" s="253">
        <f t="shared" si="15"/>
        <v>254545</v>
      </c>
      <c r="P324" s="253">
        <v>275000</v>
      </c>
      <c r="Q324" s="253">
        <f t="shared" si="14"/>
        <v>275000</v>
      </c>
    </row>
    <row r="325" spans="2:17">
      <c r="B325" s="200">
        <v>322</v>
      </c>
      <c r="C325" s="241" t="s">
        <v>1245</v>
      </c>
      <c r="D325" s="242" t="s">
        <v>1241</v>
      </c>
      <c r="E325" s="243" t="s">
        <v>9</v>
      </c>
      <c r="F325" s="244" t="s">
        <v>1246</v>
      </c>
      <c r="G325" s="241"/>
      <c r="H325" s="241" t="s">
        <v>1247</v>
      </c>
      <c r="I325" s="241"/>
      <c r="J325" s="244" t="s">
        <v>50</v>
      </c>
      <c r="K325" s="241" t="s">
        <v>1248</v>
      </c>
      <c r="L325" s="251">
        <v>44693</v>
      </c>
      <c r="M325" s="252">
        <v>254545</v>
      </c>
      <c r="N325" s="241">
        <v>1</v>
      </c>
      <c r="O325" s="253">
        <f t="shared" si="15"/>
        <v>254545</v>
      </c>
      <c r="P325" s="253">
        <v>275000</v>
      </c>
      <c r="Q325" s="253">
        <f t="shared" si="14"/>
        <v>275000</v>
      </c>
    </row>
    <row r="326" spans="2:17">
      <c r="B326" s="200">
        <v>323</v>
      </c>
      <c r="C326" s="241" t="s">
        <v>1249</v>
      </c>
      <c r="D326" s="242" t="s">
        <v>1250</v>
      </c>
      <c r="E326" s="243" t="s">
        <v>9</v>
      </c>
      <c r="F326" s="244" t="s">
        <v>1251</v>
      </c>
      <c r="G326" s="241"/>
      <c r="H326" s="241" t="s">
        <v>1252</v>
      </c>
      <c r="I326" s="241"/>
      <c r="J326" s="244" t="s">
        <v>50</v>
      </c>
      <c r="K326" s="241" t="s">
        <v>1253</v>
      </c>
      <c r="L326" s="251">
        <v>44701</v>
      </c>
      <c r="M326" s="252">
        <v>254545</v>
      </c>
      <c r="N326" s="241">
        <v>1</v>
      </c>
      <c r="O326" s="253">
        <f t="shared" si="15"/>
        <v>254545</v>
      </c>
      <c r="P326" s="253">
        <v>275000</v>
      </c>
      <c r="Q326" s="253">
        <f t="shared" si="14"/>
        <v>275000</v>
      </c>
    </row>
    <row r="327" spans="2:17">
      <c r="B327" s="200">
        <v>324</v>
      </c>
      <c r="C327" s="241" t="s">
        <v>1254</v>
      </c>
      <c r="D327" s="242" t="s">
        <v>1250</v>
      </c>
      <c r="E327" s="243" t="s">
        <v>9</v>
      </c>
      <c r="F327" s="244" t="s">
        <v>1255</v>
      </c>
      <c r="G327" s="241"/>
      <c r="H327" s="241" t="s">
        <v>1247</v>
      </c>
      <c r="I327" s="241"/>
      <c r="J327" s="244" t="s">
        <v>50</v>
      </c>
      <c r="K327" s="241" t="s">
        <v>1256</v>
      </c>
      <c r="L327" s="251">
        <v>44701</v>
      </c>
      <c r="M327" s="252">
        <v>254545</v>
      </c>
      <c r="N327" s="241">
        <v>3</v>
      </c>
      <c r="O327" s="253">
        <f t="shared" si="15"/>
        <v>763635</v>
      </c>
      <c r="P327" s="253">
        <v>275000</v>
      </c>
      <c r="Q327" s="253">
        <f t="shared" si="14"/>
        <v>825000</v>
      </c>
    </row>
    <row r="328" spans="2:17">
      <c r="B328" s="200">
        <v>325</v>
      </c>
      <c r="C328" s="241" t="s">
        <v>1257</v>
      </c>
      <c r="D328" s="242" t="s">
        <v>1258</v>
      </c>
      <c r="E328" s="243" t="s">
        <v>82</v>
      </c>
      <c r="F328" s="243" t="s">
        <v>83</v>
      </c>
      <c r="G328" s="241"/>
      <c r="H328" s="241" t="s">
        <v>1259</v>
      </c>
      <c r="I328" s="241"/>
      <c r="J328" s="244" t="s">
        <v>85</v>
      </c>
      <c r="K328" s="241" t="s">
        <v>1260</v>
      </c>
      <c r="L328" s="251">
        <v>44705</v>
      </c>
      <c r="M328" s="252">
        <v>222727</v>
      </c>
      <c r="N328" s="241">
        <v>350</v>
      </c>
      <c r="O328" s="253">
        <f t="shared" si="15"/>
        <v>77954450</v>
      </c>
      <c r="P328" s="253">
        <v>279090.90999999997</v>
      </c>
      <c r="Q328" s="253">
        <f t="shared" si="14"/>
        <v>97681818.499999985</v>
      </c>
    </row>
    <row r="329" spans="2:17">
      <c r="B329" s="200">
        <v>326</v>
      </c>
      <c r="C329" s="241" t="s">
        <v>1261</v>
      </c>
      <c r="D329" s="242" t="s">
        <v>1262</v>
      </c>
      <c r="E329" s="243" t="s">
        <v>9</v>
      </c>
      <c r="F329" s="244" t="s">
        <v>1263</v>
      </c>
      <c r="G329" s="241"/>
      <c r="H329" s="241" t="s">
        <v>1264</v>
      </c>
      <c r="I329" s="241"/>
      <c r="J329" s="244" t="s">
        <v>50</v>
      </c>
      <c r="K329" s="241" t="s">
        <v>1265</v>
      </c>
      <c r="L329" s="251">
        <v>44706</v>
      </c>
      <c r="M329" s="252">
        <v>254545</v>
      </c>
      <c r="N329" s="241">
        <v>6</v>
      </c>
      <c r="O329" s="253">
        <f t="shared" si="15"/>
        <v>1527270</v>
      </c>
      <c r="P329" s="253">
        <v>275000</v>
      </c>
      <c r="Q329" s="253">
        <f t="shared" si="14"/>
        <v>1650000</v>
      </c>
    </row>
    <row r="330" spans="2:17">
      <c r="B330" s="200">
        <v>327</v>
      </c>
      <c r="C330" s="237" t="s">
        <v>1266</v>
      </c>
      <c r="D330" s="238" t="s">
        <v>1267</v>
      </c>
      <c r="E330" s="239" t="s">
        <v>9</v>
      </c>
      <c r="F330" s="239" t="s">
        <v>660</v>
      </c>
      <c r="G330" s="237"/>
      <c r="H330" s="237" t="s">
        <v>1268</v>
      </c>
      <c r="I330" s="237"/>
      <c r="J330" s="240" t="s">
        <v>50</v>
      </c>
      <c r="K330" s="237" t="s">
        <v>1269</v>
      </c>
      <c r="L330" s="248">
        <v>44715</v>
      </c>
      <c r="M330" s="249">
        <v>254545</v>
      </c>
      <c r="N330" s="237">
        <v>1</v>
      </c>
      <c r="O330" s="250">
        <f t="shared" si="15"/>
        <v>254545</v>
      </c>
      <c r="P330" s="250">
        <v>275000</v>
      </c>
      <c r="Q330" s="250">
        <f t="shared" si="14"/>
        <v>275000</v>
      </c>
    </row>
    <row r="331" spans="2:17">
      <c r="B331" s="200">
        <v>328</v>
      </c>
      <c r="C331" s="237" t="s">
        <v>1270</v>
      </c>
      <c r="D331" s="238" t="s">
        <v>1267</v>
      </c>
      <c r="E331" s="239" t="s">
        <v>9</v>
      </c>
      <c r="F331" s="239" t="s">
        <v>1271</v>
      </c>
      <c r="G331" s="237"/>
      <c r="H331" s="237" t="s">
        <v>1272</v>
      </c>
      <c r="I331" s="237"/>
      <c r="J331" s="240" t="s">
        <v>50</v>
      </c>
      <c r="K331" s="237" t="s">
        <v>1273</v>
      </c>
      <c r="L331" s="248">
        <v>44715</v>
      </c>
      <c r="M331" s="249">
        <v>254545</v>
      </c>
      <c r="N331" s="237">
        <v>3</v>
      </c>
      <c r="O331" s="250">
        <f t="shared" si="15"/>
        <v>763635</v>
      </c>
      <c r="P331" s="250">
        <v>275000</v>
      </c>
      <c r="Q331" s="250">
        <f t="shared" si="14"/>
        <v>825000</v>
      </c>
    </row>
    <row r="332" spans="2:17">
      <c r="B332" s="200">
        <v>329</v>
      </c>
      <c r="C332" s="237" t="s">
        <v>1274</v>
      </c>
      <c r="D332" s="238" t="s">
        <v>1275</v>
      </c>
      <c r="E332" s="239" t="s">
        <v>16</v>
      </c>
      <c r="F332" s="239" t="s">
        <v>1276</v>
      </c>
      <c r="G332" s="237"/>
      <c r="H332" s="237" t="s">
        <v>1277</v>
      </c>
      <c r="I332" s="237"/>
      <c r="J332" s="240" t="s">
        <v>85</v>
      </c>
      <c r="K332" s="237" t="s">
        <v>1278</v>
      </c>
      <c r="L332" s="248">
        <v>44718</v>
      </c>
      <c r="M332" s="249">
        <v>222727</v>
      </c>
      <c r="N332" s="237">
        <v>5</v>
      </c>
      <c r="O332" s="250">
        <f t="shared" si="15"/>
        <v>1113635</v>
      </c>
      <c r="P332" s="250">
        <v>279091</v>
      </c>
      <c r="Q332" s="250">
        <f t="shared" si="14"/>
        <v>1395455</v>
      </c>
    </row>
    <row r="333" spans="2:17">
      <c r="B333" s="200">
        <v>330</v>
      </c>
      <c r="C333" s="237" t="s">
        <v>1279</v>
      </c>
      <c r="D333" s="238" t="s">
        <v>1280</v>
      </c>
      <c r="E333" s="239" t="s">
        <v>9</v>
      </c>
      <c r="F333" s="240" t="s">
        <v>1281</v>
      </c>
      <c r="G333" s="237"/>
      <c r="H333" s="237" t="s">
        <v>1282</v>
      </c>
      <c r="I333" s="237"/>
      <c r="J333" s="240" t="s">
        <v>50</v>
      </c>
      <c r="K333" s="237" t="s">
        <v>1283</v>
      </c>
      <c r="L333" s="248">
        <v>44720</v>
      </c>
      <c r="M333" s="249">
        <v>254545</v>
      </c>
      <c r="N333" s="237">
        <v>3</v>
      </c>
      <c r="O333" s="250">
        <f t="shared" si="15"/>
        <v>763635</v>
      </c>
      <c r="P333" s="250">
        <v>275000</v>
      </c>
      <c r="Q333" s="250">
        <f t="shared" si="14"/>
        <v>825000</v>
      </c>
    </row>
    <row r="334" spans="2:17">
      <c r="B334" s="200">
        <v>331</v>
      </c>
      <c r="C334" s="237" t="s">
        <v>1284</v>
      </c>
      <c r="D334" s="238" t="s">
        <v>1280</v>
      </c>
      <c r="E334" s="239" t="s">
        <v>9</v>
      </c>
      <c r="F334" s="240" t="s">
        <v>1285</v>
      </c>
      <c r="G334" s="237"/>
      <c r="H334" s="237" t="s">
        <v>1286</v>
      </c>
      <c r="I334" s="237"/>
      <c r="J334" s="240" t="s">
        <v>50</v>
      </c>
      <c r="K334" s="237" t="s">
        <v>1287</v>
      </c>
      <c r="L334" s="248">
        <v>44720</v>
      </c>
      <c r="M334" s="249">
        <v>254545</v>
      </c>
      <c r="N334" s="237">
        <v>1</v>
      </c>
      <c r="O334" s="250">
        <f t="shared" si="15"/>
        <v>254545</v>
      </c>
      <c r="P334" s="250">
        <v>275000</v>
      </c>
      <c r="Q334" s="250">
        <f t="shared" si="14"/>
        <v>275000</v>
      </c>
    </row>
    <row r="335" spans="2:17">
      <c r="B335" s="200">
        <v>332</v>
      </c>
      <c r="C335" s="237" t="s">
        <v>1288</v>
      </c>
      <c r="D335" s="238" t="s">
        <v>1289</v>
      </c>
      <c r="E335" s="239" t="s">
        <v>11</v>
      </c>
      <c r="F335" s="240" t="s">
        <v>320</v>
      </c>
      <c r="G335" s="237"/>
      <c r="H335" s="237" t="s">
        <v>1290</v>
      </c>
      <c r="I335" s="237"/>
      <c r="J335" s="240" t="s">
        <v>85</v>
      </c>
      <c r="K335" s="237" t="s">
        <v>1291</v>
      </c>
      <c r="L335" s="248">
        <v>44720</v>
      </c>
      <c r="M335" s="249">
        <v>222727</v>
      </c>
      <c r="N335" s="237">
        <v>20</v>
      </c>
      <c r="O335" s="250">
        <f t="shared" si="15"/>
        <v>4454540</v>
      </c>
      <c r="P335" s="250">
        <v>279091</v>
      </c>
      <c r="Q335" s="250">
        <f t="shared" si="14"/>
        <v>5581820</v>
      </c>
    </row>
    <row r="336" spans="2:17">
      <c r="B336" s="200">
        <v>333</v>
      </c>
      <c r="C336" s="237" t="s">
        <v>1292</v>
      </c>
      <c r="D336" s="238" t="s">
        <v>1289</v>
      </c>
      <c r="E336" s="239" t="s">
        <v>11</v>
      </c>
      <c r="F336" s="240" t="s">
        <v>320</v>
      </c>
      <c r="G336" s="237"/>
      <c r="H336" s="237" t="s">
        <v>1290</v>
      </c>
      <c r="I336" s="237"/>
      <c r="J336" s="240" t="s">
        <v>85</v>
      </c>
      <c r="K336" s="237" t="s">
        <v>1293</v>
      </c>
      <c r="L336" s="248">
        <v>44720</v>
      </c>
      <c r="M336" s="249">
        <v>222727</v>
      </c>
      <c r="N336" s="237">
        <v>5</v>
      </c>
      <c r="O336" s="250">
        <f t="shared" si="15"/>
        <v>1113635</v>
      </c>
      <c r="P336" s="250">
        <v>279091</v>
      </c>
      <c r="Q336" s="250">
        <f t="shared" si="14"/>
        <v>1395455</v>
      </c>
    </row>
    <row r="337" spans="2:17">
      <c r="B337" s="200">
        <v>334</v>
      </c>
      <c r="C337" s="237" t="s">
        <v>1294</v>
      </c>
      <c r="D337" s="238" t="s">
        <v>1295</v>
      </c>
      <c r="E337" s="239" t="s">
        <v>1296</v>
      </c>
      <c r="F337" s="240" t="s">
        <v>1297</v>
      </c>
      <c r="G337" s="237"/>
      <c r="H337" s="237" t="s">
        <v>1298</v>
      </c>
      <c r="I337" s="237"/>
      <c r="J337" s="240" t="s">
        <v>85</v>
      </c>
      <c r="K337" s="237" t="s">
        <v>1299</v>
      </c>
      <c r="L337" s="248">
        <v>44739</v>
      </c>
      <c r="M337" s="249">
        <v>222727</v>
      </c>
      <c r="N337" s="237">
        <v>9</v>
      </c>
      <c r="O337" s="250">
        <f t="shared" si="15"/>
        <v>2004543</v>
      </c>
      <c r="P337" s="250">
        <v>279091</v>
      </c>
      <c r="Q337" s="250">
        <f t="shared" si="14"/>
        <v>2511819</v>
      </c>
    </row>
    <row r="338" spans="2:17">
      <c r="B338" s="200">
        <v>335</v>
      </c>
      <c r="C338" s="237" t="s">
        <v>1300</v>
      </c>
      <c r="D338" s="238" t="s">
        <v>1295</v>
      </c>
      <c r="E338" s="239" t="s">
        <v>1296</v>
      </c>
      <c r="F338" s="240" t="s">
        <v>733</v>
      </c>
      <c r="G338" s="237"/>
      <c r="H338" s="237" t="s">
        <v>1298</v>
      </c>
      <c r="I338" s="237"/>
      <c r="J338" s="240" t="s">
        <v>85</v>
      </c>
      <c r="K338" s="237" t="s">
        <v>1301</v>
      </c>
      <c r="L338" s="248">
        <v>44739</v>
      </c>
      <c r="M338" s="249">
        <v>222727</v>
      </c>
      <c r="N338" s="237">
        <v>6</v>
      </c>
      <c r="O338" s="250">
        <f t="shared" si="15"/>
        <v>1336362</v>
      </c>
      <c r="P338" s="250">
        <v>279091</v>
      </c>
      <c r="Q338" s="250">
        <f t="shared" si="14"/>
        <v>1674546</v>
      </c>
    </row>
    <row r="339" spans="2:17">
      <c r="B339" s="200">
        <v>336</v>
      </c>
      <c r="C339" s="237" t="s">
        <v>1302</v>
      </c>
      <c r="D339" s="238" t="s">
        <v>1303</v>
      </c>
      <c r="E339" s="239" t="s">
        <v>11</v>
      </c>
      <c r="F339" s="240" t="s">
        <v>320</v>
      </c>
      <c r="G339" s="237"/>
      <c r="H339" s="237" t="s">
        <v>1304</v>
      </c>
      <c r="I339" s="237"/>
      <c r="J339" s="240" t="s">
        <v>50</v>
      </c>
      <c r="K339" s="237" t="s">
        <v>1305</v>
      </c>
      <c r="L339" s="248">
        <v>44736</v>
      </c>
      <c r="M339" s="249">
        <v>444545</v>
      </c>
      <c r="N339" s="237">
        <v>35</v>
      </c>
      <c r="O339" s="250">
        <f t="shared" si="13"/>
        <v>15559075</v>
      </c>
      <c r="P339" s="250">
        <v>556363.63</v>
      </c>
      <c r="Q339" s="250">
        <f t="shared" si="14"/>
        <v>19472727.050000001</v>
      </c>
    </row>
    <row r="340" spans="2:17">
      <c r="B340" s="200">
        <v>337</v>
      </c>
      <c r="C340" s="237" t="s">
        <v>1306</v>
      </c>
      <c r="D340" s="238" t="s">
        <v>1307</v>
      </c>
      <c r="E340" s="239" t="s">
        <v>9</v>
      </c>
      <c r="F340" s="240" t="s">
        <v>1308</v>
      </c>
      <c r="G340" s="237"/>
      <c r="H340" s="237" t="s">
        <v>1309</v>
      </c>
      <c r="I340" s="237"/>
      <c r="J340" s="240" t="s">
        <v>50</v>
      </c>
      <c r="K340" s="237" t="s">
        <v>1310</v>
      </c>
      <c r="L340" s="248">
        <v>44726</v>
      </c>
      <c r="M340" s="249">
        <v>254545</v>
      </c>
      <c r="N340" s="237">
        <v>1</v>
      </c>
      <c r="O340" s="250">
        <f t="shared" si="13"/>
        <v>254545</v>
      </c>
      <c r="P340" s="250">
        <v>275000</v>
      </c>
      <c r="Q340" s="250">
        <f t="shared" si="14"/>
        <v>275000</v>
      </c>
    </row>
    <row r="341" spans="2:17">
      <c r="B341" s="200">
        <v>338</v>
      </c>
      <c r="C341" s="237" t="s">
        <v>1311</v>
      </c>
      <c r="D341" s="238" t="s">
        <v>1307</v>
      </c>
      <c r="E341" s="239" t="s">
        <v>9</v>
      </c>
      <c r="F341" s="240" t="s">
        <v>1312</v>
      </c>
      <c r="G341" s="237"/>
      <c r="H341" s="237" t="s">
        <v>1309</v>
      </c>
      <c r="I341" s="237"/>
      <c r="J341" s="240" t="s">
        <v>50</v>
      </c>
      <c r="K341" s="237" t="s">
        <v>1313</v>
      </c>
      <c r="L341" s="248">
        <v>44726</v>
      </c>
      <c r="M341" s="249">
        <v>254545</v>
      </c>
      <c r="N341" s="237">
        <v>2</v>
      </c>
      <c r="O341" s="250">
        <f t="shared" si="13"/>
        <v>509090</v>
      </c>
      <c r="P341" s="250">
        <v>275000</v>
      </c>
      <c r="Q341" s="250">
        <f t="shared" si="14"/>
        <v>550000</v>
      </c>
    </row>
    <row r="342" spans="2:17">
      <c r="B342" s="200">
        <v>339</v>
      </c>
      <c r="C342" s="237" t="s">
        <v>1314</v>
      </c>
      <c r="D342" s="238" t="s">
        <v>1307</v>
      </c>
      <c r="E342" s="239" t="s">
        <v>9</v>
      </c>
      <c r="F342" s="240" t="s">
        <v>1312</v>
      </c>
      <c r="G342" s="237"/>
      <c r="H342" s="237" t="s">
        <v>1309</v>
      </c>
      <c r="I342" s="237"/>
      <c r="J342" s="240" t="s">
        <v>50</v>
      </c>
      <c r="K342" s="237" t="s">
        <v>1315</v>
      </c>
      <c r="L342" s="248">
        <v>44726</v>
      </c>
      <c r="M342" s="249">
        <v>254545</v>
      </c>
      <c r="N342" s="237">
        <v>1</v>
      </c>
      <c r="O342" s="250">
        <f t="shared" si="13"/>
        <v>254545</v>
      </c>
      <c r="P342" s="250">
        <v>275000</v>
      </c>
      <c r="Q342" s="250">
        <f t="shared" si="14"/>
        <v>275000</v>
      </c>
    </row>
    <row r="343" spans="2:17">
      <c r="B343" s="200">
        <v>340</v>
      </c>
      <c r="C343" s="237" t="s">
        <v>1316</v>
      </c>
      <c r="D343" s="238" t="s">
        <v>1317</v>
      </c>
      <c r="E343" s="239" t="s">
        <v>9</v>
      </c>
      <c r="F343" s="240" t="s">
        <v>1312</v>
      </c>
      <c r="G343" s="237"/>
      <c r="H343" s="237" t="s">
        <v>1318</v>
      </c>
      <c r="I343" s="237"/>
      <c r="J343" s="240" t="s">
        <v>50</v>
      </c>
      <c r="K343" s="237" t="s">
        <v>1319</v>
      </c>
      <c r="L343" s="248">
        <v>44728</v>
      </c>
      <c r="M343" s="249">
        <v>254545</v>
      </c>
      <c r="N343" s="237">
        <v>5</v>
      </c>
      <c r="O343" s="250">
        <f t="shared" si="13"/>
        <v>1272725</v>
      </c>
      <c r="P343" s="250">
        <v>275000</v>
      </c>
      <c r="Q343" s="250">
        <f t="shared" si="14"/>
        <v>1375000</v>
      </c>
    </row>
    <row r="344" spans="2:17">
      <c r="B344" s="200">
        <v>341</v>
      </c>
      <c r="C344" s="237" t="s">
        <v>1320</v>
      </c>
      <c r="D344" s="238">
        <v>82472</v>
      </c>
      <c r="E344" s="239" t="s">
        <v>17</v>
      </c>
      <c r="F344" s="240" t="s">
        <v>114</v>
      </c>
      <c r="G344" s="237"/>
      <c r="H344" s="237" t="s">
        <v>1321</v>
      </c>
      <c r="I344" s="237"/>
      <c r="J344" s="240" t="s">
        <v>85</v>
      </c>
      <c r="K344" s="237" t="s">
        <v>311</v>
      </c>
      <c r="L344" s="248">
        <v>44729</v>
      </c>
      <c r="M344" s="249">
        <v>222727</v>
      </c>
      <c r="N344" s="237">
        <v>4</v>
      </c>
      <c r="O344" s="250">
        <f t="shared" si="13"/>
        <v>890908</v>
      </c>
      <c r="P344" s="250">
        <v>278378.38</v>
      </c>
      <c r="Q344" s="250">
        <f t="shared" si="14"/>
        <v>1113513.52</v>
      </c>
    </row>
    <row r="345" spans="2:17">
      <c r="B345" s="200">
        <v>342</v>
      </c>
      <c r="C345" s="237" t="s">
        <v>1322</v>
      </c>
      <c r="D345" s="238">
        <v>82472</v>
      </c>
      <c r="E345" s="239" t="s">
        <v>17</v>
      </c>
      <c r="F345" s="240" t="s">
        <v>114</v>
      </c>
      <c r="G345" s="237"/>
      <c r="H345" s="237" t="s">
        <v>1321</v>
      </c>
      <c r="I345" s="237"/>
      <c r="J345" s="240" t="s">
        <v>92</v>
      </c>
      <c r="K345" s="237" t="s">
        <v>303</v>
      </c>
      <c r="L345" s="248">
        <v>44729</v>
      </c>
      <c r="M345" s="249">
        <v>46364</v>
      </c>
      <c r="N345" s="237">
        <v>4</v>
      </c>
      <c r="O345" s="250">
        <f t="shared" si="13"/>
        <v>185456</v>
      </c>
      <c r="P345" s="250">
        <v>57657.66</v>
      </c>
      <c r="Q345" s="250">
        <f t="shared" si="14"/>
        <v>230630.64</v>
      </c>
    </row>
    <row r="346" spans="2:17">
      <c r="B346" s="200">
        <v>343</v>
      </c>
      <c r="C346" s="237" t="s">
        <v>1323</v>
      </c>
      <c r="D346" s="238">
        <v>82472</v>
      </c>
      <c r="E346" s="239" t="s">
        <v>17</v>
      </c>
      <c r="F346" s="240" t="s">
        <v>114</v>
      </c>
      <c r="G346" s="237"/>
      <c r="H346" s="237" t="s">
        <v>1324</v>
      </c>
      <c r="I346" s="237"/>
      <c r="J346" s="240" t="s">
        <v>85</v>
      </c>
      <c r="K346" s="237" t="s">
        <v>386</v>
      </c>
      <c r="L346" s="248">
        <v>44729</v>
      </c>
      <c r="M346" s="249">
        <v>222727</v>
      </c>
      <c r="N346" s="237">
        <v>1</v>
      </c>
      <c r="O346" s="250">
        <f t="shared" si="13"/>
        <v>222727</v>
      </c>
      <c r="P346" s="250">
        <v>278378.38</v>
      </c>
      <c r="Q346" s="250">
        <f t="shared" si="14"/>
        <v>278378.38</v>
      </c>
    </row>
    <row r="347" spans="2:17">
      <c r="B347" s="200">
        <v>344</v>
      </c>
      <c r="C347" s="237" t="s">
        <v>1325</v>
      </c>
      <c r="D347" s="238">
        <v>82472</v>
      </c>
      <c r="E347" s="239" t="s">
        <v>17</v>
      </c>
      <c r="F347" s="240" t="s">
        <v>114</v>
      </c>
      <c r="G347" s="237"/>
      <c r="H347" s="237" t="s">
        <v>1324</v>
      </c>
      <c r="I347" s="237"/>
      <c r="J347" s="240" t="s">
        <v>92</v>
      </c>
      <c r="K347" s="237" t="s">
        <v>377</v>
      </c>
      <c r="L347" s="248">
        <v>44729</v>
      </c>
      <c r="M347" s="249">
        <v>46364</v>
      </c>
      <c r="N347" s="237">
        <v>1</v>
      </c>
      <c r="O347" s="250">
        <f t="shared" si="13"/>
        <v>46364</v>
      </c>
      <c r="P347" s="250">
        <v>57657.66</v>
      </c>
      <c r="Q347" s="250">
        <f t="shared" si="14"/>
        <v>57657.66</v>
      </c>
    </row>
    <row r="348" spans="2:17">
      <c r="B348" s="200">
        <v>345</v>
      </c>
      <c r="C348" s="237" t="s">
        <v>1326</v>
      </c>
      <c r="D348" s="238">
        <v>82472</v>
      </c>
      <c r="E348" s="239" t="s">
        <v>17</v>
      </c>
      <c r="F348" s="240" t="s">
        <v>114</v>
      </c>
      <c r="G348" s="237"/>
      <c r="H348" s="237" t="s">
        <v>1327</v>
      </c>
      <c r="I348" s="237"/>
      <c r="J348" s="240" t="s">
        <v>85</v>
      </c>
      <c r="K348" s="237" t="s">
        <v>389</v>
      </c>
      <c r="L348" s="248">
        <v>44729</v>
      </c>
      <c r="M348" s="249">
        <v>222727</v>
      </c>
      <c r="N348" s="237">
        <v>11</v>
      </c>
      <c r="O348" s="250">
        <f t="shared" si="13"/>
        <v>2449997</v>
      </c>
      <c r="P348" s="250">
        <v>278378.38</v>
      </c>
      <c r="Q348" s="250">
        <f t="shared" si="14"/>
        <v>3062162.18</v>
      </c>
    </row>
    <row r="349" spans="2:17">
      <c r="B349" s="200">
        <v>346</v>
      </c>
      <c r="C349" s="237" t="s">
        <v>1328</v>
      </c>
      <c r="D349" s="238">
        <v>82472</v>
      </c>
      <c r="E349" s="239" t="s">
        <v>17</v>
      </c>
      <c r="F349" s="240" t="s">
        <v>114</v>
      </c>
      <c r="G349" s="237"/>
      <c r="H349" s="237" t="s">
        <v>1327</v>
      </c>
      <c r="I349" s="237"/>
      <c r="J349" s="240" t="s">
        <v>92</v>
      </c>
      <c r="K349" s="237" t="s">
        <v>380</v>
      </c>
      <c r="L349" s="248">
        <v>44729</v>
      </c>
      <c r="M349" s="249">
        <v>46364</v>
      </c>
      <c r="N349" s="237">
        <v>11</v>
      </c>
      <c r="O349" s="250">
        <f t="shared" si="13"/>
        <v>510004</v>
      </c>
      <c r="P349" s="250">
        <v>57657.66</v>
      </c>
      <c r="Q349" s="250">
        <f t="shared" si="14"/>
        <v>634234.26</v>
      </c>
    </row>
    <row r="350" spans="2:17">
      <c r="B350" s="200">
        <v>347</v>
      </c>
      <c r="C350" s="237" t="s">
        <v>1329</v>
      </c>
      <c r="D350" s="238" t="s">
        <v>1330</v>
      </c>
      <c r="E350" s="239" t="s">
        <v>16</v>
      </c>
      <c r="F350" s="240" t="s">
        <v>165</v>
      </c>
      <c r="G350" s="237"/>
      <c r="H350" s="237" t="s">
        <v>1331</v>
      </c>
      <c r="I350" s="237"/>
      <c r="J350" s="240" t="s">
        <v>85</v>
      </c>
      <c r="K350" s="237" t="s">
        <v>429</v>
      </c>
      <c r="L350" s="248">
        <v>44735</v>
      </c>
      <c r="M350" s="249">
        <v>222727</v>
      </c>
      <c r="N350" s="237">
        <v>310</v>
      </c>
      <c r="O350" s="250">
        <f t="shared" si="13"/>
        <v>69045370</v>
      </c>
      <c r="P350" s="250">
        <v>279091</v>
      </c>
      <c r="Q350" s="250">
        <f t="shared" si="14"/>
        <v>86518210</v>
      </c>
    </row>
    <row r="351" spans="2:17">
      <c r="B351" s="200">
        <v>348</v>
      </c>
      <c r="C351" s="237" t="s">
        <v>1332</v>
      </c>
      <c r="D351" s="238" t="s">
        <v>1333</v>
      </c>
      <c r="E351" s="239" t="s">
        <v>9</v>
      </c>
      <c r="F351" s="240" t="s">
        <v>1334</v>
      </c>
      <c r="G351" s="237"/>
      <c r="H351" s="237" t="s">
        <v>1268</v>
      </c>
      <c r="I351" s="237"/>
      <c r="J351" s="240" t="s">
        <v>50</v>
      </c>
      <c r="K351" s="237" t="s">
        <v>1335</v>
      </c>
      <c r="L351" s="248">
        <v>44739</v>
      </c>
      <c r="M351" s="249">
        <v>254545</v>
      </c>
      <c r="N351" s="237">
        <v>4</v>
      </c>
      <c r="O351" s="250">
        <f t="shared" si="13"/>
        <v>1018180</v>
      </c>
      <c r="P351" s="250">
        <v>275000</v>
      </c>
      <c r="Q351" s="250">
        <f t="shared" si="14"/>
        <v>1100000</v>
      </c>
    </row>
    <row r="352" spans="2:17">
      <c r="B352" s="200">
        <v>349</v>
      </c>
      <c r="C352" s="237" t="s">
        <v>1336</v>
      </c>
      <c r="D352" s="238" t="s">
        <v>1337</v>
      </c>
      <c r="E352" s="239" t="s">
        <v>6</v>
      </c>
      <c r="F352" s="240" t="s">
        <v>88</v>
      </c>
      <c r="G352" s="237"/>
      <c r="H352" s="237" t="s">
        <v>1331</v>
      </c>
      <c r="I352" s="237"/>
      <c r="J352" s="240" t="s">
        <v>63</v>
      </c>
      <c r="K352" s="237" t="s">
        <v>1338</v>
      </c>
      <c r="L352" s="248">
        <v>44740</v>
      </c>
      <c r="M352" s="249">
        <v>92727</v>
      </c>
      <c r="N352" s="237">
        <v>7</v>
      </c>
      <c r="O352" s="250">
        <f t="shared" si="13"/>
        <v>649089</v>
      </c>
      <c r="P352" s="250">
        <v>116216.22</v>
      </c>
      <c r="Q352" s="250">
        <f t="shared" si="14"/>
        <v>813513.54</v>
      </c>
    </row>
    <row r="353" spans="2:17">
      <c r="B353" s="200">
        <v>350</v>
      </c>
      <c r="C353" s="237" t="s">
        <v>1339</v>
      </c>
      <c r="D353" s="238" t="s">
        <v>1340</v>
      </c>
      <c r="E353" s="239" t="s">
        <v>16</v>
      </c>
      <c r="F353" s="240" t="s">
        <v>1276</v>
      </c>
      <c r="G353" s="237"/>
      <c r="H353" s="237" t="s">
        <v>1341</v>
      </c>
      <c r="I353" s="237"/>
      <c r="J353" s="240" t="s">
        <v>85</v>
      </c>
      <c r="K353" s="237" t="s">
        <v>1278</v>
      </c>
      <c r="L353" s="248">
        <v>44742</v>
      </c>
      <c r="M353" s="249">
        <v>222727</v>
      </c>
      <c r="N353" s="237">
        <v>5</v>
      </c>
      <c r="O353" s="250">
        <f t="shared" ref="O353:O362" si="16">M353*N353</f>
        <v>1113635</v>
      </c>
      <c r="P353" s="250">
        <v>279091</v>
      </c>
      <c r="Q353" s="250">
        <f t="shared" si="14"/>
        <v>1395455</v>
      </c>
    </row>
    <row r="354" spans="2:17">
      <c r="B354" s="200">
        <v>351</v>
      </c>
      <c r="C354" s="237" t="s">
        <v>1342</v>
      </c>
      <c r="D354" s="238" t="s">
        <v>1343</v>
      </c>
      <c r="E354" s="239" t="s">
        <v>9</v>
      </c>
      <c r="F354" s="240" t="s">
        <v>1344</v>
      </c>
      <c r="G354" s="237"/>
      <c r="H354" s="237" t="s">
        <v>1345</v>
      </c>
      <c r="I354" s="237"/>
      <c r="J354" s="240" t="s">
        <v>50</v>
      </c>
      <c r="K354" s="237" t="s">
        <v>1346</v>
      </c>
      <c r="L354" s="248">
        <v>44742</v>
      </c>
      <c r="M354" s="249">
        <v>254545</v>
      </c>
      <c r="N354" s="237">
        <v>2</v>
      </c>
      <c r="O354" s="250">
        <f t="shared" si="16"/>
        <v>509090</v>
      </c>
      <c r="P354" s="250">
        <v>275000</v>
      </c>
      <c r="Q354" s="250">
        <f t="shared" si="14"/>
        <v>550000</v>
      </c>
    </row>
    <row r="355" spans="2:17">
      <c r="B355" s="200">
        <v>352</v>
      </c>
      <c r="C355" s="241" t="s">
        <v>1347</v>
      </c>
      <c r="D355" s="242" t="s">
        <v>1348</v>
      </c>
      <c r="E355" s="243" t="s">
        <v>9</v>
      </c>
      <c r="F355" s="244" t="s">
        <v>1349</v>
      </c>
      <c r="G355" s="241"/>
      <c r="H355" s="241" t="s">
        <v>1350</v>
      </c>
      <c r="I355" s="241"/>
      <c r="J355" s="244" t="s">
        <v>50</v>
      </c>
      <c r="K355" s="241" t="s">
        <v>1351</v>
      </c>
      <c r="L355" s="251">
        <v>44747</v>
      </c>
      <c r="M355" s="252">
        <v>254545</v>
      </c>
      <c r="N355" s="241">
        <v>1</v>
      </c>
      <c r="O355" s="253">
        <f t="shared" si="16"/>
        <v>254545</v>
      </c>
      <c r="P355" s="253">
        <v>275000</v>
      </c>
      <c r="Q355" s="253">
        <f t="shared" si="14"/>
        <v>275000</v>
      </c>
    </row>
    <row r="356" spans="2:17">
      <c r="B356" s="200">
        <v>353</v>
      </c>
      <c r="C356" s="241" t="s">
        <v>1352</v>
      </c>
      <c r="D356" s="242">
        <v>4010013271</v>
      </c>
      <c r="E356" s="243" t="s">
        <v>2</v>
      </c>
      <c r="F356" s="243" t="s">
        <v>1353</v>
      </c>
      <c r="G356" s="241"/>
      <c r="H356" s="241" t="s">
        <v>1354</v>
      </c>
      <c r="I356" s="241"/>
      <c r="J356" s="244" t="s">
        <v>63</v>
      </c>
      <c r="K356" s="241" t="s">
        <v>424</v>
      </c>
      <c r="L356" s="251">
        <v>44749</v>
      </c>
      <c r="M356" s="252">
        <v>92727</v>
      </c>
      <c r="N356" s="241">
        <v>250</v>
      </c>
      <c r="O356" s="253">
        <f t="shared" si="16"/>
        <v>23181750</v>
      </c>
      <c r="P356" s="253">
        <f>188700/1.11</f>
        <v>169999.99999999997</v>
      </c>
      <c r="Q356" s="253">
        <f t="shared" si="14"/>
        <v>42499999.999999993</v>
      </c>
    </row>
    <row r="357" spans="2:17">
      <c r="B357" s="200">
        <v>354</v>
      </c>
      <c r="C357" s="241" t="s">
        <v>1355</v>
      </c>
      <c r="D357" s="242">
        <v>4010013271</v>
      </c>
      <c r="E357" s="243" t="s">
        <v>2</v>
      </c>
      <c r="F357" s="243" t="s">
        <v>1353</v>
      </c>
      <c r="G357" s="241"/>
      <c r="H357" s="241" t="s">
        <v>1354</v>
      </c>
      <c r="I357" s="241"/>
      <c r="J357" s="244" t="s">
        <v>85</v>
      </c>
      <c r="K357" s="241" t="s">
        <v>422</v>
      </c>
      <c r="L357" s="251">
        <v>44749</v>
      </c>
      <c r="M357" s="252">
        <v>222727</v>
      </c>
      <c r="N357" s="241">
        <v>50</v>
      </c>
      <c r="O357" s="253">
        <f t="shared" si="16"/>
        <v>11136350</v>
      </c>
      <c r="P357" s="253">
        <f>354090/1.11</f>
        <v>319000</v>
      </c>
      <c r="Q357" s="253">
        <f t="shared" ref="Q357:Q397" si="17">P357*N357</f>
        <v>15950000</v>
      </c>
    </row>
    <row r="358" spans="2:17">
      <c r="B358" s="200">
        <v>355</v>
      </c>
      <c r="C358" s="241" t="s">
        <v>1356</v>
      </c>
      <c r="D358" s="242" t="s">
        <v>1357</v>
      </c>
      <c r="E358" s="243" t="s">
        <v>6</v>
      </c>
      <c r="F358" s="244" t="s">
        <v>218</v>
      </c>
      <c r="G358" s="241"/>
      <c r="H358" s="241" t="s">
        <v>1358</v>
      </c>
      <c r="I358" s="241"/>
      <c r="J358" s="244" t="s">
        <v>63</v>
      </c>
      <c r="K358" s="241" t="s">
        <v>1359</v>
      </c>
      <c r="L358" s="251">
        <v>44750</v>
      </c>
      <c r="M358" s="252">
        <v>92727</v>
      </c>
      <c r="N358" s="241">
        <v>4</v>
      </c>
      <c r="O358" s="253">
        <f t="shared" si="16"/>
        <v>370908</v>
      </c>
      <c r="P358" s="253">
        <v>117273</v>
      </c>
      <c r="Q358" s="253">
        <f t="shared" si="17"/>
        <v>469092</v>
      </c>
    </row>
    <row r="359" spans="2:17">
      <c r="B359" s="200">
        <v>356</v>
      </c>
      <c r="C359" s="241" t="s">
        <v>1356</v>
      </c>
      <c r="D359" s="242" t="s">
        <v>1360</v>
      </c>
      <c r="E359" s="243" t="s">
        <v>19</v>
      </c>
      <c r="F359" s="244" t="s">
        <v>462</v>
      </c>
      <c r="G359" s="241"/>
      <c r="H359" s="241" t="s">
        <v>1361</v>
      </c>
      <c r="I359" s="241"/>
      <c r="J359" s="244" t="s">
        <v>85</v>
      </c>
      <c r="K359" s="241" t="s">
        <v>1362</v>
      </c>
      <c r="L359" s="251">
        <v>44750</v>
      </c>
      <c r="M359" s="252">
        <v>222727</v>
      </c>
      <c r="N359" s="241">
        <v>16</v>
      </c>
      <c r="O359" s="253">
        <f t="shared" si="16"/>
        <v>3563632</v>
      </c>
      <c r="P359" s="253">
        <v>279091</v>
      </c>
      <c r="Q359" s="253">
        <f t="shared" si="17"/>
        <v>4465456</v>
      </c>
    </row>
    <row r="360" spans="2:17">
      <c r="B360" s="200">
        <v>357</v>
      </c>
      <c r="C360" s="241" t="s">
        <v>1363</v>
      </c>
      <c r="D360" s="242" t="s">
        <v>1364</v>
      </c>
      <c r="E360" s="243" t="s">
        <v>9</v>
      </c>
      <c r="F360" s="244" t="s">
        <v>1365</v>
      </c>
      <c r="G360" s="241"/>
      <c r="H360" s="241" t="s">
        <v>1366</v>
      </c>
      <c r="I360" s="241"/>
      <c r="J360" s="244" t="s">
        <v>50</v>
      </c>
      <c r="K360" s="241" t="s">
        <v>1367</v>
      </c>
      <c r="L360" s="251">
        <v>44757</v>
      </c>
      <c r="M360" s="252">
        <v>254545</v>
      </c>
      <c r="N360" s="241">
        <v>7</v>
      </c>
      <c r="O360" s="253">
        <f t="shared" si="16"/>
        <v>1781815</v>
      </c>
      <c r="P360" s="253">
        <v>275000</v>
      </c>
      <c r="Q360" s="253">
        <f t="shared" si="17"/>
        <v>1925000</v>
      </c>
    </row>
    <row r="361" spans="2:17">
      <c r="B361" s="200">
        <v>358</v>
      </c>
      <c r="C361" s="241" t="s">
        <v>1368</v>
      </c>
      <c r="D361" s="242" t="s">
        <v>1364</v>
      </c>
      <c r="E361" s="243" t="s">
        <v>9</v>
      </c>
      <c r="F361" s="244" t="s">
        <v>1369</v>
      </c>
      <c r="G361" s="241"/>
      <c r="H361" s="241" t="s">
        <v>1366</v>
      </c>
      <c r="I361" s="241"/>
      <c r="J361" s="244" t="s">
        <v>50</v>
      </c>
      <c r="K361" s="241" t="s">
        <v>1370</v>
      </c>
      <c r="L361" s="251">
        <v>44757</v>
      </c>
      <c r="M361" s="252">
        <v>254545</v>
      </c>
      <c r="N361" s="241">
        <v>3</v>
      </c>
      <c r="O361" s="253">
        <f t="shared" si="16"/>
        <v>763635</v>
      </c>
      <c r="P361" s="253">
        <v>275000</v>
      </c>
      <c r="Q361" s="253">
        <f t="shared" si="17"/>
        <v>825000</v>
      </c>
    </row>
    <row r="362" spans="2:17">
      <c r="B362" s="200">
        <v>359</v>
      </c>
      <c r="C362" s="241" t="s">
        <v>1371</v>
      </c>
      <c r="D362" s="242" t="s">
        <v>1372</v>
      </c>
      <c r="E362" s="243" t="s">
        <v>11</v>
      </c>
      <c r="F362" s="243" t="s">
        <v>11</v>
      </c>
      <c r="G362" s="241"/>
      <c r="H362" s="241" t="s">
        <v>1373</v>
      </c>
      <c r="I362" s="241"/>
      <c r="J362" s="244" t="s">
        <v>92</v>
      </c>
      <c r="K362" s="241" t="s">
        <v>1374</v>
      </c>
      <c r="L362" s="251">
        <v>44760</v>
      </c>
      <c r="M362" s="252">
        <v>46364</v>
      </c>
      <c r="N362" s="241">
        <v>300</v>
      </c>
      <c r="O362" s="253">
        <f t="shared" si="16"/>
        <v>13909200</v>
      </c>
      <c r="P362" s="253">
        <v>55273</v>
      </c>
      <c r="Q362" s="253">
        <f t="shared" si="17"/>
        <v>16581900</v>
      </c>
    </row>
    <row r="363" spans="2:17">
      <c r="B363" s="200">
        <v>360</v>
      </c>
      <c r="C363" s="241" t="s">
        <v>1375</v>
      </c>
      <c r="D363" s="242" t="s">
        <v>1376</v>
      </c>
      <c r="E363" s="243" t="s">
        <v>11</v>
      </c>
      <c r="F363" s="244" t="s">
        <v>320</v>
      </c>
      <c r="G363" s="241"/>
      <c r="H363" s="241" t="s">
        <v>1377</v>
      </c>
      <c r="I363" s="241"/>
      <c r="J363" s="244" t="s">
        <v>50</v>
      </c>
      <c r="K363" s="241" t="s">
        <v>1378</v>
      </c>
      <c r="L363" s="251">
        <v>44762</v>
      </c>
      <c r="M363" s="252">
        <v>444545</v>
      </c>
      <c r="N363" s="241">
        <v>28</v>
      </c>
      <c r="O363" s="253">
        <f t="shared" ref="O363:O427" si="18">M363*N363</f>
        <v>12447260</v>
      </c>
      <c r="P363" s="253">
        <v>556363.63</v>
      </c>
      <c r="Q363" s="253">
        <f t="shared" si="17"/>
        <v>15578181.640000001</v>
      </c>
    </row>
    <row r="364" spans="2:17">
      <c r="B364" s="200">
        <v>361</v>
      </c>
      <c r="C364" s="241" t="s">
        <v>1379</v>
      </c>
      <c r="D364" s="242" t="s">
        <v>1376</v>
      </c>
      <c r="E364" s="243" t="s">
        <v>11</v>
      </c>
      <c r="F364" s="244" t="s">
        <v>320</v>
      </c>
      <c r="G364" s="241"/>
      <c r="H364" s="241" t="s">
        <v>1380</v>
      </c>
      <c r="I364" s="241"/>
      <c r="J364" s="244" t="s">
        <v>50</v>
      </c>
      <c r="K364" s="241" t="s">
        <v>1381</v>
      </c>
      <c r="L364" s="251">
        <v>44762</v>
      </c>
      <c r="M364" s="252">
        <v>444545</v>
      </c>
      <c r="N364" s="241">
        <v>3</v>
      </c>
      <c r="O364" s="253">
        <f t="shared" si="18"/>
        <v>1333635</v>
      </c>
      <c r="P364" s="253">
        <v>556363.63</v>
      </c>
      <c r="Q364" s="253">
        <f t="shared" si="17"/>
        <v>1669090.8900000001</v>
      </c>
    </row>
    <row r="365" spans="2:17">
      <c r="B365" s="200">
        <v>362</v>
      </c>
      <c r="C365" s="241" t="s">
        <v>1382</v>
      </c>
      <c r="D365" s="242">
        <v>2500016606</v>
      </c>
      <c r="E365" s="243" t="s">
        <v>10</v>
      </c>
      <c r="F365" s="244" t="s">
        <v>814</v>
      </c>
      <c r="G365" s="241"/>
      <c r="H365" s="241" t="s">
        <v>1383</v>
      </c>
      <c r="I365" s="241"/>
      <c r="J365" s="244" t="s">
        <v>816</v>
      </c>
      <c r="K365" s="241" t="s">
        <v>1384</v>
      </c>
      <c r="L365" s="251">
        <v>44763</v>
      </c>
      <c r="M365" s="252">
        <v>22727</v>
      </c>
      <c r="N365" s="241">
        <v>5</v>
      </c>
      <c r="O365" s="253">
        <f t="shared" si="18"/>
        <v>113635</v>
      </c>
      <c r="P365" s="253">
        <v>29091</v>
      </c>
      <c r="Q365" s="253">
        <f t="shared" si="17"/>
        <v>145455</v>
      </c>
    </row>
    <row r="366" spans="2:17">
      <c r="B366" s="200">
        <v>363</v>
      </c>
      <c r="C366" s="241" t="s">
        <v>1385</v>
      </c>
      <c r="D366" s="242" t="s">
        <v>1386</v>
      </c>
      <c r="E366" s="243" t="s">
        <v>9</v>
      </c>
      <c r="F366" s="244" t="s">
        <v>1387</v>
      </c>
      <c r="G366" s="241"/>
      <c r="H366" s="241" t="s">
        <v>1388</v>
      </c>
      <c r="I366" s="241"/>
      <c r="J366" s="244" t="s">
        <v>50</v>
      </c>
      <c r="K366" s="241" t="s">
        <v>1389</v>
      </c>
      <c r="L366" s="251">
        <v>44767</v>
      </c>
      <c r="M366" s="252">
        <v>254545</v>
      </c>
      <c r="N366" s="241">
        <v>6</v>
      </c>
      <c r="O366" s="253">
        <f t="shared" si="18"/>
        <v>1527270</v>
      </c>
      <c r="P366" s="253">
        <v>275000</v>
      </c>
      <c r="Q366" s="253">
        <f t="shared" si="17"/>
        <v>1650000</v>
      </c>
    </row>
    <row r="367" spans="2:17">
      <c r="B367" s="200">
        <v>364</v>
      </c>
      <c r="C367" s="241" t="s">
        <v>1390</v>
      </c>
      <c r="D367" s="242" t="s">
        <v>1386</v>
      </c>
      <c r="E367" s="243" t="s">
        <v>9</v>
      </c>
      <c r="F367" s="244" t="s">
        <v>1391</v>
      </c>
      <c r="G367" s="241"/>
      <c r="H367" s="241" t="s">
        <v>1388</v>
      </c>
      <c r="I367" s="241"/>
      <c r="J367" s="244" t="s">
        <v>50</v>
      </c>
      <c r="K367" s="241" t="s">
        <v>1392</v>
      </c>
      <c r="L367" s="251">
        <v>44767</v>
      </c>
      <c r="M367" s="252">
        <v>254545</v>
      </c>
      <c r="N367" s="241">
        <v>6</v>
      </c>
      <c r="O367" s="253">
        <f t="shared" si="18"/>
        <v>1527270</v>
      </c>
      <c r="P367" s="253">
        <v>275000</v>
      </c>
      <c r="Q367" s="253">
        <f t="shared" si="17"/>
        <v>1650000</v>
      </c>
    </row>
    <row r="368" spans="2:17">
      <c r="B368" s="200">
        <v>365</v>
      </c>
      <c r="C368" s="241" t="s">
        <v>1393</v>
      </c>
      <c r="D368" s="242" t="s">
        <v>1386</v>
      </c>
      <c r="E368" s="243" t="s">
        <v>9</v>
      </c>
      <c r="F368" s="244" t="s">
        <v>1394</v>
      </c>
      <c r="G368" s="241"/>
      <c r="H368" s="241" t="s">
        <v>1395</v>
      </c>
      <c r="I368" s="241"/>
      <c r="J368" s="244" t="s">
        <v>50</v>
      </c>
      <c r="K368" s="241" t="s">
        <v>1396</v>
      </c>
      <c r="L368" s="251">
        <v>44767</v>
      </c>
      <c r="M368" s="252">
        <v>254545</v>
      </c>
      <c r="N368" s="241">
        <v>3</v>
      </c>
      <c r="O368" s="253">
        <f t="shared" si="18"/>
        <v>763635</v>
      </c>
      <c r="P368" s="253">
        <v>275000</v>
      </c>
      <c r="Q368" s="253">
        <f t="shared" si="17"/>
        <v>825000</v>
      </c>
    </row>
    <row r="369" spans="2:17">
      <c r="B369" s="200">
        <v>366</v>
      </c>
      <c r="C369" s="241" t="s">
        <v>1397</v>
      </c>
      <c r="D369" s="242" t="s">
        <v>1398</v>
      </c>
      <c r="E369" s="243" t="s">
        <v>11</v>
      </c>
      <c r="F369" s="244" t="s">
        <v>733</v>
      </c>
      <c r="G369" s="241"/>
      <c r="H369" s="241" t="s">
        <v>1399</v>
      </c>
      <c r="I369" s="241"/>
      <c r="J369" s="244" t="s">
        <v>85</v>
      </c>
      <c r="K369" s="241" t="s">
        <v>1400</v>
      </c>
      <c r="L369" s="251">
        <v>44767</v>
      </c>
      <c r="M369" s="252">
        <v>222727</v>
      </c>
      <c r="N369" s="241">
        <v>1</v>
      </c>
      <c r="O369" s="253">
        <f t="shared" si="18"/>
        <v>222727</v>
      </c>
      <c r="P369" s="253">
        <v>279091</v>
      </c>
      <c r="Q369" s="253">
        <f t="shared" si="17"/>
        <v>279091</v>
      </c>
    </row>
    <row r="370" spans="2:17">
      <c r="B370" s="200">
        <v>367</v>
      </c>
      <c r="C370" s="241" t="s">
        <v>1401</v>
      </c>
      <c r="D370" s="242" t="s">
        <v>1402</v>
      </c>
      <c r="E370" s="243" t="s">
        <v>9</v>
      </c>
      <c r="F370" s="244" t="s">
        <v>1403</v>
      </c>
      <c r="G370" s="241"/>
      <c r="H370" s="241" t="s">
        <v>1404</v>
      </c>
      <c r="I370" s="241"/>
      <c r="J370" s="244" t="s">
        <v>50</v>
      </c>
      <c r="K370" s="241" t="s">
        <v>1405</v>
      </c>
      <c r="L370" s="251">
        <v>44769</v>
      </c>
      <c r="M370" s="252">
        <v>254545</v>
      </c>
      <c r="N370" s="241">
        <v>1</v>
      </c>
      <c r="O370" s="253">
        <f t="shared" si="18"/>
        <v>254545</v>
      </c>
      <c r="P370" s="253">
        <v>275000</v>
      </c>
      <c r="Q370" s="253">
        <f t="shared" si="17"/>
        <v>275000</v>
      </c>
    </row>
    <row r="371" spans="2:17">
      <c r="B371" s="200">
        <v>368</v>
      </c>
      <c r="C371" s="241" t="s">
        <v>1406</v>
      </c>
      <c r="D371" s="242" t="s">
        <v>1402</v>
      </c>
      <c r="E371" s="243" t="s">
        <v>9</v>
      </c>
      <c r="F371" s="243" t="s">
        <v>1407</v>
      </c>
      <c r="G371" s="241"/>
      <c r="H371" s="241" t="s">
        <v>1408</v>
      </c>
      <c r="I371" s="241"/>
      <c r="J371" s="244" t="s">
        <v>50</v>
      </c>
      <c r="K371" s="241" t="s">
        <v>1409</v>
      </c>
      <c r="L371" s="251">
        <v>44769</v>
      </c>
      <c r="M371" s="252">
        <v>254545</v>
      </c>
      <c r="N371" s="241">
        <v>1</v>
      </c>
      <c r="O371" s="253">
        <f t="shared" si="18"/>
        <v>254545</v>
      </c>
      <c r="P371" s="253">
        <v>275000</v>
      </c>
      <c r="Q371" s="253">
        <f t="shared" si="17"/>
        <v>275000</v>
      </c>
    </row>
    <row r="372" spans="2:17">
      <c r="B372" s="200">
        <v>369</v>
      </c>
      <c r="C372" s="241" t="s">
        <v>1410</v>
      </c>
      <c r="D372" s="242" t="s">
        <v>1411</v>
      </c>
      <c r="E372" s="243" t="s">
        <v>11</v>
      </c>
      <c r="F372" s="244" t="s">
        <v>1412</v>
      </c>
      <c r="G372" s="241"/>
      <c r="H372" s="241" t="s">
        <v>1361</v>
      </c>
      <c r="I372" s="241"/>
      <c r="J372" s="244" t="s">
        <v>1413</v>
      </c>
      <c r="K372" s="241" t="s">
        <v>1414</v>
      </c>
      <c r="L372" s="251">
        <v>44770</v>
      </c>
      <c r="M372" s="252">
        <v>106575</v>
      </c>
      <c r="N372" s="241">
        <v>2</v>
      </c>
      <c r="O372" s="253">
        <f t="shared" si="18"/>
        <v>213150</v>
      </c>
      <c r="P372" s="253">
        <v>116264</v>
      </c>
      <c r="Q372" s="253">
        <f t="shared" si="17"/>
        <v>232528</v>
      </c>
    </row>
    <row r="373" spans="2:17">
      <c r="B373" s="200">
        <v>370</v>
      </c>
      <c r="C373" s="237" t="s">
        <v>1415</v>
      </c>
      <c r="D373" s="238" t="s">
        <v>1416</v>
      </c>
      <c r="E373" s="239" t="s">
        <v>9</v>
      </c>
      <c r="F373" s="239" t="s">
        <v>1417</v>
      </c>
      <c r="G373" s="237"/>
      <c r="H373" s="237" t="s">
        <v>1418</v>
      </c>
      <c r="I373" s="237"/>
      <c r="J373" s="240" t="s">
        <v>50</v>
      </c>
      <c r="K373" s="237" t="s">
        <v>1419</v>
      </c>
      <c r="L373" s="248">
        <v>44776</v>
      </c>
      <c r="M373" s="249">
        <v>254545</v>
      </c>
      <c r="N373" s="237">
        <v>3</v>
      </c>
      <c r="O373" s="250">
        <f t="shared" si="18"/>
        <v>763635</v>
      </c>
      <c r="P373" s="250">
        <v>275000</v>
      </c>
      <c r="Q373" s="250">
        <f t="shared" si="17"/>
        <v>825000</v>
      </c>
    </row>
    <row r="374" spans="2:17">
      <c r="B374" s="200">
        <v>371</v>
      </c>
      <c r="C374" s="237" t="s">
        <v>1420</v>
      </c>
      <c r="D374" s="238" t="s">
        <v>1421</v>
      </c>
      <c r="E374" s="239" t="s">
        <v>2</v>
      </c>
      <c r="F374" s="239" t="s">
        <v>462</v>
      </c>
      <c r="G374" s="237"/>
      <c r="H374" s="237" t="s">
        <v>1422</v>
      </c>
      <c r="I374" s="237"/>
      <c r="J374" s="240" t="s">
        <v>85</v>
      </c>
      <c r="K374" s="237" t="s">
        <v>1423</v>
      </c>
      <c r="L374" s="248">
        <v>44789</v>
      </c>
      <c r="M374" s="249">
        <v>222727</v>
      </c>
      <c r="N374" s="237">
        <v>53</v>
      </c>
      <c r="O374" s="250">
        <f t="shared" si="18"/>
        <v>11804531</v>
      </c>
      <c r="P374" s="250">
        <f>410000/1.11</f>
        <v>369369.36936936935</v>
      </c>
      <c r="Q374" s="250">
        <f t="shared" si="17"/>
        <v>19576576.576576576</v>
      </c>
    </row>
    <row r="375" spans="2:17">
      <c r="B375" s="200">
        <v>372</v>
      </c>
      <c r="C375" s="237" t="s">
        <v>1424</v>
      </c>
      <c r="D375" s="238" t="s">
        <v>1425</v>
      </c>
      <c r="E375" s="239" t="s">
        <v>2</v>
      </c>
      <c r="F375" s="239" t="s">
        <v>556</v>
      </c>
      <c r="G375" s="237"/>
      <c r="H375" s="237" t="s">
        <v>1426</v>
      </c>
      <c r="I375" s="237"/>
      <c r="J375" s="240" t="s">
        <v>85</v>
      </c>
      <c r="K375" s="237" t="s">
        <v>1427</v>
      </c>
      <c r="L375" s="248">
        <v>44792</v>
      </c>
      <c r="M375" s="249">
        <v>222727</v>
      </c>
      <c r="N375" s="237">
        <v>350</v>
      </c>
      <c r="O375" s="250">
        <f t="shared" si="18"/>
        <v>77954450</v>
      </c>
      <c r="P375" s="250">
        <v>357000</v>
      </c>
      <c r="Q375" s="250">
        <f t="shared" si="17"/>
        <v>124950000</v>
      </c>
    </row>
    <row r="376" spans="2:17">
      <c r="B376" s="200">
        <v>373</v>
      </c>
      <c r="C376" s="237" t="s">
        <v>1428</v>
      </c>
      <c r="D376" s="238" t="s">
        <v>1429</v>
      </c>
      <c r="E376" s="239" t="s">
        <v>11</v>
      </c>
      <c r="F376" s="240" t="s">
        <v>1188</v>
      </c>
      <c r="G376" s="237"/>
      <c r="H376" s="237" t="s">
        <v>1422</v>
      </c>
      <c r="I376" s="237"/>
      <c r="J376" s="240" t="s">
        <v>50</v>
      </c>
      <c r="K376" s="237" t="s">
        <v>1430</v>
      </c>
      <c r="L376" s="248">
        <v>44795</v>
      </c>
      <c r="M376" s="249">
        <v>444545</v>
      </c>
      <c r="N376" s="237">
        <v>1</v>
      </c>
      <c r="O376" s="250">
        <f t="shared" si="18"/>
        <v>444545</v>
      </c>
      <c r="P376" s="250">
        <v>556363.63</v>
      </c>
      <c r="Q376" s="250">
        <f t="shared" si="17"/>
        <v>556363.63</v>
      </c>
    </row>
    <row r="377" spans="2:17">
      <c r="B377" s="200">
        <v>374</v>
      </c>
      <c r="C377" s="237" t="s">
        <v>1431</v>
      </c>
      <c r="D377" s="238" t="s">
        <v>1432</v>
      </c>
      <c r="E377" s="239" t="s">
        <v>1296</v>
      </c>
      <c r="F377" s="240" t="s">
        <v>733</v>
      </c>
      <c r="G377" s="237"/>
      <c r="H377" s="237" t="s">
        <v>1433</v>
      </c>
      <c r="I377" s="237"/>
      <c r="J377" s="240" t="s">
        <v>85</v>
      </c>
      <c r="K377" s="237" t="s">
        <v>1434</v>
      </c>
      <c r="L377" s="248">
        <v>44799</v>
      </c>
      <c r="M377" s="249">
        <v>222727</v>
      </c>
      <c r="N377" s="237">
        <v>1</v>
      </c>
      <c r="O377" s="250">
        <f t="shared" si="18"/>
        <v>222727</v>
      </c>
      <c r="P377" s="250">
        <v>279091</v>
      </c>
      <c r="Q377" s="250">
        <f t="shared" si="17"/>
        <v>279091</v>
      </c>
    </row>
    <row r="378" spans="2:17">
      <c r="B378" s="200">
        <v>375</v>
      </c>
      <c r="C378" s="237" t="s">
        <v>1435</v>
      </c>
      <c r="D378" s="238" t="s">
        <v>1436</v>
      </c>
      <c r="E378" s="239" t="s">
        <v>1437</v>
      </c>
      <c r="F378" s="240" t="s">
        <v>1438</v>
      </c>
      <c r="G378" s="237"/>
      <c r="H378" s="237" t="s">
        <v>1439</v>
      </c>
      <c r="I378" s="237"/>
      <c r="J378" s="240" t="s">
        <v>63</v>
      </c>
      <c r="K378" s="237" t="s">
        <v>1440</v>
      </c>
      <c r="L378" s="248">
        <v>44804</v>
      </c>
      <c r="M378" s="249">
        <v>74181.600000000006</v>
      </c>
      <c r="N378" s="237">
        <v>150</v>
      </c>
      <c r="O378" s="250">
        <f t="shared" si="18"/>
        <v>11127240</v>
      </c>
      <c r="P378" s="250">
        <f>145815/1.11</f>
        <v>131364.86486486485</v>
      </c>
      <c r="Q378" s="250">
        <f t="shared" si="17"/>
        <v>19704729.729729727</v>
      </c>
    </row>
    <row r="379" spans="2:17">
      <c r="B379" s="200">
        <v>376</v>
      </c>
      <c r="C379" s="237" t="s">
        <v>1441</v>
      </c>
      <c r="D379" s="238">
        <v>2500018879</v>
      </c>
      <c r="E379" s="239" t="s">
        <v>10</v>
      </c>
      <c r="F379" s="240" t="s">
        <v>814</v>
      </c>
      <c r="G379" s="237"/>
      <c r="H379" s="237" t="s">
        <v>1442</v>
      </c>
      <c r="I379" s="237"/>
      <c r="J379" s="240" t="s">
        <v>816</v>
      </c>
      <c r="K379" s="237" t="s">
        <v>1384</v>
      </c>
      <c r="L379" s="248">
        <v>44783</v>
      </c>
      <c r="M379" s="249">
        <v>22727</v>
      </c>
      <c r="N379" s="237">
        <v>5</v>
      </c>
      <c r="O379" s="250">
        <f t="shared" si="18"/>
        <v>113635</v>
      </c>
      <c r="P379" s="250">
        <v>29091</v>
      </c>
      <c r="Q379" s="250">
        <f t="shared" si="17"/>
        <v>145455</v>
      </c>
    </row>
    <row r="380" spans="2:17">
      <c r="B380" s="200">
        <v>377</v>
      </c>
      <c r="C380" s="241" t="s">
        <v>1443</v>
      </c>
      <c r="D380" s="242" t="s">
        <v>1444</v>
      </c>
      <c r="E380" s="243" t="s">
        <v>82</v>
      </c>
      <c r="F380" s="244" t="s">
        <v>83</v>
      </c>
      <c r="G380" s="241"/>
      <c r="H380" s="241" t="s">
        <v>1445</v>
      </c>
      <c r="I380" s="241"/>
      <c r="J380" s="244" t="s">
        <v>85</v>
      </c>
      <c r="K380" s="241" t="s">
        <v>1446</v>
      </c>
      <c r="L380" s="251">
        <v>44809</v>
      </c>
      <c r="M380" s="252">
        <v>222727</v>
      </c>
      <c r="N380" s="241">
        <v>84</v>
      </c>
      <c r="O380" s="253">
        <f t="shared" si="18"/>
        <v>18709068</v>
      </c>
      <c r="P380" s="253">
        <v>279090.90999999997</v>
      </c>
      <c r="Q380" s="253">
        <f t="shared" si="17"/>
        <v>23443636.439999998</v>
      </c>
    </row>
    <row r="381" spans="2:17">
      <c r="B381" s="200">
        <v>378</v>
      </c>
      <c r="C381" s="241" t="s">
        <v>1447</v>
      </c>
      <c r="D381" s="242">
        <v>83338</v>
      </c>
      <c r="E381" s="243" t="s">
        <v>17</v>
      </c>
      <c r="F381" s="243" t="s">
        <v>88</v>
      </c>
      <c r="G381" s="241"/>
      <c r="H381" s="241" t="s">
        <v>1448</v>
      </c>
      <c r="I381" s="241"/>
      <c r="J381" s="244" t="s">
        <v>85</v>
      </c>
      <c r="K381" s="241" t="s">
        <v>1449</v>
      </c>
      <c r="L381" s="251">
        <v>44811</v>
      </c>
      <c r="M381" s="252">
        <v>222727</v>
      </c>
      <c r="N381" s="241">
        <v>5</v>
      </c>
      <c r="O381" s="253">
        <f t="shared" si="18"/>
        <v>1113635</v>
      </c>
      <c r="P381" s="253">
        <v>275000</v>
      </c>
      <c r="Q381" s="253">
        <f t="shared" si="17"/>
        <v>1375000</v>
      </c>
    </row>
    <row r="382" spans="2:17">
      <c r="B382" s="200">
        <v>379</v>
      </c>
      <c r="C382" s="241" t="s">
        <v>1450</v>
      </c>
      <c r="D382" s="242">
        <v>83338</v>
      </c>
      <c r="E382" s="243" t="s">
        <v>17</v>
      </c>
      <c r="F382" s="243" t="s">
        <v>88</v>
      </c>
      <c r="G382" s="241"/>
      <c r="H382" s="241" t="s">
        <v>1451</v>
      </c>
      <c r="I382" s="241"/>
      <c r="J382" s="244" t="s">
        <v>85</v>
      </c>
      <c r="K382" s="241" t="s">
        <v>90</v>
      </c>
      <c r="L382" s="251">
        <v>44811</v>
      </c>
      <c r="M382" s="252">
        <v>222727</v>
      </c>
      <c r="N382" s="241">
        <v>24</v>
      </c>
      <c r="O382" s="253">
        <f t="shared" si="18"/>
        <v>5345448</v>
      </c>
      <c r="P382" s="253">
        <v>275000</v>
      </c>
      <c r="Q382" s="253">
        <f t="shared" si="17"/>
        <v>6600000</v>
      </c>
    </row>
    <row r="383" spans="2:17">
      <c r="B383" s="200">
        <v>380</v>
      </c>
      <c r="C383" s="241" t="s">
        <v>1452</v>
      </c>
      <c r="D383" s="242">
        <v>83338</v>
      </c>
      <c r="E383" s="243" t="s">
        <v>17</v>
      </c>
      <c r="F383" s="243" t="s">
        <v>88</v>
      </c>
      <c r="G383" s="241"/>
      <c r="H383" s="241" t="s">
        <v>1448</v>
      </c>
      <c r="I383" s="241"/>
      <c r="J383" s="244" t="s">
        <v>92</v>
      </c>
      <c r="K383" s="241" t="s">
        <v>1453</v>
      </c>
      <c r="L383" s="251">
        <v>44811</v>
      </c>
      <c r="M383" s="252">
        <v>46364</v>
      </c>
      <c r="N383" s="241">
        <v>5</v>
      </c>
      <c r="O383" s="253">
        <f t="shared" si="18"/>
        <v>231820</v>
      </c>
      <c r="P383" s="253">
        <v>57000</v>
      </c>
      <c r="Q383" s="253">
        <f t="shared" si="17"/>
        <v>285000</v>
      </c>
    </row>
    <row r="384" spans="2:17">
      <c r="B384" s="200">
        <v>381</v>
      </c>
      <c r="C384" s="241" t="s">
        <v>1454</v>
      </c>
      <c r="D384" s="242">
        <v>83338</v>
      </c>
      <c r="E384" s="243" t="s">
        <v>17</v>
      </c>
      <c r="F384" s="243" t="s">
        <v>88</v>
      </c>
      <c r="G384" s="241"/>
      <c r="H384" s="241" t="s">
        <v>1451</v>
      </c>
      <c r="I384" s="241"/>
      <c r="J384" s="244" t="s">
        <v>92</v>
      </c>
      <c r="K384" s="241" t="s">
        <v>93</v>
      </c>
      <c r="L384" s="251">
        <v>44811</v>
      </c>
      <c r="M384" s="252">
        <v>46364</v>
      </c>
      <c r="N384" s="241">
        <v>24</v>
      </c>
      <c r="O384" s="253">
        <f t="shared" si="18"/>
        <v>1112736</v>
      </c>
      <c r="P384" s="253">
        <v>57000</v>
      </c>
      <c r="Q384" s="253">
        <f t="shared" si="17"/>
        <v>1368000</v>
      </c>
    </row>
    <row r="385" spans="2:17">
      <c r="B385" s="200">
        <v>382</v>
      </c>
      <c r="C385" s="241" t="s">
        <v>1455</v>
      </c>
      <c r="D385" s="242">
        <v>83338</v>
      </c>
      <c r="E385" s="243" t="s">
        <v>17</v>
      </c>
      <c r="F385" s="243" t="s">
        <v>88</v>
      </c>
      <c r="G385" s="241"/>
      <c r="H385" s="241" t="s">
        <v>1456</v>
      </c>
      <c r="I385" s="241"/>
      <c r="J385" s="244" t="s">
        <v>1457</v>
      </c>
      <c r="K385" s="241" t="s">
        <v>1458</v>
      </c>
      <c r="L385" s="251">
        <v>44811</v>
      </c>
      <c r="M385" s="252">
        <v>216480.5</v>
      </c>
      <c r="N385" s="241">
        <v>3</v>
      </c>
      <c r="O385" s="253">
        <f t="shared" si="18"/>
        <v>649441.5</v>
      </c>
      <c r="P385" s="253">
        <v>533408</v>
      </c>
      <c r="Q385" s="253">
        <f t="shared" si="17"/>
        <v>1600224</v>
      </c>
    </row>
    <row r="386" spans="2:17">
      <c r="B386" s="200">
        <v>383</v>
      </c>
      <c r="C386" s="241" t="s">
        <v>1459</v>
      </c>
      <c r="D386" s="242">
        <v>4800465039</v>
      </c>
      <c r="E386" s="243" t="s">
        <v>12</v>
      </c>
      <c r="F386" s="243" t="s">
        <v>742</v>
      </c>
      <c r="G386" s="241"/>
      <c r="H386" s="241" t="s">
        <v>1460</v>
      </c>
      <c r="I386" s="241"/>
      <c r="J386" s="244" t="s">
        <v>92</v>
      </c>
      <c r="K386" s="241" t="s">
        <v>1461</v>
      </c>
      <c r="L386" s="251">
        <v>44812</v>
      </c>
      <c r="M386" s="252">
        <v>32273</v>
      </c>
      <c r="N386" s="241">
        <v>906</v>
      </c>
      <c r="O386" s="253">
        <f t="shared" si="18"/>
        <v>29239338</v>
      </c>
      <c r="P386" s="253">
        <v>35500</v>
      </c>
      <c r="Q386" s="253">
        <f t="shared" si="17"/>
        <v>32163000</v>
      </c>
    </row>
    <row r="387" spans="2:17">
      <c r="B387" s="200">
        <v>384</v>
      </c>
      <c r="C387" s="241" t="s">
        <v>1462</v>
      </c>
      <c r="D387" s="242" t="s">
        <v>1463</v>
      </c>
      <c r="E387" s="243" t="s">
        <v>11</v>
      </c>
      <c r="F387" s="243" t="s">
        <v>1412</v>
      </c>
      <c r="G387" s="241"/>
      <c r="H387" s="241" t="s">
        <v>1464</v>
      </c>
      <c r="I387" s="241"/>
      <c r="J387" s="244" t="s">
        <v>1413</v>
      </c>
      <c r="K387" s="241" t="s">
        <v>1465</v>
      </c>
      <c r="L387" s="251">
        <v>44812</v>
      </c>
      <c r="M387" s="252">
        <v>106575</v>
      </c>
      <c r="N387" s="241">
        <v>1</v>
      </c>
      <c r="O387" s="253">
        <f t="shared" si="18"/>
        <v>106575</v>
      </c>
      <c r="P387" s="253">
        <v>116264</v>
      </c>
      <c r="Q387" s="253">
        <f t="shared" si="17"/>
        <v>116264</v>
      </c>
    </row>
    <row r="388" spans="2:17">
      <c r="B388" s="200">
        <v>385</v>
      </c>
      <c r="C388" s="241" t="s">
        <v>1466</v>
      </c>
      <c r="D388" s="242" t="s">
        <v>1467</v>
      </c>
      <c r="E388" s="243" t="s">
        <v>1468</v>
      </c>
      <c r="F388" s="244" t="s">
        <v>1276</v>
      </c>
      <c r="G388" s="241"/>
      <c r="H388" s="241" t="s">
        <v>1469</v>
      </c>
      <c r="I388" s="241"/>
      <c r="J388" s="244" t="s">
        <v>85</v>
      </c>
      <c r="K388" s="241" t="s">
        <v>1470</v>
      </c>
      <c r="L388" s="251">
        <v>44812</v>
      </c>
      <c r="M388" s="252">
        <v>222727</v>
      </c>
      <c r="N388" s="241">
        <v>60</v>
      </c>
      <c r="O388" s="253">
        <f t="shared" si="18"/>
        <v>13363620</v>
      </c>
      <c r="P388" s="253">
        <v>367702</v>
      </c>
      <c r="Q388" s="253">
        <f t="shared" si="17"/>
        <v>22062120</v>
      </c>
    </row>
    <row r="389" spans="2:17">
      <c r="B389" s="200">
        <v>386</v>
      </c>
      <c r="C389" s="241" t="s">
        <v>1471</v>
      </c>
      <c r="D389" s="242" t="s">
        <v>2</v>
      </c>
      <c r="E389" s="243" t="s">
        <v>1472</v>
      </c>
      <c r="F389" s="244" t="s">
        <v>131</v>
      </c>
      <c r="G389" s="241"/>
      <c r="H389" s="241" t="s">
        <v>1473</v>
      </c>
      <c r="I389" s="241"/>
      <c r="J389" s="244" t="s">
        <v>50</v>
      </c>
      <c r="K389" s="241" t="s">
        <v>1474</v>
      </c>
      <c r="L389" s="251">
        <v>44824</v>
      </c>
      <c r="M389" s="252">
        <v>351191</v>
      </c>
      <c r="N389" s="241">
        <v>305</v>
      </c>
      <c r="O389" s="253">
        <f t="shared" si="18"/>
        <v>107113255</v>
      </c>
      <c r="P389" s="253">
        <v>449549</v>
      </c>
      <c r="Q389" s="253">
        <f t="shared" si="17"/>
        <v>137112445</v>
      </c>
    </row>
    <row r="390" spans="2:17">
      <c r="B390" s="200">
        <v>387</v>
      </c>
      <c r="C390" s="241" t="s">
        <v>1475</v>
      </c>
      <c r="D390" s="242" t="s">
        <v>1476</v>
      </c>
      <c r="E390" s="243" t="s">
        <v>9</v>
      </c>
      <c r="F390" s="244" t="s">
        <v>1365</v>
      </c>
      <c r="G390" s="241"/>
      <c r="H390" s="241" t="s">
        <v>1477</v>
      </c>
      <c r="I390" s="241"/>
      <c r="J390" s="244" t="s">
        <v>50</v>
      </c>
      <c r="K390" s="241" t="s">
        <v>1478</v>
      </c>
      <c r="L390" s="251">
        <v>44831</v>
      </c>
      <c r="M390" s="252">
        <v>254545</v>
      </c>
      <c r="N390" s="241">
        <v>2</v>
      </c>
      <c r="O390" s="253">
        <f t="shared" si="18"/>
        <v>509090</v>
      </c>
      <c r="P390" s="253">
        <v>275000</v>
      </c>
      <c r="Q390" s="253">
        <f t="shared" si="17"/>
        <v>550000</v>
      </c>
    </row>
    <row r="391" spans="2:17">
      <c r="B391" s="200">
        <v>388</v>
      </c>
      <c r="C391" s="241" t="s">
        <v>1479</v>
      </c>
      <c r="D391" s="242" t="s">
        <v>1480</v>
      </c>
      <c r="E391" s="243" t="s">
        <v>82</v>
      </c>
      <c r="F391" s="243" t="s">
        <v>83</v>
      </c>
      <c r="G391" s="241"/>
      <c r="H391" s="241" t="s">
        <v>1481</v>
      </c>
      <c r="I391" s="241"/>
      <c r="J391" s="244" t="s">
        <v>85</v>
      </c>
      <c r="K391" s="241" t="s">
        <v>1482</v>
      </c>
      <c r="L391" s="251">
        <v>44832</v>
      </c>
      <c r="M391" s="252">
        <v>222727</v>
      </c>
      <c r="N391" s="241">
        <v>165</v>
      </c>
      <c r="O391" s="253">
        <f t="shared" si="18"/>
        <v>36749955</v>
      </c>
      <c r="P391" s="253">
        <v>279090.90999999997</v>
      </c>
      <c r="Q391" s="253">
        <f t="shared" si="17"/>
        <v>46050000.149999999</v>
      </c>
    </row>
    <row r="392" spans="2:17">
      <c r="B392" s="200">
        <v>389</v>
      </c>
      <c r="C392" s="241" t="s">
        <v>1483</v>
      </c>
      <c r="D392" s="242">
        <v>2500024113</v>
      </c>
      <c r="E392" s="243" t="s">
        <v>10</v>
      </c>
      <c r="F392" s="243" t="s">
        <v>814</v>
      </c>
      <c r="G392" s="241"/>
      <c r="H392" s="241" t="s">
        <v>1484</v>
      </c>
      <c r="I392" s="241"/>
      <c r="J392" s="244" t="s">
        <v>816</v>
      </c>
      <c r="K392" s="241" t="s">
        <v>1384</v>
      </c>
      <c r="L392" s="251">
        <v>44783</v>
      </c>
      <c r="M392" s="252">
        <v>22727</v>
      </c>
      <c r="N392" s="241">
        <v>5</v>
      </c>
      <c r="O392" s="253">
        <f t="shared" si="18"/>
        <v>113635</v>
      </c>
      <c r="P392" s="253">
        <v>29091</v>
      </c>
      <c r="Q392" s="253">
        <f t="shared" si="17"/>
        <v>145455</v>
      </c>
    </row>
    <row r="393" spans="2:17">
      <c r="B393" s="200">
        <v>390</v>
      </c>
      <c r="C393" s="237" t="s">
        <v>1485</v>
      </c>
      <c r="D393" s="238">
        <v>4800470092</v>
      </c>
      <c r="E393" s="239" t="s">
        <v>12</v>
      </c>
      <c r="F393" s="239" t="s">
        <v>466</v>
      </c>
      <c r="G393" s="237"/>
      <c r="H393" s="237" t="s">
        <v>1486</v>
      </c>
      <c r="I393" s="237"/>
      <c r="J393" s="240" t="s">
        <v>85</v>
      </c>
      <c r="K393" s="237" t="s">
        <v>1487</v>
      </c>
      <c r="L393" s="248">
        <v>44859</v>
      </c>
      <c r="M393" s="249">
        <v>222727</v>
      </c>
      <c r="N393" s="237">
        <v>95</v>
      </c>
      <c r="O393" s="250">
        <f t="shared" si="18"/>
        <v>21159065</v>
      </c>
      <c r="P393" s="250">
        <v>257182</v>
      </c>
      <c r="Q393" s="250">
        <f t="shared" si="17"/>
        <v>24432290</v>
      </c>
    </row>
    <row r="394" spans="2:17" s="1" customFormat="1" ht="12.75">
      <c r="B394" s="200">
        <v>391</v>
      </c>
      <c r="C394" s="237" t="s">
        <v>1488</v>
      </c>
      <c r="D394" s="238">
        <v>2500026864</v>
      </c>
      <c r="E394" s="239" t="s">
        <v>11</v>
      </c>
      <c r="F394" s="240" t="s">
        <v>814</v>
      </c>
      <c r="G394" s="237"/>
      <c r="H394" s="237" t="s">
        <v>1489</v>
      </c>
      <c r="I394" s="237"/>
      <c r="J394" s="240" t="s">
        <v>816</v>
      </c>
      <c r="K394" s="237" t="s">
        <v>1384</v>
      </c>
      <c r="L394" s="248">
        <v>44848</v>
      </c>
      <c r="M394" s="249">
        <v>22727</v>
      </c>
      <c r="N394" s="237">
        <v>5</v>
      </c>
      <c r="O394" s="250">
        <f t="shared" si="18"/>
        <v>113635</v>
      </c>
      <c r="P394" s="250">
        <v>29091</v>
      </c>
      <c r="Q394" s="250">
        <f t="shared" si="17"/>
        <v>145455</v>
      </c>
    </row>
    <row r="395" spans="2:17" s="1" customFormat="1" ht="12.75">
      <c r="B395" s="200">
        <v>392</v>
      </c>
      <c r="C395" s="237" t="s">
        <v>1490</v>
      </c>
      <c r="D395" s="238">
        <v>2500026864</v>
      </c>
      <c r="E395" s="239" t="s">
        <v>11</v>
      </c>
      <c r="F395" s="240" t="s">
        <v>814</v>
      </c>
      <c r="G395" s="237"/>
      <c r="H395" s="237" t="s">
        <v>1491</v>
      </c>
      <c r="I395" s="237"/>
      <c r="J395" s="240" t="s">
        <v>816</v>
      </c>
      <c r="K395" s="237" t="s">
        <v>1492</v>
      </c>
      <c r="L395" s="248">
        <v>44848</v>
      </c>
      <c r="M395" s="249">
        <v>22727</v>
      </c>
      <c r="N395" s="237">
        <v>10</v>
      </c>
      <c r="O395" s="250">
        <f t="shared" si="18"/>
        <v>227270</v>
      </c>
      <c r="P395" s="250">
        <v>29091</v>
      </c>
      <c r="Q395" s="250">
        <f t="shared" si="17"/>
        <v>290910</v>
      </c>
    </row>
    <row r="396" spans="2:17">
      <c r="B396" s="200">
        <v>393</v>
      </c>
      <c r="C396" s="241" t="s">
        <v>1493</v>
      </c>
      <c r="D396" s="242" t="s">
        <v>1494</v>
      </c>
      <c r="E396" s="243" t="s">
        <v>1495</v>
      </c>
      <c r="F396" s="244" t="s">
        <v>1438</v>
      </c>
      <c r="G396" s="241"/>
      <c r="H396" s="241" t="s">
        <v>1496</v>
      </c>
      <c r="I396" s="241"/>
      <c r="J396" s="244" t="s">
        <v>63</v>
      </c>
      <c r="K396" s="241" t="s">
        <v>1497</v>
      </c>
      <c r="L396" s="251">
        <v>44881</v>
      </c>
      <c r="M396" s="252">
        <v>74181.600000000006</v>
      </c>
      <c r="N396" s="241">
        <v>113</v>
      </c>
      <c r="O396" s="253">
        <f t="shared" si="18"/>
        <v>8382520.8000000007</v>
      </c>
      <c r="P396" s="253">
        <f>149000/1.11</f>
        <v>134234.23423423423</v>
      </c>
      <c r="Q396" s="253">
        <f t="shared" si="17"/>
        <v>15168468.468468469</v>
      </c>
    </row>
    <row r="397" spans="2:17">
      <c r="B397" s="200">
        <v>394</v>
      </c>
      <c r="C397" s="241" t="s">
        <v>1498</v>
      </c>
      <c r="D397" s="242" t="s">
        <v>1499</v>
      </c>
      <c r="E397" s="243" t="s">
        <v>7</v>
      </c>
      <c r="F397" s="243" t="s">
        <v>83</v>
      </c>
      <c r="G397" s="241"/>
      <c r="H397" s="241" t="s">
        <v>1500</v>
      </c>
      <c r="I397" s="241"/>
      <c r="J397" s="244" t="s">
        <v>85</v>
      </c>
      <c r="K397" s="241" t="s">
        <v>1501</v>
      </c>
      <c r="L397" s="251">
        <v>44886</v>
      </c>
      <c r="M397" s="252">
        <v>222727</v>
      </c>
      <c r="N397" s="241">
        <v>154</v>
      </c>
      <c r="O397" s="253">
        <f t="shared" si="18"/>
        <v>34299958</v>
      </c>
      <c r="P397" s="253">
        <v>279090.90999999997</v>
      </c>
      <c r="Q397" s="253">
        <f t="shared" si="17"/>
        <v>42980000.139999993</v>
      </c>
    </row>
    <row r="398" spans="2:17">
      <c r="B398" s="200">
        <v>395</v>
      </c>
      <c r="C398" s="241" t="s">
        <v>1502</v>
      </c>
      <c r="D398" s="242">
        <v>2500030158</v>
      </c>
      <c r="E398" s="243" t="s">
        <v>10</v>
      </c>
      <c r="F398" s="243" t="s">
        <v>1503</v>
      </c>
      <c r="G398" s="241"/>
      <c r="H398" s="241" t="s">
        <v>1504</v>
      </c>
      <c r="I398" s="241"/>
      <c r="J398" s="244" t="s">
        <v>816</v>
      </c>
      <c r="K398" s="241" t="s">
        <v>1505</v>
      </c>
      <c r="L398" s="251">
        <v>44874</v>
      </c>
      <c r="M398" s="252">
        <v>22727</v>
      </c>
      <c r="N398" s="241">
        <v>15</v>
      </c>
      <c r="O398" s="253">
        <f t="shared" si="18"/>
        <v>340905</v>
      </c>
      <c r="P398" s="253">
        <v>29091</v>
      </c>
      <c r="Q398" s="253">
        <f t="shared" ref="Q398:Q427" si="19">P398*N398</f>
        <v>436365</v>
      </c>
    </row>
    <row r="399" spans="2:17">
      <c r="B399" s="200">
        <v>396</v>
      </c>
      <c r="C399" s="241" t="s">
        <v>1506</v>
      </c>
      <c r="D399" s="242" t="s">
        <v>1507</v>
      </c>
      <c r="E399" s="243" t="s">
        <v>11</v>
      </c>
      <c r="F399" s="243" t="s">
        <v>1188</v>
      </c>
      <c r="G399" s="241"/>
      <c r="H399" s="241" t="s">
        <v>1508</v>
      </c>
      <c r="I399" s="241"/>
      <c r="J399" s="244" t="s">
        <v>50</v>
      </c>
      <c r="K399" s="241" t="s">
        <v>1509</v>
      </c>
      <c r="L399" s="251">
        <v>44888</v>
      </c>
      <c r="M399" s="252">
        <v>444545</v>
      </c>
      <c r="N399" s="241">
        <v>28</v>
      </c>
      <c r="O399" s="253">
        <f t="shared" si="18"/>
        <v>12447260</v>
      </c>
      <c r="P399" s="253">
        <v>556364</v>
      </c>
      <c r="Q399" s="253">
        <f t="shared" si="19"/>
        <v>15578192</v>
      </c>
    </row>
    <row r="400" spans="2:17">
      <c r="B400" s="200">
        <v>397</v>
      </c>
      <c r="C400" s="241" t="s">
        <v>1510</v>
      </c>
      <c r="D400" s="242" t="s">
        <v>1511</v>
      </c>
      <c r="E400" s="243" t="s">
        <v>1437</v>
      </c>
      <c r="F400" s="243" t="s">
        <v>1512</v>
      </c>
      <c r="G400" s="241"/>
      <c r="H400" s="241" t="s">
        <v>1513</v>
      </c>
      <c r="I400" s="241"/>
      <c r="J400" s="244" t="s">
        <v>85</v>
      </c>
      <c r="K400" s="241" t="s">
        <v>1514</v>
      </c>
      <c r="L400" s="251">
        <v>44888</v>
      </c>
      <c r="M400" s="252">
        <v>222727</v>
      </c>
      <c r="N400" s="241">
        <v>11</v>
      </c>
      <c r="O400" s="253">
        <f t="shared" si="18"/>
        <v>2449997</v>
      </c>
      <c r="P400" s="253">
        <v>281184</v>
      </c>
      <c r="Q400" s="253">
        <f t="shared" si="19"/>
        <v>3093024</v>
      </c>
    </row>
    <row r="401" spans="2:17">
      <c r="B401" s="200">
        <v>398</v>
      </c>
      <c r="C401" s="237" t="s">
        <v>1515</v>
      </c>
      <c r="D401" s="238" t="s">
        <v>1516</v>
      </c>
      <c r="E401" s="239" t="s">
        <v>11</v>
      </c>
      <c r="F401" s="239" t="s">
        <v>1517</v>
      </c>
      <c r="G401" s="237"/>
      <c r="H401" s="237" t="s">
        <v>1518</v>
      </c>
      <c r="I401" s="237"/>
      <c r="J401" s="240" t="s">
        <v>1519</v>
      </c>
      <c r="K401" s="237" t="s">
        <v>1520</v>
      </c>
      <c r="L401" s="248">
        <v>44896</v>
      </c>
      <c r="M401" s="249">
        <v>43636</v>
      </c>
      <c r="N401" s="237">
        <v>40</v>
      </c>
      <c r="O401" s="250">
        <f t="shared" si="18"/>
        <v>1745440</v>
      </c>
      <c r="P401" s="250">
        <v>57300</v>
      </c>
      <c r="Q401" s="250">
        <f t="shared" si="19"/>
        <v>2292000</v>
      </c>
    </row>
    <row r="402" spans="2:17">
      <c r="B402" s="200">
        <v>399</v>
      </c>
      <c r="C402" s="237" t="s">
        <v>1521</v>
      </c>
      <c r="D402" s="238" t="s">
        <v>1522</v>
      </c>
      <c r="E402" s="239" t="s">
        <v>11</v>
      </c>
      <c r="F402" s="239" t="s">
        <v>1517</v>
      </c>
      <c r="G402" s="237"/>
      <c r="H402" s="237" t="s">
        <v>1523</v>
      </c>
      <c r="I402" s="237"/>
      <c r="J402" s="240" t="s">
        <v>1519</v>
      </c>
      <c r="K402" s="237" t="s">
        <v>1524</v>
      </c>
      <c r="L402" s="248">
        <v>44900</v>
      </c>
      <c r="M402" s="249">
        <v>43636</v>
      </c>
      <c r="N402" s="237">
        <v>60</v>
      </c>
      <c r="O402" s="250">
        <f t="shared" si="18"/>
        <v>2618160</v>
      </c>
      <c r="P402" s="250">
        <v>57300</v>
      </c>
      <c r="Q402" s="250">
        <f t="shared" si="19"/>
        <v>3438000</v>
      </c>
    </row>
    <row r="403" spans="2:17" s="1" customFormat="1" ht="12.75">
      <c r="B403" s="200">
        <v>400</v>
      </c>
      <c r="C403" s="237" t="s">
        <v>1525</v>
      </c>
      <c r="D403" s="238" t="s">
        <v>2</v>
      </c>
      <c r="E403" s="239" t="s">
        <v>2</v>
      </c>
      <c r="F403" s="240" t="s">
        <v>1526</v>
      </c>
      <c r="G403" s="237"/>
      <c r="H403" s="237" t="s">
        <v>1527</v>
      </c>
      <c r="I403" s="237"/>
      <c r="J403" s="240" t="s">
        <v>1528</v>
      </c>
      <c r="K403" s="237" t="s">
        <v>1529</v>
      </c>
      <c r="L403" s="248">
        <v>44903</v>
      </c>
      <c r="M403" s="249">
        <v>36081</v>
      </c>
      <c r="N403" s="237">
        <v>3</v>
      </c>
      <c r="O403" s="250">
        <f t="shared" si="18"/>
        <v>108243</v>
      </c>
      <c r="P403" s="250">
        <f>49950/1.11</f>
        <v>44999.999999999993</v>
      </c>
      <c r="Q403" s="250">
        <f t="shared" si="19"/>
        <v>134999.99999999997</v>
      </c>
    </row>
    <row r="404" spans="2:17" s="1" customFormat="1" ht="12.75">
      <c r="B404" s="200">
        <v>401</v>
      </c>
      <c r="C404" s="237" t="s">
        <v>1530</v>
      </c>
      <c r="D404" s="238" t="s">
        <v>2</v>
      </c>
      <c r="E404" s="239" t="s">
        <v>2</v>
      </c>
      <c r="F404" s="240" t="s">
        <v>1526</v>
      </c>
      <c r="G404" s="237"/>
      <c r="H404" s="237" t="s">
        <v>1527</v>
      </c>
      <c r="I404" s="237"/>
      <c r="J404" s="240" t="s">
        <v>1528</v>
      </c>
      <c r="K404" s="237" t="s">
        <v>1531</v>
      </c>
      <c r="L404" s="248">
        <v>44903</v>
      </c>
      <c r="M404" s="249">
        <v>36081</v>
      </c>
      <c r="N404" s="237">
        <v>3</v>
      </c>
      <c r="O404" s="250">
        <f t="shared" si="18"/>
        <v>108243</v>
      </c>
      <c r="P404" s="250">
        <f>49950/1.11</f>
        <v>44999.999999999993</v>
      </c>
      <c r="Q404" s="250">
        <f t="shared" si="19"/>
        <v>134999.99999999997</v>
      </c>
    </row>
    <row r="405" spans="2:17">
      <c r="B405" s="200">
        <v>402</v>
      </c>
      <c r="C405" s="237" t="s">
        <v>1532</v>
      </c>
      <c r="D405" s="238" t="s">
        <v>1533</v>
      </c>
      <c r="E405" s="239" t="s">
        <v>11</v>
      </c>
      <c r="F405" s="239" t="s">
        <v>1517</v>
      </c>
      <c r="G405" s="237"/>
      <c r="H405" s="237" t="s">
        <v>1534</v>
      </c>
      <c r="I405" s="237"/>
      <c r="J405" s="240" t="s">
        <v>1519</v>
      </c>
      <c r="K405" s="237" t="s">
        <v>1535</v>
      </c>
      <c r="L405" s="248">
        <v>44905</v>
      </c>
      <c r="M405" s="249">
        <v>43636</v>
      </c>
      <c r="N405" s="237">
        <v>700</v>
      </c>
      <c r="O405" s="250">
        <f t="shared" si="18"/>
        <v>30545200</v>
      </c>
      <c r="P405" s="250">
        <v>57300</v>
      </c>
      <c r="Q405" s="250">
        <f t="shared" si="19"/>
        <v>40110000</v>
      </c>
    </row>
    <row r="406" spans="2:17" s="1" customFormat="1" ht="12.75">
      <c r="B406" s="200">
        <v>403</v>
      </c>
      <c r="C406" s="237" t="s">
        <v>1536</v>
      </c>
      <c r="D406" s="238">
        <v>84404</v>
      </c>
      <c r="E406" s="239" t="s">
        <v>17</v>
      </c>
      <c r="F406" s="240" t="s">
        <v>114</v>
      </c>
      <c r="G406" s="237"/>
      <c r="H406" s="237" t="s">
        <v>1537</v>
      </c>
      <c r="I406" s="237"/>
      <c r="J406" s="240" t="s">
        <v>85</v>
      </c>
      <c r="K406" s="237" t="s">
        <v>1538</v>
      </c>
      <c r="L406" s="248">
        <v>44907</v>
      </c>
      <c r="M406" s="249">
        <v>222727</v>
      </c>
      <c r="N406" s="237">
        <v>49</v>
      </c>
      <c r="O406" s="250">
        <f t="shared" si="18"/>
        <v>10913623</v>
      </c>
      <c r="P406" s="250">
        <v>279091</v>
      </c>
      <c r="Q406" s="250">
        <f t="shared" si="19"/>
        <v>13675459</v>
      </c>
    </row>
    <row r="407" spans="2:17">
      <c r="B407" s="200">
        <v>404</v>
      </c>
      <c r="C407" s="237" t="s">
        <v>1539</v>
      </c>
      <c r="D407" s="238">
        <v>84404</v>
      </c>
      <c r="E407" s="239" t="s">
        <v>17</v>
      </c>
      <c r="F407" s="240" t="s">
        <v>114</v>
      </c>
      <c r="G407" s="237"/>
      <c r="H407" s="237" t="s">
        <v>1537</v>
      </c>
      <c r="I407" s="237"/>
      <c r="J407" s="240" t="s">
        <v>92</v>
      </c>
      <c r="K407" s="237" t="s">
        <v>116</v>
      </c>
      <c r="L407" s="248">
        <v>44907</v>
      </c>
      <c r="M407" s="249">
        <v>46364</v>
      </c>
      <c r="N407" s="237">
        <v>49</v>
      </c>
      <c r="O407" s="250">
        <f t="shared" si="18"/>
        <v>2271836</v>
      </c>
      <c r="P407" s="250">
        <v>58182</v>
      </c>
      <c r="Q407" s="250">
        <f t="shared" si="19"/>
        <v>2850918</v>
      </c>
    </row>
    <row r="408" spans="2:17" s="1" customFormat="1" ht="12.75">
      <c r="B408" s="200">
        <v>405</v>
      </c>
      <c r="C408" s="237" t="s">
        <v>1540</v>
      </c>
      <c r="D408" s="238">
        <v>84404</v>
      </c>
      <c r="E408" s="239" t="s">
        <v>17</v>
      </c>
      <c r="F408" s="240" t="s">
        <v>114</v>
      </c>
      <c r="G408" s="237"/>
      <c r="H408" s="237" t="s">
        <v>1541</v>
      </c>
      <c r="I408" s="237"/>
      <c r="J408" s="240" t="s">
        <v>85</v>
      </c>
      <c r="K408" s="237" t="s">
        <v>1542</v>
      </c>
      <c r="L408" s="248">
        <v>44907</v>
      </c>
      <c r="M408" s="249">
        <v>171818</v>
      </c>
      <c r="N408" s="237">
        <v>20</v>
      </c>
      <c r="O408" s="250">
        <f t="shared" si="18"/>
        <v>3436360</v>
      </c>
      <c r="P408" s="250">
        <v>279091</v>
      </c>
      <c r="Q408" s="250">
        <f t="shared" si="19"/>
        <v>5581820</v>
      </c>
    </row>
    <row r="409" spans="2:17" s="1" customFormat="1" ht="12.75">
      <c r="B409" s="200">
        <v>406</v>
      </c>
      <c r="C409" s="237" t="s">
        <v>1543</v>
      </c>
      <c r="D409" s="238">
        <v>84404</v>
      </c>
      <c r="E409" s="239" t="s">
        <v>17</v>
      </c>
      <c r="F409" s="240" t="s">
        <v>114</v>
      </c>
      <c r="G409" s="237"/>
      <c r="H409" s="237" t="s">
        <v>1541</v>
      </c>
      <c r="I409" s="237"/>
      <c r="J409" s="240" t="s">
        <v>92</v>
      </c>
      <c r="K409" s="237" t="s">
        <v>118</v>
      </c>
      <c r="L409" s="248">
        <v>44907</v>
      </c>
      <c r="M409" s="249">
        <v>40909</v>
      </c>
      <c r="N409" s="237">
        <v>20</v>
      </c>
      <c r="O409" s="250">
        <f t="shared" si="18"/>
        <v>818180</v>
      </c>
      <c r="P409" s="250">
        <v>58182</v>
      </c>
      <c r="Q409" s="250">
        <f t="shared" si="19"/>
        <v>1163640</v>
      </c>
    </row>
    <row r="410" spans="2:17" s="1" customFormat="1" ht="12.75">
      <c r="B410" s="200">
        <v>407</v>
      </c>
      <c r="C410" s="237" t="s">
        <v>1544</v>
      </c>
      <c r="D410" s="238">
        <v>84404</v>
      </c>
      <c r="E410" s="239" t="s">
        <v>17</v>
      </c>
      <c r="F410" s="240" t="s">
        <v>114</v>
      </c>
      <c r="G410" s="237"/>
      <c r="H410" s="237" t="s">
        <v>1545</v>
      </c>
      <c r="I410" s="237"/>
      <c r="J410" s="240" t="s">
        <v>1457</v>
      </c>
      <c r="K410" s="237" t="s">
        <v>1546</v>
      </c>
      <c r="L410" s="248">
        <v>44907</v>
      </c>
      <c r="M410" s="249">
        <v>216480.5</v>
      </c>
      <c r="N410" s="237">
        <v>1</v>
      </c>
      <c r="O410" s="250">
        <f t="shared" si="18"/>
        <v>216480.5</v>
      </c>
      <c r="P410" s="250">
        <v>533408</v>
      </c>
      <c r="Q410" s="250">
        <f t="shared" si="19"/>
        <v>533408</v>
      </c>
    </row>
    <row r="411" spans="2:17">
      <c r="B411" s="200">
        <v>408</v>
      </c>
      <c r="C411" s="237" t="s">
        <v>1547</v>
      </c>
      <c r="D411" s="238" t="s">
        <v>1548</v>
      </c>
      <c r="E411" s="239" t="s">
        <v>11</v>
      </c>
      <c r="F411" s="239" t="s">
        <v>1517</v>
      </c>
      <c r="G411" s="237"/>
      <c r="H411" s="237" t="s">
        <v>1549</v>
      </c>
      <c r="I411" s="237"/>
      <c r="J411" s="240" t="s">
        <v>1519</v>
      </c>
      <c r="K411" s="237" t="s">
        <v>1550</v>
      </c>
      <c r="L411" s="248">
        <v>44907</v>
      </c>
      <c r="M411" s="249">
        <v>43636</v>
      </c>
      <c r="N411" s="237">
        <v>300</v>
      </c>
      <c r="O411" s="250">
        <f t="shared" si="18"/>
        <v>13090800</v>
      </c>
      <c r="P411" s="250">
        <v>57300</v>
      </c>
      <c r="Q411" s="250">
        <f t="shared" si="19"/>
        <v>17190000</v>
      </c>
    </row>
    <row r="412" spans="2:17">
      <c r="B412" s="200">
        <v>409</v>
      </c>
      <c r="C412" s="237" t="s">
        <v>1551</v>
      </c>
      <c r="D412" s="238" t="s">
        <v>1552</v>
      </c>
      <c r="E412" s="239" t="s">
        <v>11</v>
      </c>
      <c r="F412" s="240" t="s">
        <v>733</v>
      </c>
      <c r="G412" s="237"/>
      <c r="H412" s="237" t="s">
        <v>1553</v>
      </c>
      <c r="I412" s="237"/>
      <c r="J412" s="240" t="s">
        <v>85</v>
      </c>
      <c r="K412" s="237" t="s">
        <v>1554</v>
      </c>
      <c r="L412" s="248">
        <v>44910</v>
      </c>
      <c r="M412" s="249">
        <v>222727</v>
      </c>
      <c r="N412" s="237">
        <v>105</v>
      </c>
      <c r="O412" s="250">
        <f t="shared" si="18"/>
        <v>23386335</v>
      </c>
      <c r="P412" s="250">
        <v>279091</v>
      </c>
      <c r="Q412" s="250">
        <f t="shared" si="19"/>
        <v>29304555</v>
      </c>
    </row>
    <row r="413" spans="2:17" s="1" customFormat="1" ht="12.75">
      <c r="B413" s="260">
        <v>410</v>
      </c>
      <c r="C413" s="237" t="s">
        <v>1555</v>
      </c>
      <c r="D413" s="238" t="s">
        <v>2</v>
      </c>
      <c r="E413" s="239" t="s">
        <v>2</v>
      </c>
      <c r="F413" s="240" t="s">
        <v>1526</v>
      </c>
      <c r="G413" s="237"/>
      <c r="H413" s="237" t="s">
        <v>1556</v>
      </c>
      <c r="I413" s="237"/>
      <c r="J413" s="240" t="s">
        <v>1457</v>
      </c>
      <c r="K413" s="237" t="s">
        <v>1557</v>
      </c>
      <c r="L413" s="248">
        <v>44911</v>
      </c>
      <c r="M413" s="249">
        <v>432961</v>
      </c>
      <c r="N413" s="237">
        <v>1</v>
      </c>
      <c r="O413" s="250">
        <f t="shared" si="18"/>
        <v>432961</v>
      </c>
      <c r="P413" s="250">
        <f>592083/1.11</f>
        <v>533408.10810810805</v>
      </c>
      <c r="Q413" s="250">
        <f t="shared" si="19"/>
        <v>533408.10810810805</v>
      </c>
    </row>
    <row r="414" spans="2:17" s="1" customFormat="1" ht="12.75">
      <c r="B414" s="260">
        <v>411</v>
      </c>
      <c r="C414" s="45" t="s">
        <v>1558</v>
      </c>
      <c r="D414" s="46" t="s">
        <v>2</v>
      </c>
      <c r="E414" s="47" t="s">
        <v>2</v>
      </c>
      <c r="F414" s="49" t="s">
        <v>1526</v>
      </c>
      <c r="G414" s="45"/>
      <c r="H414" s="45" t="s">
        <v>1556</v>
      </c>
      <c r="I414" s="45"/>
      <c r="J414" s="49" t="s">
        <v>1457</v>
      </c>
      <c r="K414" s="45" t="s">
        <v>1559</v>
      </c>
      <c r="L414" s="102">
        <v>44911</v>
      </c>
      <c r="M414" s="103">
        <v>432961</v>
      </c>
      <c r="N414" s="45">
        <v>2</v>
      </c>
      <c r="O414" s="120">
        <f t="shared" si="18"/>
        <v>865922</v>
      </c>
      <c r="P414" s="120">
        <f>592083/1.11</f>
        <v>533408.10810810805</v>
      </c>
      <c r="Q414" s="250">
        <f t="shared" si="19"/>
        <v>1066816.2162162161</v>
      </c>
    </row>
    <row r="415" spans="2:17" s="1" customFormat="1" ht="12.75">
      <c r="B415" s="260">
        <v>412</v>
      </c>
      <c r="C415" s="45" t="s">
        <v>1560</v>
      </c>
      <c r="D415" s="46" t="s">
        <v>1561</v>
      </c>
      <c r="E415" s="47" t="s">
        <v>9</v>
      </c>
      <c r="F415" s="49" t="s">
        <v>1562</v>
      </c>
      <c r="G415" s="45"/>
      <c r="H415" s="45" t="s">
        <v>1563</v>
      </c>
      <c r="I415" s="45"/>
      <c r="J415" s="49" t="s">
        <v>50</v>
      </c>
      <c r="K415" s="45" t="s">
        <v>1564</v>
      </c>
      <c r="L415" s="102">
        <v>44915</v>
      </c>
      <c r="M415" s="103">
        <v>254545</v>
      </c>
      <c r="N415" s="45">
        <v>5</v>
      </c>
      <c r="O415" s="120">
        <f t="shared" si="18"/>
        <v>1272725</v>
      </c>
      <c r="P415" s="120">
        <v>275000</v>
      </c>
      <c r="Q415" s="250">
        <f t="shared" si="19"/>
        <v>1375000</v>
      </c>
    </row>
    <row r="416" spans="2:17" s="1" customFormat="1" ht="12.75">
      <c r="B416" s="260">
        <v>413</v>
      </c>
      <c r="C416" s="45" t="s">
        <v>1565</v>
      </c>
      <c r="D416" s="46" t="s">
        <v>1515</v>
      </c>
      <c r="E416" s="47" t="s">
        <v>1468</v>
      </c>
      <c r="F416" s="49" t="s">
        <v>1566</v>
      </c>
      <c r="G416" s="45"/>
      <c r="H416" s="45" t="s">
        <v>1567</v>
      </c>
      <c r="I416" s="45"/>
      <c r="J416" s="49" t="s">
        <v>85</v>
      </c>
      <c r="K416" s="45" t="s">
        <v>1568</v>
      </c>
      <c r="L416" s="102">
        <v>44916</v>
      </c>
      <c r="M416" s="103">
        <v>222727</v>
      </c>
      <c r="N416" s="45">
        <v>105</v>
      </c>
      <c r="O416" s="120">
        <f t="shared" si="18"/>
        <v>23386335</v>
      </c>
      <c r="P416" s="120">
        <v>273292</v>
      </c>
      <c r="Q416" s="250">
        <f t="shared" si="19"/>
        <v>28695660</v>
      </c>
    </row>
    <row r="417" spans="2:17">
      <c r="B417" s="260">
        <v>414</v>
      </c>
      <c r="C417" s="285" t="s">
        <v>1569</v>
      </c>
      <c r="D417" s="45" t="s">
        <v>1570</v>
      </c>
      <c r="E417" s="47" t="s">
        <v>10</v>
      </c>
      <c r="F417" s="286" t="s">
        <v>814</v>
      </c>
      <c r="G417" s="45"/>
      <c r="H417" s="287" t="s">
        <v>1571</v>
      </c>
      <c r="I417" s="45"/>
      <c r="J417" s="49" t="s">
        <v>816</v>
      </c>
      <c r="K417" s="304" t="s">
        <v>1572</v>
      </c>
      <c r="L417" s="102">
        <v>44931</v>
      </c>
      <c r="M417" s="103">
        <v>22727</v>
      </c>
      <c r="N417" s="45">
        <v>2</v>
      </c>
      <c r="O417" s="120">
        <f t="shared" si="18"/>
        <v>45454</v>
      </c>
      <c r="P417" s="120">
        <v>29091</v>
      </c>
      <c r="Q417" s="250">
        <f t="shared" si="19"/>
        <v>58182</v>
      </c>
    </row>
    <row r="418" spans="2:17" ht="15.75" customHeight="1">
      <c r="B418" s="260">
        <v>415</v>
      </c>
      <c r="C418" s="288" t="s">
        <v>1573</v>
      </c>
      <c r="D418" s="289" t="s">
        <v>1574</v>
      </c>
      <c r="E418" s="47" t="s">
        <v>10</v>
      </c>
      <c r="F418" s="286" t="s">
        <v>814</v>
      </c>
      <c r="G418" s="289"/>
      <c r="H418" s="287" t="s">
        <v>1575</v>
      </c>
      <c r="I418" s="305"/>
      <c r="J418" s="49" t="s">
        <v>816</v>
      </c>
      <c r="K418" s="306" t="s">
        <v>1576</v>
      </c>
      <c r="L418" s="307">
        <v>44936</v>
      </c>
      <c r="M418" s="103">
        <v>22727</v>
      </c>
      <c r="N418" s="45">
        <v>4</v>
      </c>
      <c r="O418" s="120">
        <f t="shared" si="18"/>
        <v>90908</v>
      </c>
      <c r="P418" s="120">
        <v>29091</v>
      </c>
      <c r="Q418" s="250">
        <f t="shared" si="19"/>
        <v>116364</v>
      </c>
    </row>
    <row r="419" spans="2:17">
      <c r="B419" s="260">
        <v>416</v>
      </c>
      <c r="C419" s="288" t="s">
        <v>1577</v>
      </c>
      <c r="D419" s="289" t="s">
        <v>1574</v>
      </c>
      <c r="E419" s="47" t="s">
        <v>10</v>
      </c>
      <c r="F419" s="286" t="s">
        <v>814</v>
      </c>
      <c r="G419" s="289"/>
      <c r="H419" s="287" t="s">
        <v>1578</v>
      </c>
      <c r="I419" s="308"/>
      <c r="J419" s="49" t="s">
        <v>816</v>
      </c>
      <c r="K419" s="45" t="s">
        <v>1505</v>
      </c>
      <c r="L419" s="307">
        <v>44936</v>
      </c>
      <c r="M419" s="103">
        <v>22727</v>
      </c>
      <c r="N419" s="45">
        <v>15</v>
      </c>
      <c r="O419" s="120">
        <f t="shared" si="18"/>
        <v>340905</v>
      </c>
      <c r="P419" s="120">
        <v>29091</v>
      </c>
      <c r="Q419" s="250">
        <f t="shared" si="19"/>
        <v>436365</v>
      </c>
    </row>
    <row r="420" spans="2:17">
      <c r="B420" s="260">
        <v>417</v>
      </c>
      <c r="C420" s="288" t="s">
        <v>1579</v>
      </c>
      <c r="D420" s="290" t="s">
        <v>1580</v>
      </c>
      <c r="E420" s="47" t="s">
        <v>11</v>
      </c>
      <c r="F420" s="286" t="s">
        <v>1581</v>
      </c>
      <c r="G420" s="289"/>
      <c r="H420" s="291" t="s">
        <v>1582</v>
      </c>
      <c r="I420" s="305"/>
      <c r="J420" s="49" t="s">
        <v>85</v>
      </c>
      <c r="K420" s="306" t="s">
        <v>1583</v>
      </c>
      <c r="L420" s="307">
        <v>44929</v>
      </c>
      <c r="M420" s="309">
        <v>222727</v>
      </c>
      <c r="N420" s="45">
        <v>2</v>
      </c>
      <c r="O420" s="120">
        <f t="shared" si="18"/>
        <v>445454</v>
      </c>
      <c r="P420" s="310">
        <v>279091</v>
      </c>
      <c r="Q420" s="310">
        <f t="shared" si="19"/>
        <v>558182</v>
      </c>
    </row>
    <row r="421" spans="2:17">
      <c r="B421" s="260">
        <v>418</v>
      </c>
      <c r="C421" s="292" t="s">
        <v>1584</v>
      </c>
      <c r="D421" s="46" t="s">
        <v>1585</v>
      </c>
      <c r="E421" s="47" t="s">
        <v>11</v>
      </c>
      <c r="F421" s="293" t="s">
        <v>1586</v>
      </c>
      <c r="G421" s="291"/>
      <c r="H421" s="291" t="s">
        <v>1587</v>
      </c>
      <c r="I421" s="46"/>
      <c r="J421" s="311" t="s">
        <v>1588</v>
      </c>
      <c r="K421" s="297" t="s">
        <v>1589</v>
      </c>
      <c r="L421" s="312">
        <v>44932</v>
      </c>
      <c r="M421" s="309">
        <v>231750</v>
      </c>
      <c r="N421" s="45">
        <v>86</v>
      </c>
      <c r="O421" s="120">
        <f t="shared" si="18"/>
        <v>19930500</v>
      </c>
      <c r="P421" s="120">
        <v>245000</v>
      </c>
      <c r="Q421" s="310">
        <f t="shared" si="19"/>
        <v>21070000</v>
      </c>
    </row>
    <row r="422" spans="2:17">
      <c r="B422" s="260">
        <v>419</v>
      </c>
      <c r="C422" s="292" t="s">
        <v>1590</v>
      </c>
      <c r="D422" s="46" t="s">
        <v>1591</v>
      </c>
      <c r="E422" s="293" t="s">
        <v>1592</v>
      </c>
      <c r="F422" s="293" t="s">
        <v>1593</v>
      </c>
      <c r="G422" s="291"/>
      <c r="H422" s="291" t="s">
        <v>1594</v>
      </c>
      <c r="I422" s="46"/>
      <c r="J422" s="49" t="s">
        <v>85</v>
      </c>
      <c r="K422" s="306" t="s">
        <v>1595</v>
      </c>
      <c r="L422" s="312">
        <v>44935</v>
      </c>
      <c r="M422" s="103">
        <v>222727</v>
      </c>
      <c r="N422" s="45">
        <v>38</v>
      </c>
      <c r="O422" s="120">
        <f t="shared" si="18"/>
        <v>8463626</v>
      </c>
      <c r="P422" s="313">
        <v>309791</v>
      </c>
      <c r="Q422" s="310">
        <f t="shared" si="19"/>
        <v>11772058</v>
      </c>
    </row>
    <row r="423" spans="2:17" ht="15" customHeight="1">
      <c r="B423" s="260">
        <v>420</v>
      </c>
      <c r="C423" s="292" t="s">
        <v>1596</v>
      </c>
      <c r="D423" s="45" t="s">
        <v>1597</v>
      </c>
      <c r="E423" s="294" t="s">
        <v>1598</v>
      </c>
      <c r="F423" s="293" t="s">
        <v>1599</v>
      </c>
      <c r="G423" s="295"/>
      <c r="H423" s="291" t="s">
        <v>1600</v>
      </c>
      <c r="I423" s="295"/>
      <c r="J423" s="49" t="s">
        <v>85</v>
      </c>
      <c r="K423" s="297" t="s">
        <v>1601</v>
      </c>
      <c r="L423" s="314">
        <v>44936</v>
      </c>
      <c r="M423" s="103">
        <v>222727</v>
      </c>
      <c r="N423" s="45">
        <v>15</v>
      </c>
      <c r="O423" s="120">
        <f t="shared" si="18"/>
        <v>3340905</v>
      </c>
      <c r="P423" s="315">
        <v>309791</v>
      </c>
      <c r="Q423" s="310">
        <f t="shared" si="19"/>
        <v>4646865</v>
      </c>
    </row>
    <row r="424" spans="2:17">
      <c r="B424" s="260">
        <v>421</v>
      </c>
      <c r="C424" s="292" t="s">
        <v>1602</v>
      </c>
      <c r="D424" s="45" t="s">
        <v>1597</v>
      </c>
      <c r="E424" s="294" t="s">
        <v>1598</v>
      </c>
      <c r="F424" s="293" t="s">
        <v>1599</v>
      </c>
      <c r="G424" s="295"/>
      <c r="H424" s="291" t="s">
        <v>1600</v>
      </c>
      <c r="I424" s="295"/>
      <c r="J424" s="316" t="s">
        <v>63</v>
      </c>
      <c r="K424" s="297" t="s">
        <v>1603</v>
      </c>
      <c r="L424" s="314">
        <v>44936</v>
      </c>
      <c r="M424" s="309">
        <v>92727</v>
      </c>
      <c r="N424" s="45">
        <v>15</v>
      </c>
      <c r="O424" s="120">
        <f t="shared" si="18"/>
        <v>1390905</v>
      </c>
      <c r="P424" s="315">
        <v>129164</v>
      </c>
      <c r="Q424" s="310">
        <f t="shared" si="19"/>
        <v>1937460</v>
      </c>
    </row>
    <row r="425" spans="2:17">
      <c r="B425" s="260">
        <v>422</v>
      </c>
      <c r="C425" s="292" t="s">
        <v>1604</v>
      </c>
      <c r="D425" s="45" t="s">
        <v>1605</v>
      </c>
      <c r="E425" s="296" t="s">
        <v>1606</v>
      </c>
      <c r="F425" s="293" t="s">
        <v>1607</v>
      </c>
      <c r="G425" s="295"/>
      <c r="H425" s="291" t="s">
        <v>1608</v>
      </c>
      <c r="I425" s="295"/>
      <c r="J425" s="49" t="s">
        <v>85</v>
      </c>
      <c r="K425" s="297" t="s">
        <v>1609</v>
      </c>
      <c r="L425" s="314">
        <v>44945</v>
      </c>
      <c r="M425" s="103">
        <v>222727</v>
      </c>
      <c r="N425" s="45">
        <v>25</v>
      </c>
      <c r="O425" s="120">
        <f t="shared" si="18"/>
        <v>5568175</v>
      </c>
      <c r="P425" s="315">
        <v>257182</v>
      </c>
      <c r="Q425" s="310">
        <f t="shared" si="19"/>
        <v>6429550</v>
      </c>
    </row>
    <row r="426" spans="2:17" ht="15" customHeight="1">
      <c r="B426" s="260">
        <v>423</v>
      </c>
      <c r="C426" s="292" t="s">
        <v>1610</v>
      </c>
      <c r="D426" s="297" t="s">
        <v>1611</v>
      </c>
      <c r="E426" s="294" t="s">
        <v>1598</v>
      </c>
      <c r="F426" s="298" t="s">
        <v>1612</v>
      </c>
      <c r="G426" s="295"/>
      <c r="H426" s="291" t="s">
        <v>1613</v>
      </c>
      <c r="I426" s="295"/>
      <c r="J426" s="317" t="s">
        <v>1614</v>
      </c>
      <c r="K426" s="297" t="s">
        <v>1615</v>
      </c>
      <c r="L426" s="314">
        <v>44952</v>
      </c>
      <c r="M426" s="103">
        <v>92438</v>
      </c>
      <c r="N426" s="297">
        <v>58</v>
      </c>
      <c r="O426" s="120">
        <f t="shared" si="18"/>
        <v>5361404</v>
      </c>
      <c r="P426" s="315">
        <v>109890</v>
      </c>
      <c r="Q426" s="310">
        <f t="shared" si="19"/>
        <v>6373620</v>
      </c>
    </row>
    <row r="427" spans="2:17">
      <c r="B427" s="260">
        <v>424</v>
      </c>
      <c r="C427" s="292" t="s">
        <v>1616</v>
      </c>
      <c r="D427" s="297" t="s">
        <v>1617</v>
      </c>
      <c r="E427" s="296" t="s">
        <v>1606</v>
      </c>
      <c r="F427" s="47" t="s">
        <v>742</v>
      </c>
      <c r="G427" s="295"/>
      <c r="H427" s="291" t="s">
        <v>1618</v>
      </c>
      <c r="I427" s="295"/>
      <c r="J427" s="316" t="s">
        <v>92</v>
      </c>
      <c r="K427" s="297" t="s">
        <v>1619</v>
      </c>
      <c r="L427" s="314">
        <v>44947</v>
      </c>
      <c r="M427" s="103">
        <v>32273</v>
      </c>
      <c r="N427" s="297">
        <v>218</v>
      </c>
      <c r="O427" s="120">
        <f t="shared" si="18"/>
        <v>7035514</v>
      </c>
      <c r="P427" s="315">
        <v>35500</v>
      </c>
      <c r="Q427" s="310">
        <f t="shared" si="19"/>
        <v>7739000</v>
      </c>
    </row>
    <row r="428" spans="2:17">
      <c r="B428" s="299"/>
      <c r="C428" s="300"/>
      <c r="D428" s="301"/>
      <c r="E428" s="301"/>
      <c r="F428" s="302"/>
      <c r="G428" s="301"/>
      <c r="H428" s="301"/>
      <c r="I428" s="301"/>
      <c r="J428" s="318"/>
      <c r="K428" s="301"/>
      <c r="L428" s="319"/>
      <c r="M428" s="319"/>
      <c r="O428" s="283"/>
      <c r="Q428" s="284"/>
    </row>
    <row r="429" spans="2:17">
      <c r="B429" s="303"/>
      <c r="Q429" s="284"/>
    </row>
  </sheetData>
  <autoFilter ref="B2:O427" xr:uid="{00000000-0009-0000-0000-000001000000}"/>
  <mergeCells count="11">
    <mergeCell ref="B2:B3"/>
    <mergeCell ref="C2:C3"/>
    <mergeCell ref="E2:E3"/>
    <mergeCell ref="F2:F3"/>
    <mergeCell ref="J2:J3"/>
    <mergeCell ref="Q2:Q3"/>
    <mergeCell ref="K2:K3"/>
    <mergeCell ref="M2:M3"/>
    <mergeCell ref="N2:N3"/>
    <mergeCell ref="O2:O3"/>
    <mergeCell ref="P2:P3"/>
  </mergeCells>
  <pageMargins left="0.75" right="0.75" top="1" bottom="1" header="0.5" footer="0.5"/>
  <pageSetup scale="37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Q434"/>
  <sheetViews>
    <sheetView zoomScale="85" zoomScaleNormal="85" workbookViewId="0">
      <pane ySplit="3" topLeftCell="A422" activePane="bottomLeft" state="frozen"/>
      <selection pane="bottomLeft" activeCell="D438" sqref="D438"/>
    </sheetView>
  </sheetViews>
  <sheetFormatPr defaultColWidth="9.140625" defaultRowHeight="15"/>
  <cols>
    <col min="1" max="1" width="4.140625" customWidth="1"/>
    <col min="2" max="2" width="5.7109375" style="2" customWidth="1"/>
    <col min="3" max="3" width="20" customWidth="1"/>
    <col min="4" max="4" width="28.140625" style="3" customWidth="1"/>
    <col min="5" max="5" width="29.28515625" style="4" customWidth="1"/>
    <col min="6" max="6" width="56.140625" customWidth="1"/>
    <col min="7" max="7" width="23.85546875" customWidth="1"/>
    <col min="8" max="8" width="24" customWidth="1"/>
    <col min="9" max="9" width="21.7109375" customWidth="1"/>
    <col min="10" max="10" width="42" style="6" customWidth="1"/>
    <col min="11" max="11" width="37.85546875" customWidth="1"/>
    <col min="12" max="12" width="10.7109375" style="7" customWidth="1"/>
    <col min="13" max="13" width="16.28515625" customWidth="1"/>
    <col min="14" max="14" width="9.140625" customWidth="1"/>
    <col min="15" max="15" width="17.140625" customWidth="1"/>
    <col min="16" max="16" width="18.42578125" customWidth="1"/>
    <col min="17" max="17" width="18" customWidth="1"/>
    <col min="19" max="19" width="14.28515625" customWidth="1"/>
  </cols>
  <sheetData>
    <row r="2" spans="2:17">
      <c r="B2" s="374" t="s">
        <v>24</v>
      </c>
      <c r="C2" s="372" t="s">
        <v>25</v>
      </c>
      <c r="D2" s="10"/>
      <c r="E2" s="376" t="s">
        <v>26</v>
      </c>
      <c r="F2" s="372" t="s">
        <v>27</v>
      </c>
      <c r="G2" s="13" t="s">
        <v>28</v>
      </c>
      <c r="H2" s="13" t="s">
        <v>29</v>
      </c>
      <c r="I2" s="13" t="s">
        <v>30</v>
      </c>
      <c r="J2" s="372" t="s">
        <v>31</v>
      </c>
      <c r="K2" s="372" t="s">
        <v>32</v>
      </c>
      <c r="L2" s="33"/>
      <c r="M2" s="370" t="s">
        <v>33</v>
      </c>
      <c r="N2" s="372" t="s">
        <v>34</v>
      </c>
      <c r="O2" s="370" t="s">
        <v>35</v>
      </c>
      <c r="P2" s="370" t="s">
        <v>36</v>
      </c>
      <c r="Q2" s="370" t="s">
        <v>37</v>
      </c>
    </row>
    <row r="3" spans="2:17">
      <c r="B3" s="375"/>
      <c r="C3" s="373"/>
      <c r="D3" s="14" t="s">
        <v>38</v>
      </c>
      <c r="E3" s="377"/>
      <c r="F3" s="373"/>
      <c r="G3" s="13" t="s">
        <v>28</v>
      </c>
      <c r="H3" s="13" t="s">
        <v>29</v>
      </c>
      <c r="I3" s="13" t="s">
        <v>30</v>
      </c>
      <c r="J3" s="373"/>
      <c r="K3" s="373"/>
      <c r="L3" s="35" t="s">
        <v>39</v>
      </c>
      <c r="M3" s="371"/>
      <c r="N3" s="373"/>
      <c r="O3" s="371"/>
      <c r="P3" s="371"/>
      <c r="Q3" s="371"/>
    </row>
    <row r="4" spans="2:17">
      <c r="B4" s="200">
        <v>1</v>
      </c>
      <c r="C4" s="201" t="s">
        <v>40</v>
      </c>
      <c r="D4" s="202" t="s">
        <v>41</v>
      </c>
      <c r="E4" s="203" t="s">
        <v>8</v>
      </c>
      <c r="F4" s="203" t="s">
        <v>42</v>
      </c>
      <c r="G4" s="201"/>
      <c r="H4" s="201" t="s">
        <v>43</v>
      </c>
      <c r="I4" s="201"/>
      <c r="J4" s="203" t="s">
        <v>44</v>
      </c>
      <c r="K4" s="201" t="s">
        <v>45</v>
      </c>
      <c r="L4" s="218">
        <v>43893</v>
      </c>
      <c r="M4" s="219">
        <v>41205</v>
      </c>
      <c r="N4" s="220">
        <v>200</v>
      </c>
      <c r="O4" s="219">
        <f t="shared" ref="O4:O20" si="0">SUM(M4*N4)</f>
        <v>8241000</v>
      </c>
      <c r="P4" s="220">
        <v>45000</v>
      </c>
      <c r="Q4" s="220">
        <f>P4*N4</f>
        <v>9000000</v>
      </c>
    </row>
    <row r="5" spans="2:17">
      <c r="B5" s="200">
        <v>2</v>
      </c>
      <c r="C5" s="204" t="s">
        <v>46</v>
      </c>
      <c r="D5" s="205" t="s">
        <v>47</v>
      </c>
      <c r="E5" s="206" t="s">
        <v>9</v>
      </c>
      <c r="F5" s="206" t="s">
        <v>48</v>
      </c>
      <c r="G5" s="204"/>
      <c r="H5" s="204" t="s">
        <v>49</v>
      </c>
      <c r="I5" s="204"/>
      <c r="J5" s="206" t="s">
        <v>50</v>
      </c>
      <c r="K5" s="204" t="s">
        <v>51</v>
      </c>
      <c r="L5" s="221">
        <v>44193</v>
      </c>
      <c r="M5" s="222">
        <v>254545</v>
      </c>
      <c r="N5" s="223">
        <v>1</v>
      </c>
      <c r="O5" s="222">
        <f t="shared" si="0"/>
        <v>254545</v>
      </c>
      <c r="P5" s="223">
        <v>275000</v>
      </c>
      <c r="Q5" s="223">
        <f t="shared" ref="Q5:Q15" si="1">P5*N5</f>
        <v>275000</v>
      </c>
    </row>
    <row r="6" spans="2:17">
      <c r="B6" s="200">
        <v>3</v>
      </c>
      <c r="C6" s="204" t="s">
        <v>52</v>
      </c>
      <c r="D6" s="205" t="s">
        <v>53</v>
      </c>
      <c r="E6" s="206" t="s">
        <v>9</v>
      </c>
      <c r="F6" s="206" t="s">
        <v>54</v>
      </c>
      <c r="G6" s="204"/>
      <c r="H6" s="204" t="s">
        <v>55</v>
      </c>
      <c r="I6" s="204"/>
      <c r="J6" s="206" t="s">
        <v>50</v>
      </c>
      <c r="K6" s="204" t="s">
        <v>56</v>
      </c>
      <c r="L6" s="221">
        <v>43836</v>
      </c>
      <c r="M6" s="222">
        <v>254545</v>
      </c>
      <c r="N6" s="223">
        <v>5</v>
      </c>
      <c r="O6" s="222">
        <f t="shared" si="0"/>
        <v>1272725</v>
      </c>
      <c r="P6" s="223">
        <v>275000</v>
      </c>
      <c r="Q6" s="223">
        <f t="shared" si="1"/>
        <v>1375000</v>
      </c>
    </row>
    <row r="7" spans="2:17">
      <c r="B7" s="200">
        <v>4</v>
      </c>
      <c r="C7" s="204" t="s">
        <v>52</v>
      </c>
      <c r="D7" s="205" t="s">
        <v>53</v>
      </c>
      <c r="E7" s="206" t="s">
        <v>9</v>
      </c>
      <c r="F7" s="206" t="s">
        <v>57</v>
      </c>
      <c r="G7" s="204"/>
      <c r="H7" s="204" t="s">
        <v>55</v>
      </c>
      <c r="I7" s="204"/>
      <c r="J7" s="206" t="s">
        <v>50</v>
      </c>
      <c r="K7" s="204" t="s">
        <v>58</v>
      </c>
      <c r="L7" s="221">
        <v>43836</v>
      </c>
      <c r="M7" s="222">
        <v>254545</v>
      </c>
      <c r="N7" s="223">
        <v>7</v>
      </c>
      <c r="O7" s="222">
        <f t="shared" si="0"/>
        <v>1781815</v>
      </c>
      <c r="P7" s="223">
        <v>275000</v>
      </c>
      <c r="Q7" s="223">
        <f t="shared" si="1"/>
        <v>1925000</v>
      </c>
    </row>
    <row r="8" spans="2:17">
      <c r="B8" s="200">
        <v>5</v>
      </c>
      <c r="C8" s="204" t="s">
        <v>59</v>
      </c>
      <c r="D8" s="205" t="s">
        <v>60</v>
      </c>
      <c r="E8" s="206"/>
      <c r="F8" s="206" t="s">
        <v>61</v>
      </c>
      <c r="G8" s="204"/>
      <c r="H8" s="204" t="s">
        <v>62</v>
      </c>
      <c r="I8" s="204"/>
      <c r="J8" s="206" t="s">
        <v>63</v>
      </c>
      <c r="K8" s="204" t="s">
        <v>64</v>
      </c>
      <c r="L8" s="221">
        <v>43837</v>
      </c>
      <c r="M8" s="222">
        <v>92727</v>
      </c>
      <c r="N8" s="223">
        <v>10</v>
      </c>
      <c r="O8" s="222">
        <f t="shared" si="0"/>
        <v>927270</v>
      </c>
      <c r="P8" s="223">
        <v>198400</v>
      </c>
      <c r="Q8" s="223">
        <f t="shared" si="1"/>
        <v>1984000</v>
      </c>
    </row>
    <row r="9" spans="2:17">
      <c r="B9" s="200">
        <v>6</v>
      </c>
      <c r="C9" s="204" t="s">
        <v>65</v>
      </c>
      <c r="D9" s="205" t="s">
        <v>66</v>
      </c>
      <c r="E9" s="206" t="s">
        <v>9</v>
      </c>
      <c r="F9" s="206" t="s">
        <v>67</v>
      </c>
      <c r="G9" s="204"/>
      <c r="H9" s="204" t="s">
        <v>68</v>
      </c>
      <c r="I9" s="204"/>
      <c r="J9" s="206" t="s">
        <v>50</v>
      </c>
      <c r="K9" s="204" t="s">
        <v>69</v>
      </c>
      <c r="L9" s="221">
        <v>44211</v>
      </c>
      <c r="M9" s="222">
        <v>254545</v>
      </c>
      <c r="N9" s="223">
        <v>2</v>
      </c>
      <c r="O9" s="222">
        <f t="shared" si="0"/>
        <v>509090</v>
      </c>
      <c r="P9" s="223">
        <v>275000</v>
      </c>
      <c r="Q9" s="223">
        <f t="shared" si="1"/>
        <v>550000</v>
      </c>
    </row>
    <row r="10" spans="2:17">
      <c r="B10" s="200">
        <v>7</v>
      </c>
      <c r="C10" s="204" t="s">
        <v>70</v>
      </c>
      <c r="D10" s="205" t="s">
        <v>71</v>
      </c>
      <c r="E10" s="206" t="s">
        <v>9</v>
      </c>
      <c r="F10" s="206" t="s">
        <v>72</v>
      </c>
      <c r="G10" s="204"/>
      <c r="H10" s="204" t="s">
        <v>73</v>
      </c>
      <c r="I10" s="204"/>
      <c r="J10" s="206" t="s">
        <v>50</v>
      </c>
      <c r="K10" s="204" t="s">
        <v>74</v>
      </c>
      <c r="L10" s="221">
        <v>44214</v>
      </c>
      <c r="M10" s="222">
        <v>254545</v>
      </c>
      <c r="N10" s="223">
        <v>1</v>
      </c>
      <c r="O10" s="222">
        <f t="shared" si="0"/>
        <v>254545</v>
      </c>
      <c r="P10" s="223">
        <v>275000</v>
      </c>
      <c r="Q10" s="223">
        <f t="shared" si="1"/>
        <v>275000</v>
      </c>
    </row>
    <row r="11" spans="2:17">
      <c r="B11" s="200">
        <v>8</v>
      </c>
      <c r="C11" s="204" t="s">
        <v>75</v>
      </c>
      <c r="D11" s="205" t="s">
        <v>76</v>
      </c>
      <c r="E11" s="206" t="s">
        <v>9</v>
      </c>
      <c r="F11" s="206" t="s">
        <v>77</v>
      </c>
      <c r="G11" s="204"/>
      <c r="H11" s="204" t="s">
        <v>78</v>
      </c>
      <c r="I11" s="204"/>
      <c r="J11" s="206" t="s">
        <v>50</v>
      </c>
      <c r="K11" s="204" t="s">
        <v>79</v>
      </c>
      <c r="L11" s="221">
        <v>44221</v>
      </c>
      <c r="M11" s="222">
        <v>254545</v>
      </c>
      <c r="N11" s="223">
        <v>1</v>
      </c>
      <c r="O11" s="222">
        <f t="shared" si="0"/>
        <v>254545</v>
      </c>
      <c r="P11" s="223">
        <v>275000</v>
      </c>
      <c r="Q11" s="223">
        <f t="shared" si="1"/>
        <v>275000</v>
      </c>
    </row>
    <row r="12" spans="2:17">
      <c r="B12" s="200">
        <v>9</v>
      </c>
      <c r="C12" s="204" t="s">
        <v>80</v>
      </c>
      <c r="D12" s="205" t="s">
        <v>81</v>
      </c>
      <c r="E12" s="206" t="s">
        <v>82</v>
      </c>
      <c r="F12" s="206" t="s">
        <v>83</v>
      </c>
      <c r="G12" s="204"/>
      <c r="H12" s="204" t="s">
        <v>84</v>
      </c>
      <c r="I12" s="204"/>
      <c r="J12" s="206" t="s">
        <v>85</v>
      </c>
      <c r="K12" s="204" t="s">
        <v>86</v>
      </c>
      <c r="L12" s="221">
        <v>44222</v>
      </c>
      <c r="M12" s="222">
        <v>222727</v>
      </c>
      <c r="N12" s="223">
        <v>250</v>
      </c>
      <c r="O12" s="222">
        <f t="shared" si="0"/>
        <v>55681750</v>
      </c>
      <c r="P12" s="223">
        <v>279090.90999999997</v>
      </c>
      <c r="Q12" s="223">
        <f t="shared" si="1"/>
        <v>69772727.5</v>
      </c>
    </row>
    <row r="13" spans="2:17">
      <c r="B13" s="200">
        <v>10</v>
      </c>
      <c r="C13" s="204" t="s">
        <v>87</v>
      </c>
      <c r="D13" s="205">
        <v>78130</v>
      </c>
      <c r="E13" s="206" t="s">
        <v>17</v>
      </c>
      <c r="F13" s="206" t="s">
        <v>88</v>
      </c>
      <c r="G13" s="204"/>
      <c r="H13" s="204" t="s">
        <v>89</v>
      </c>
      <c r="I13" s="204"/>
      <c r="J13" s="206" t="s">
        <v>85</v>
      </c>
      <c r="K13" s="204" t="s">
        <v>90</v>
      </c>
      <c r="L13" s="221">
        <v>44224</v>
      </c>
      <c r="M13" s="222">
        <v>222727</v>
      </c>
      <c r="N13" s="223">
        <v>49</v>
      </c>
      <c r="O13" s="222">
        <f t="shared" si="0"/>
        <v>10913623</v>
      </c>
      <c r="P13" s="223">
        <v>279090.90999999997</v>
      </c>
      <c r="Q13" s="223">
        <f t="shared" si="1"/>
        <v>13675454.589999998</v>
      </c>
    </row>
    <row r="14" spans="2:17">
      <c r="B14" s="200">
        <v>11</v>
      </c>
      <c r="C14" s="204" t="s">
        <v>91</v>
      </c>
      <c r="D14" s="205">
        <v>78130</v>
      </c>
      <c r="E14" s="206" t="s">
        <v>17</v>
      </c>
      <c r="F14" s="206" t="s">
        <v>88</v>
      </c>
      <c r="G14" s="204"/>
      <c r="H14" s="204" t="s">
        <v>89</v>
      </c>
      <c r="I14" s="204"/>
      <c r="J14" s="206" t="s">
        <v>92</v>
      </c>
      <c r="K14" s="204" t="s">
        <v>93</v>
      </c>
      <c r="L14" s="221">
        <v>44224</v>
      </c>
      <c r="M14" s="222">
        <v>46364</v>
      </c>
      <c r="N14" s="223">
        <v>49</v>
      </c>
      <c r="O14" s="222">
        <f t="shared" si="0"/>
        <v>2271836</v>
      </c>
      <c r="P14" s="223">
        <v>58181.82</v>
      </c>
      <c r="Q14" s="223">
        <f t="shared" si="1"/>
        <v>2850909.18</v>
      </c>
    </row>
    <row r="15" spans="2:17">
      <c r="B15" s="200">
        <v>12</v>
      </c>
      <c r="C15" s="207" t="s">
        <v>94</v>
      </c>
      <c r="D15" s="208" t="s">
        <v>95</v>
      </c>
      <c r="E15" s="209" t="s">
        <v>9</v>
      </c>
      <c r="F15" s="209" t="s">
        <v>96</v>
      </c>
      <c r="G15" s="207"/>
      <c r="H15" s="207" t="s">
        <v>97</v>
      </c>
      <c r="I15" s="207"/>
      <c r="J15" s="209" t="s">
        <v>50</v>
      </c>
      <c r="K15" s="207" t="s">
        <v>98</v>
      </c>
      <c r="L15" s="224">
        <v>44224</v>
      </c>
      <c r="M15" s="225">
        <v>254545</v>
      </c>
      <c r="N15" s="226">
        <v>1</v>
      </c>
      <c r="O15" s="225">
        <f t="shared" si="0"/>
        <v>254545</v>
      </c>
      <c r="P15" s="226">
        <v>275000</v>
      </c>
      <c r="Q15" s="226">
        <f t="shared" si="1"/>
        <v>275000</v>
      </c>
    </row>
    <row r="16" spans="2:17">
      <c r="B16" s="200">
        <v>13</v>
      </c>
      <c r="C16" s="207" t="s">
        <v>99</v>
      </c>
      <c r="D16" s="208" t="s">
        <v>100</v>
      </c>
      <c r="E16" s="209" t="s">
        <v>9</v>
      </c>
      <c r="F16" s="209" t="s">
        <v>101</v>
      </c>
      <c r="G16" s="207"/>
      <c r="H16" s="207" t="s">
        <v>102</v>
      </c>
      <c r="I16" s="207"/>
      <c r="J16" s="209" t="s">
        <v>50</v>
      </c>
      <c r="K16" s="207" t="s">
        <v>103</v>
      </c>
      <c r="L16" s="224">
        <v>44229</v>
      </c>
      <c r="M16" s="225">
        <v>254545</v>
      </c>
      <c r="N16" s="226">
        <v>1</v>
      </c>
      <c r="O16" s="225">
        <f t="shared" si="0"/>
        <v>254545</v>
      </c>
      <c r="P16" s="226">
        <v>275000</v>
      </c>
      <c r="Q16" s="226">
        <f t="shared" ref="Q16:Q79" si="2">P16*N16</f>
        <v>275000</v>
      </c>
    </row>
    <row r="17" spans="2:17">
      <c r="B17" s="200">
        <v>14</v>
      </c>
      <c r="C17" s="207" t="s">
        <v>104</v>
      </c>
      <c r="D17" s="208" t="s">
        <v>105</v>
      </c>
      <c r="E17" s="209" t="s">
        <v>9</v>
      </c>
      <c r="F17" s="209" t="s">
        <v>106</v>
      </c>
      <c r="G17" s="207"/>
      <c r="H17" s="207" t="s">
        <v>107</v>
      </c>
      <c r="I17" s="207"/>
      <c r="J17" s="209" t="s">
        <v>50</v>
      </c>
      <c r="K17" s="207" t="s">
        <v>108</v>
      </c>
      <c r="L17" s="224">
        <v>44232</v>
      </c>
      <c r="M17" s="225">
        <v>254545</v>
      </c>
      <c r="N17" s="226">
        <v>1</v>
      </c>
      <c r="O17" s="225">
        <f t="shared" si="0"/>
        <v>254545</v>
      </c>
      <c r="P17" s="226">
        <v>275000</v>
      </c>
      <c r="Q17" s="226">
        <f t="shared" si="2"/>
        <v>275000</v>
      </c>
    </row>
    <row r="18" spans="2:17">
      <c r="B18" s="200">
        <v>15</v>
      </c>
      <c r="C18" s="207" t="s">
        <v>109</v>
      </c>
      <c r="D18" s="208" t="s">
        <v>105</v>
      </c>
      <c r="E18" s="209" t="s">
        <v>9</v>
      </c>
      <c r="F18" s="209" t="s">
        <v>110</v>
      </c>
      <c r="G18" s="207"/>
      <c r="H18" s="207" t="s">
        <v>111</v>
      </c>
      <c r="I18" s="207"/>
      <c r="J18" s="209" t="s">
        <v>50</v>
      </c>
      <c r="K18" s="207" t="s">
        <v>112</v>
      </c>
      <c r="L18" s="224">
        <v>44237</v>
      </c>
      <c r="M18" s="225">
        <v>254545</v>
      </c>
      <c r="N18" s="226">
        <v>1</v>
      </c>
      <c r="O18" s="225">
        <f t="shared" si="0"/>
        <v>254545</v>
      </c>
      <c r="P18" s="226">
        <v>275000</v>
      </c>
      <c r="Q18" s="226">
        <f t="shared" si="2"/>
        <v>275000</v>
      </c>
    </row>
    <row r="19" spans="2:17">
      <c r="B19" s="200">
        <v>16</v>
      </c>
      <c r="C19" s="207" t="s">
        <v>113</v>
      </c>
      <c r="D19" s="208">
        <v>78349</v>
      </c>
      <c r="E19" s="209" t="s">
        <v>17</v>
      </c>
      <c r="F19" s="209" t="s">
        <v>114</v>
      </c>
      <c r="G19" s="207"/>
      <c r="H19" s="207" t="s">
        <v>115</v>
      </c>
      <c r="I19" s="207"/>
      <c r="J19" s="209" t="s">
        <v>85</v>
      </c>
      <c r="K19" s="207" t="s">
        <v>116</v>
      </c>
      <c r="L19" s="224">
        <v>44245</v>
      </c>
      <c r="M19" s="225">
        <v>171818</v>
      </c>
      <c r="N19" s="226">
        <v>20</v>
      </c>
      <c r="O19" s="225">
        <f t="shared" si="0"/>
        <v>3436360</v>
      </c>
      <c r="P19" s="226">
        <v>279090.90999999997</v>
      </c>
      <c r="Q19" s="226">
        <f t="shared" si="2"/>
        <v>5581818.1999999993</v>
      </c>
    </row>
    <row r="20" spans="2:17">
      <c r="B20" s="200">
        <v>17</v>
      </c>
      <c r="C20" s="207" t="s">
        <v>117</v>
      </c>
      <c r="D20" s="208">
        <v>78349</v>
      </c>
      <c r="E20" s="209" t="s">
        <v>17</v>
      </c>
      <c r="F20" s="209" t="s">
        <v>114</v>
      </c>
      <c r="G20" s="207"/>
      <c r="H20" s="207" t="s">
        <v>115</v>
      </c>
      <c r="I20" s="207"/>
      <c r="J20" s="209" t="s">
        <v>92</v>
      </c>
      <c r="K20" s="207" t="s">
        <v>118</v>
      </c>
      <c r="L20" s="224">
        <v>44245</v>
      </c>
      <c r="M20" s="225">
        <v>40909</v>
      </c>
      <c r="N20" s="226">
        <v>20</v>
      </c>
      <c r="O20" s="225">
        <f t="shared" si="0"/>
        <v>818180</v>
      </c>
      <c r="P20" s="226">
        <v>58181.82</v>
      </c>
      <c r="Q20" s="226">
        <f t="shared" si="2"/>
        <v>1163636.3999999999</v>
      </c>
    </row>
    <row r="21" spans="2:17">
      <c r="B21" s="200">
        <v>18</v>
      </c>
      <c r="C21" s="207" t="s">
        <v>119</v>
      </c>
      <c r="D21" s="208" t="s">
        <v>120</v>
      </c>
      <c r="E21" s="209" t="s">
        <v>9</v>
      </c>
      <c r="F21" s="209" t="s">
        <v>121</v>
      </c>
      <c r="G21" s="207"/>
      <c r="H21" s="207" t="s">
        <v>122</v>
      </c>
      <c r="I21" s="207"/>
      <c r="J21" s="209" t="s">
        <v>50</v>
      </c>
      <c r="K21" s="207" t="s">
        <v>123</v>
      </c>
      <c r="L21" s="224">
        <v>44251</v>
      </c>
      <c r="M21" s="225">
        <v>254545</v>
      </c>
      <c r="N21" s="226">
        <v>2</v>
      </c>
      <c r="O21" s="225">
        <f t="shared" ref="O21" si="3">SUM(M21*N21)</f>
        <v>509090</v>
      </c>
      <c r="P21" s="226">
        <v>275000</v>
      </c>
      <c r="Q21" s="226">
        <f t="shared" si="2"/>
        <v>550000</v>
      </c>
    </row>
    <row r="22" spans="2:17">
      <c r="B22" s="200">
        <v>19</v>
      </c>
      <c r="C22" s="210" t="s">
        <v>124</v>
      </c>
      <c r="D22" s="211" t="s">
        <v>125</v>
      </c>
      <c r="E22" s="212" t="s">
        <v>9</v>
      </c>
      <c r="F22" s="213" t="s">
        <v>126</v>
      </c>
      <c r="G22" s="210"/>
      <c r="H22" s="210" t="s">
        <v>127</v>
      </c>
      <c r="I22" s="210"/>
      <c r="J22" s="213" t="s">
        <v>50</v>
      </c>
      <c r="K22" s="210" t="s">
        <v>128</v>
      </c>
      <c r="L22" s="227">
        <v>44257</v>
      </c>
      <c r="M22" s="228">
        <v>254545</v>
      </c>
      <c r="N22" s="210">
        <v>2</v>
      </c>
      <c r="O22" s="229">
        <f>N22*M22</f>
        <v>509090</v>
      </c>
      <c r="P22" s="229">
        <v>275000</v>
      </c>
      <c r="Q22" s="229">
        <f t="shared" si="2"/>
        <v>550000</v>
      </c>
    </row>
    <row r="23" spans="2:17">
      <c r="B23" s="200">
        <v>20</v>
      </c>
      <c r="C23" s="210" t="s">
        <v>129</v>
      </c>
      <c r="D23" s="211" t="s">
        <v>130</v>
      </c>
      <c r="E23" s="212" t="s">
        <v>5</v>
      </c>
      <c r="F23" s="213" t="s">
        <v>131</v>
      </c>
      <c r="G23" s="210"/>
      <c r="H23" s="210" t="s">
        <v>132</v>
      </c>
      <c r="I23" s="210"/>
      <c r="J23" s="213" t="s">
        <v>50</v>
      </c>
      <c r="K23" s="210" t="s">
        <v>133</v>
      </c>
      <c r="L23" s="227">
        <v>44259</v>
      </c>
      <c r="M23" s="228">
        <v>444545</v>
      </c>
      <c r="N23" s="210">
        <v>38</v>
      </c>
      <c r="O23" s="229">
        <f>N23*M23</f>
        <v>16892710</v>
      </c>
      <c r="P23" s="229">
        <v>545455</v>
      </c>
      <c r="Q23" s="229">
        <f t="shared" si="2"/>
        <v>20727290</v>
      </c>
    </row>
    <row r="24" spans="2:17">
      <c r="B24" s="200">
        <v>21</v>
      </c>
      <c r="C24" s="210" t="s">
        <v>134</v>
      </c>
      <c r="D24" s="211" t="s">
        <v>135</v>
      </c>
      <c r="E24" s="212" t="s">
        <v>9</v>
      </c>
      <c r="F24" s="213" t="s">
        <v>136</v>
      </c>
      <c r="G24" s="210"/>
      <c r="H24" s="210" t="s">
        <v>137</v>
      </c>
      <c r="I24" s="210"/>
      <c r="J24" s="213" t="s">
        <v>50</v>
      </c>
      <c r="K24" s="210" t="s">
        <v>138</v>
      </c>
      <c r="L24" s="227">
        <v>44264</v>
      </c>
      <c r="M24" s="228">
        <v>254545</v>
      </c>
      <c r="N24" s="210">
        <v>3</v>
      </c>
      <c r="O24" s="229">
        <f>N24*M24</f>
        <v>763635</v>
      </c>
      <c r="P24" s="229">
        <v>275000</v>
      </c>
      <c r="Q24" s="229">
        <f t="shared" si="2"/>
        <v>825000</v>
      </c>
    </row>
    <row r="25" spans="2:17">
      <c r="B25" s="200">
        <v>22</v>
      </c>
      <c r="C25" s="210" t="s">
        <v>139</v>
      </c>
      <c r="D25" s="211" t="s">
        <v>140</v>
      </c>
      <c r="E25" s="212" t="s">
        <v>9</v>
      </c>
      <c r="F25" s="213" t="s">
        <v>141</v>
      </c>
      <c r="G25" s="210"/>
      <c r="H25" s="210" t="s">
        <v>142</v>
      </c>
      <c r="I25" s="210"/>
      <c r="J25" s="213" t="s">
        <v>50</v>
      </c>
      <c r="K25" s="210" t="s">
        <v>143</v>
      </c>
      <c r="L25" s="227">
        <v>44271</v>
      </c>
      <c r="M25" s="228">
        <v>254545</v>
      </c>
      <c r="N25" s="210">
        <v>1</v>
      </c>
      <c r="O25" s="229">
        <f t="shared" ref="O25:O57" si="4">N25*M25</f>
        <v>254545</v>
      </c>
      <c r="P25" s="229">
        <v>275000</v>
      </c>
      <c r="Q25" s="229">
        <f t="shared" si="2"/>
        <v>275000</v>
      </c>
    </row>
    <row r="26" spans="2:17">
      <c r="B26" s="200">
        <v>23</v>
      </c>
      <c r="C26" s="210" t="s">
        <v>144</v>
      </c>
      <c r="D26" s="211" t="s">
        <v>140</v>
      </c>
      <c r="E26" s="212" t="s">
        <v>9</v>
      </c>
      <c r="F26" s="213" t="s">
        <v>145</v>
      </c>
      <c r="G26" s="210"/>
      <c r="H26" s="210" t="s">
        <v>142</v>
      </c>
      <c r="I26" s="210"/>
      <c r="J26" s="213" t="s">
        <v>50</v>
      </c>
      <c r="K26" s="210" t="s">
        <v>146</v>
      </c>
      <c r="L26" s="227">
        <v>44271</v>
      </c>
      <c r="M26" s="228">
        <v>254545</v>
      </c>
      <c r="N26" s="210">
        <v>1</v>
      </c>
      <c r="O26" s="229">
        <f t="shared" si="4"/>
        <v>254545</v>
      </c>
      <c r="P26" s="229">
        <v>275000</v>
      </c>
      <c r="Q26" s="229">
        <f t="shared" si="2"/>
        <v>275000</v>
      </c>
    </row>
    <row r="27" spans="2:17">
      <c r="B27" s="200">
        <v>24</v>
      </c>
      <c r="C27" s="210" t="s">
        <v>147</v>
      </c>
      <c r="D27" s="211" t="s">
        <v>148</v>
      </c>
      <c r="E27" s="212" t="s">
        <v>9</v>
      </c>
      <c r="F27" s="213" t="s">
        <v>149</v>
      </c>
      <c r="G27" s="210"/>
      <c r="H27" s="210" t="s">
        <v>150</v>
      </c>
      <c r="I27" s="210"/>
      <c r="J27" s="213" t="s">
        <v>50</v>
      </c>
      <c r="K27" s="210" t="s">
        <v>151</v>
      </c>
      <c r="L27" s="227">
        <v>44274</v>
      </c>
      <c r="M27" s="228">
        <v>254545</v>
      </c>
      <c r="N27" s="210">
        <v>2</v>
      </c>
      <c r="O27" s="229">
        <f t="shared" si="4"/>
        <v>509090</v>
      </c>
      <c r="P27" s="229">
        <v>275000</v>
      </c>
      <c r="Q27" s="229">
        <f t="shared" si="2"/>
        <v>550000</v>
      </c>
    </row>
    <row r="28" spans="2:17">
      <c r="B28" s="200">
        <v>25</v>
      </c>
      <c r="C28" s="210" t="s">
        <v>152</v>
      </c>
      <c r="D28" s="211" t="s">
        <v>148</v>
      </c>
      <c r="E28" s="212" t="s">
        <v>9</v>
      </c>
      <c r="F28" s="213" t="s">
        <v>153</v>
      </c>
      <c r="G28" s="210"/>
      <c r="H28" s="210" t="s">
        <v>150</v>
      </c>
      <c r="I28" s="210"/>
      <c r="J28" s="213" t="s">
        <v>50</v>
      </c>
      <c r="K28" s="210" t="s">
        <v>154</v>
      </c>
      <c r="L28" s="227">
        <v>44274</v>
      </c>
      <c r="M28" s="228">
        <v>254545</v>
      </c>
      <c r="N28" s="210">
        <v>5</v>
      </c>
      <c r="O28" s="229">
        <f t="shared" si="4"/>
        <v>1272725</v>
      </c>
      <c r="P28" s="229">
        <v>275000</v>
      </c>
      <c r="Q28" s="229">
        <f t="shared" si="2"/>
        <v>1375000</v>
      </c>
    </row>
    <row r="29" spans="2:17">
      <c r="B29" s="200">
        <v>26</v>
      </c>
      <c r="C29" s="210" t="s">
        <v>155</v>
      </c>
      <c r="D29" s="211" t="s">
        <v>148</v>
      </c>
      <c r="E29" s="212" t="s">
        <v>9</v>
      </c>
      <c r="F29" s="213" t="s">
        <v>149</v>
      </c>
      <c r="G29" s="210"/>
      <c r="H29" s="210" t="s">
        <v>150</v>
      </c>
      <c r="I29" s="210"/>
      <c r="J29" s="213" t="s">
        <v>50</v>
      </c>
      <c r="K29" s="210" t="s">
        <v>156</v>
      </c>
      <c r="L29" s="227">
        <v>44274</v>
      </c>
      <c r="M29" s="228">
        <v>254545</v>
      </c>
      <c r="N29" s="210">
        <v>10</v>
      </c>
      <c r="O29" s="229">
        <f t="shared" si="4"/>
        <v>2545450</v>
      </c>
      <c r="P29" s="229">
        <v>275000</v>
      </c>
      <c r="Q29" s="229">
        <f t="shared" si="2"/>
        <v>2750000</v>
      </c>
    </row>
    <row r="30" spans="2:17">
      <c r="B30" s="200">
        <v>27</v>
      </c>
      <c r="C30" s="210" t="s">
        <v>157</v>
      </c>
      <c r="D30" s="211" t="s">
        <v>148</v>
      </c>
      <c r="E30" s="212" t="s">
        <v>9</v>
      </c>
      <c r="F30" s="213" t="s">
        <v>158</v>
      </c>
      <c r="G30" s="210"/>
      <c r="H30" s="210" t="s">
        <v>150</v>
      </c>
      <c r="I30" s="210"/>
      <c r="J30" s="213" t="s">
        <v>50</v>
      </c>
      <c r="K30" s="210" t="s">
        <v>159</v>
      </c>
      <c r="L30" s="227">
        <v>44274</v>
      </c>
      <c r="M30" s="228">
        <v>254545</v>
      </c>
      <c r="N30" s="210">
        <v>7</v>
      </c>
      <c r="O30" s="229">
        <f t="shared" si="4"/>
        <v>1781815</v>
      </c>
      <c r="P30" s="229">
        <v>275000</v>
      </c>
      <c r="Q30" s="229">
        <f t="shared" si="2"/>
        <v>1925000</v>
      </c>
    </row>
    <row r="31" spans="2:17">
      <c r="B31" s="200">
        <v>28</v>
      </c>
      <c r="C31" s="210" t="s">
        <v>160</v>
      </c>
      <c r="D31" s="211" t="s">
        <v>148</v>
      </c>
      <c r="E31" s="212" t="s">
        <v>9</v>
      </c>
      <c r="F31" s="213" t="s">
        <v>161</v>
      </c>
      <c r="G31" s="210"/>
      <c r="H31" s="210" t="s">
        <v>150</v>
      </c>
      <c r="I31" s="210"/>
      <c r="J31" s="213" t="s">
        <v>50</v>
      </c>
      <c r="K31" s="210" t="s">
        <v>162</v>
      </c>
      <c r="L31" s="227">
        <v>44274</v>
      </c>
      <c r="M31" s="228">
        <v>254545</v>
      </c>
      <c r="N31" s="210">
        <v>5</v>
      </c>
      <c r="O31" s="229">
        <f t="shared" si="4"/>
        <v>1272725</v>
      </c>
      <c r="P31" s="229">
        <v>275000</v>
      </c>
      <c r="Q31" s="229">
        <f t="shared" si="2"/>
        <v>1375000</v>
      </c>
    </row>
    <row r="32" spans="2:17">
      <c r="B32" s="200">
        <v>29</v>
      </c>
      <c r="C32" s="210" t="s">
        <v>163</v>
      </c>
      <c r="D32" s="211" t="s">
        <v>164</v>
      </c>
      <c r="E32" s="212"/>
      <c r="F32" s="213" t="s">
        <v>165</v>
      </c>
      <c r="G32" s="210"/>
      <c r="H32" s="210" t="s">
        <v>166</v>
      </c>
      <c r="I32" s="210"/>
      <c r="J32" s="213" t="s">
        <v>85</v>
      </c>
      <c r="K32" s="210" t="s">
        <v>167</v>
      </c>
      <c r="L32" s="227">
        <v>44278</v>
      </c>
      <c r="M32" s="228">
        <v>222727</v>
      </c>
      <c r="N32" s="210">
        <v>20</v>
      </c>
      <c r="O32" s="229">
        <f t="shared" si="4"/>
        <v>4454540</v>
      </c>
      <c r="P32" s="229">
        <v>432591</v>
      </c>
      <c r="Q32" s="229">
        <f t="shared" si="2"/>
        <v>8651820</v>
      </c>
    </row>
    <row r="33" spans="2:17">
      <c r="B33" s="200">
        <v>30</v>
      </c>
      <c r="C33" s="210" t="s">
        <v>168</v>
      </c>
      <c r="D33" s="210" t="s">
        <v>169</v>
      </c>
      <c r="E33" s="212" t="s">
        <v>9</v>
      </c>
      <c r="F33" s="213" t="s">
        <v>170</v>
      </c>
      <c r="G33" s="210"/>
      <c r="H33" s="210" t="s">
        <v>171</v>
      </c>
      <c r="I33" s="210"/>
      <c r="J33" s="213" t="s">
        <v>50</v>
      </c>
      <c r="K33" s="210" t="s">
        <v>172</v>
      </c>
      <c r="L33" s="227">
        <v>44278</v>
      </c>
      <c r="M33" s="228">
        <v>254545</v>
      </c>
      <c r="N33" s="210">
        <v>1</v>
      </c>
      <c r="O33" s="229">
        <f t="shared" si="4"/>
        <v>254545</v>
      </c>
      <c r="P33" s="229">
        <v>275000</v>
      </c>
      <c r="Q33" s="229">
        <f t="shared" si="2"/>
        <v>275000</v>
      </c>
    </row>
    <row r="34" spans="2:17">
      <c r="B34" s="200">
        <v>31</v>
      </c>
      <c r="C34" s="210" t="s">
        <v>173</v>
      </c>
      <c r="D34" s="210" t="s">
        <v>174</v>
      </c>
      <c r="E34" s="212" t="s">
        <v>9</v>
      </c>
      <c r="F34" s="213" t="s">
        <v>175</v>
      </c>
      <c r="G34" s="210"/>
      <c r="H34" s="210" t="s">
        <v>176</v>
      </c>
      <c r="I34" s="210"/>
      <c r="J34" s="213" t="s">
        <v>50</v>
      </c>
      <c r="K34" s="210" t="s">
        <v>177</v>
      </c>
      <c r="L34" s="227">
        <v>44279</v>
      </c>
      <c r="M34" s="228">
        <v>254545</v>
      </c>
      <c r="N34" s="210">
        <v>6</v>
      </c>
      <c r="O34" s="229">
        <f t="shared" si="4"/>
        <v>1527270</v>
      </c>
      <c r="P34" s="229">
        <v>275000</v>
      </c>
      <c r="Q34" s="229">
        <f t="shared" si="2"/>
        <v>1650000</v>
      </c>
    </row>
    <row r="35" spans="2:17">
      <c r="B35" s="200">
        <v>32</v>
      </c>
      <c r="C35" s="210" t="s">
        <v>178</v>
      </c>
      <c r="D35" s="211" t="s">
        <v>179</v>
      </c>
      <c r="E35" s="212" t="s">
        <v>5</v>
      </c>
      <c r="F35" s="213" t="s">
        <v>180</v>
      </c>
      <c r="G35" s="210"/>
      <c r="H35" s="210" t="s">
        <v>181</v>
      </c>
      <c r="I35" s="210"/>
      <c r="J35" s="213" t="s">
        <v>85</v>
      </c>
      <c r="K35" s="210" t="s">
        <v>182</v>
      </c>
      <c r="L35" s="227">
        <v>44279</v>
      </c>
      <c r="M35" s="228">
        <v>222727</v>
      </c>
      <c r="N35" s="210">
        <v>130</v>
      </c>
      <c r="O35" s="229">
        <f t="shared" si="4"/>
        <v>28954510</v>
      </c>
      <c r="P35" s="229">
        <v>279091</v>
      </c>
      <c r="Q35" s="229">
        <f t="shared" si="2"/>
        <v>36281830</v>
      </c>
    </row>
    <row r="36" spans="2:17">
      <c r="B36" s="200">
        <v>33</v>
      </c>
      <c r="C36" s="210" t="s">
        <v>183</v>
      </c>
      <c r="D36" s="211" t="s">
        <v>184</v>
      </c>
      <c r="E36" s="212" t="s">
        <v>6</v>
      </c>
      <c r="F36" s="213" t="s">
        <v>185</v>
      </c>
      <c r="G36" s="210"/>
      <c r="H36" s="210" t="s">
        <v>186</v>
      </c>
      <c r="I36" s="210"/>
      <c r="J36" s="213" t="s">
        <v>50</v>
      </c>
      <c r="K36" s="210" t="s">
        <v>187</v>
      </c>
      <c r="L36" s="227">
        <v>44285</v>
      </c>
      <c r="M36" s="228">
        <v>345455</v>
      </c>
      <c r="N36" s="210">
        <v>350</v>
      </c>
      <c r="O36" s="229">
        <f t="shared" si="4"/>
        <v>120909250</v>
      </c>
      <c r="P36" s="229">
        <v>388181.82</v>
      </c>
      <c r="Q36" s="229">
        <f t="shared" si="2"/>
        <v>135863637</v>
      </c>
    </row>
    <row r="37" spans="2:17">
      <c r="B37" s="200">
        <v>34</v>
      </c>
      <c r="C37" s="210" t="s">
        <v>188</v>
      </c>
      <c r="D37" s="210" t="s">
        <v>189</v>
      </c>
      <c r="E37" s="212" t="s">
        <v>9</v>
      </c>
      <c r="F37" s="213" t="s">
        <v>190</v>
      </c>
      <c r="G37" s="210"/>
      <c r="H37" s="210" t="s">
        <v>191</v>
      </c>
      <c r="I37" s="210"/>
      <c r="J37" s="213" t="s">
        <v>50</v>
      </c>
      <c r="K37" s="210" t="s">
        <v>192</v>
      </c>
      <c r="L37" s="227">
        <v>44281</v>
      </c>
      <c r="M37" s="228">
        <v>254545</v>
      </c>
      <c r="N37" s="210">
        <v>6</v>
      </c>
      <c r="O37" s="229">
        <f t="shared" si="4"/>
        <v>1527270</v>
      </c>
      <c r="P37" s="229">
        <v>275000</v>
      </c>
      <c r="Q37" s="229">
        <f t="shared" si="2"/>
        <v>1650000</v>
      </c>
    </row>
    <row r="38" spans="2:17">
      <c r="B38" s="200">
        <v>35</v>
      </c>
      <c r="C38" s="210" t="s">
        <v>193</v>
      </c>
      <c r="D38" s="210" t="s">
        <v>189</v>
      </c>
      <c r="E38" s="212" t="s">
        <v>9</v>
      </c>
      <c r="F38" s="213" t="s">
        <v>194</v>
      </c>
      <c r="G38" s="210"/>
      <c r="H38" s="210" t="s">
        <v>191</v>
      </c>
      <c r="I38" s="210"/>
      <c r="J38" s="213" t="s">
        <v>50</v>
      </c>
      <c r="K38" s="210" t="s">
        <v>195</v>
      </c>
      <c r="L38" s="227">
        <v>44281</v>
      </c>
      <c r="M38" s="228">
        <v>254545</v>
      </c>
      <c r="N38" s="210">
        <v>3</v>
      </c>
      <c r="O38" s="229">
        <f t="shared" si="4"/>
        <v>763635</v>
      </c>
      <c r="P38" s="229">
        <v>275000</v>
      </c>
      <c r="Q38" s="229">
        <f t="shared" si="2"/>
        <v>825000</v>
      </c>
    </row>
    <row r="39" spans="2:17">
      <c r="B39" s="200">
        <v>36</v>
      </c>
      <c r="C39" s="210" t="s">
        <v>196</v>
      </c>
      <c r="D39" s="210" t="s">
        <v>189</v>
      </c>
      <c r="E39" s="212" t="s">
        <v>9</v>
      </c>
      <c r="F39" s="213" t="s">
        <v>197</v>
      </c>
      <c r="G39" s="210"/>
      <c r="H39" s="210" t="s">
        <v>191</v>
      </c>
      <c r="I39" s="210"/>
      <c r="J39" s="213" t="s">
        <v>50</v>
      </c>
      <c r="K39" s="210" t="s">
        <v>198</v>
      </c>
      <c r="L39" s="227">
        <v>44281</v>
      </c>
      <c r="M39" s="228">
        <v>254545</v>
      </c>
      <c r="N39" s="210">
        <v>2</v>
      </c>
      <c r="O39" s="229">
        <f t="shared" si="4"/>
        <v>509090</v>
      </c>
      <c r="P39" s="229">
        <v>275000</v>
      </c>
      <c r="Q39" s="229">
        <f t="shared" si="2"/>
        <v>550000</v>
      </c>
    </row>
    <row r="40" spans="2:17">
      <c r="B40" s="200">
        <v>37</v>
      </c>
      <c r="C40" s="210" t="s">
        <v>199</v>
      </c>
      <c r="D40" s="210" t="s">
        <v>189</v>
      </c>
      <c r="E40" s="212" t="s">
        <v>9</v>
      </c>
      <c r="F40" s="213" t="s">
        <v>194</v>
      </c>
      <c r="G40" s="210"/>
      <c r="H40" s="210" t="s">
        <v>191</v>
      </c>
      <c r="I40" s="210"/>
      <c r="J40" s="213" t="s">
        <v>50</v>
      </c>
      <c r="K40" s="210" t="s">
        <v>200</v>
      </c>
      <c r="L40" s="227">
        <v>44281</v>
      </c>
      <c r="M40" s="228">
        <v>254545</v>
      </c>
      <c r="N40" s="210">
        <v>5</v>
      </c>
      <c r="O40" s="229">
        <f t="shared" si="4"/>
        <v>1272725</v>
      </c>
      <c r="P40" s="229">
        <v>275000</v>
      </c>
      <c r="Q40" s="229">
        <f t="shared" si="2"/>
        <v>1375000</v>
      </c>
    </row>
    <row r="41" spans="2:17">
      <c r="B41" s="200">
        <v>38</v>
      </c>
      <c r="C41" s="210" t="s">
        <v>201</v>
      </c>
      <c r="D41" s="211" t="s">
        <v>202</v>
      </c>
      <c r="E41" s="212" t="s">
        <v>9</v>
      </c>
      <c r="F41" s="213" t="s">
        <v>203</v>
      </c>
      <c r="G41" s="210"/>
      <c r="H41" s="210" t="s">
        <v>186</v>
      </c>
      <c r="I41" s="210"/>
      <c r="J41" s="213" t="s">
        <v>50</v>
      </c>
      <c r="K41" s="210" t="s">
        <v>204</v>
      </c>
      <c r="L41" s="227">
        <v>44285</v>
      </c>
      <c r="M41" s="228">
        <v>254545</v>
      </c>
      <c r="N41" s="210">
        <v>2</v>
      </c>
      <c r="O41" s="229">
        <f t="shared" si="4"/>
        <v>509090</v>
      </c>
      <c r="P41" s="229">
        <v>275000</v>
      </c>
      <c r="Q41" s="229">
        <f t="shared" si="2"/>
        <v>550000</v>
      </c>
    </row>
    <row r="42" spans="2:17">
      <c r="B42" s="200">
        <v>39</v>
      </c>
      <c r="C42" s="210" t="s">
        <v>205</v>
      </c>
      <c r="D42" s="211" t="s">
        <v>202</v>
      </c>
      <c r="E42" s="212" t="s">
        <v>9</v>
      </c>
      <c r="F42" s="213" t="s">
        <v>206</v>
      </c>
      <c r="G42" s="210"/>
      <c r="H42" s="210" t="s">
        <v>186</v>
      </c>
      <c r="I42" s="210"/>
      <c r="J42" s="213" t="s">
        <v>50</v>
      </c>
      <c r="K42" s="210" t="s">
        <v>207</v>
      </c>
      <c r="L42" s="227">
        <v>44285</v>
      </c>
      <c r="M42" s="228">
        <v>254545</v>
      </c>
      <c r="N42" s="210">
        <v>3</v>
      </c>
      <c r="O42" s="229">
        <f t="shared" si="4"/>
        <v>763635</v>
      </c>
      <c r="P42" s="229">
        <v>275000</v>
      </c>
      <c r="Q42" s="229">
        <f t="shared" si="2"/>
        <v>825000</v>
      </c>
    </row>
    <row r="43" spans="2:17">
      <c r="B43" s="200">
        <v>40</v>
      </c>
      <c r="C43" s="210" t="s">
        <v>208</v>
      </c>
      <c r="D43" s="211" t="s">
        <v>209</v>
      </c>
      <c r="E43" s="212" t="s">
        <v>9</v>
      </c>
      <c r="F43" s="213" t="s">
        <v>210</v>
      </c>
      <c r="G43" s="210"/>
      <c r="H43" s="210" t="s">
        <v>211</v>
      </c>
      <c r="I43" s="210"/>
      <c r="J43" s="213" t="s">
        <v>50</v>
      </c>
      <c r="K43" s="210" t="s">
        <v>212</v>
      </c>
      <c r="L43" s="227">
        <v>44286</v>
      </c>
      <c r="M43" s="228">
        <v>254545</v>
      </c>
      <c r="N43" s="210">
        <v>1</v>
      </c>
      <c r="O43" s="229">
        <f t="shared" si="4"/>
        <v>254545</v>
      </c>
      <c r="P43" s="229">
        <v>275000</v>
      </c>
      <c r="Q43" s="229">
        <f t="shared" si="2"/>
        <v>275000</v>
      </c>
    </row>
    <row r="44" spans="2:17">
      <c r="B44" s="200">
        <v>41</v>
      </c>
      <c r="C44" s="210" t="s">
        <v>213</v>
      </c>
      <c r="D44" s="211" t="s">
        <v>209</v>
      </c>
      <c r="E44" s="212" t="s">
        <v>9</v>
      </c>
      <c r="F44" s="213" t="s">
        <v>214</v>
      </c>
      <c r="G44" s="210"/>
      <c r="H44" s="210" t="s">
        <v>211</v>
      </c>
      <c r="I44" s="210"/>
      <c r="J44" s="213" t="s">
        <v>50</v>
      </c>
      <c r="K44" s="210" t="s">
        <v>215</v>
      </c>
      <c r="L44" s="227">
        <v>44286</v>
      </c>
      <c r="M44" s="228">
        <v>254545</v>
      </c>
      <c r="N44" s="210">
        <v>5</v>
      </c>
      <c r="O44" s="229">
        <f t="shared" si="4"/>
        <v>1272725</v>
      </c>
      <c r="P44" s="229">
        <v>275000</v>
      </c>
      <c r="Q44" s="229">
        <f t="shared" si="2"/>
        <v>1375000</v>
      </c>
    </row>
    <row r="45" spans="2:17">
      <c r="B45" s="200">
        <v>42</v>
      </c>
      <c r="C45" s="210" t="s">
        <v>216</v>
      </c>
      <c r="D45" s="211" t="s">
        <v>217</v>
      </c>
      <c r="E45" s="212" t="s">
        <v>14</v>
      </c>
      <c r="F45" s="213" t="s">
        <v>218</v>
      </c>
      <c r="G45" s="210"/>
      <c r="H45" s="210" t="s">
        <v>181</v>
      </c>
      <c r="I45" s="210"/>
      <c r="J45" s="213" t="s">
        <v>63</v>
      </c>
      <c r="K45" s="210" t="s">
        <v>219</v>
      </c>
      <c r="L45" s="227">
        <v>44285</v>
      </c>
      <c r="M45" s="228">
        <v>92727</v>
      </c>
      <c r="N45" s="210">
        <v>18</v>
      </c>
      <c r="O45" s="229">
        <f t="shared" si="4"/>
        <v>1669086</v>
      </c>
      <c r="P45" s="229">
        <v>106818.18</v>
      </c>
      <c r="Q45" s="229">
        <f t="shared" si="2"/>
        <v>1922727.2399999998</v>
      </c>
    </row>
    <row r="46" spans="2:17">
      <c r="B46" s="200">
        <v>43</v>
      </c>
      <c r="C46" s="214" t="s">
        <v>220</v>
      </c>
      <c r="D46" s="215" t="s">
        <v>221</v>
      </c>
      <c r="E46" s="216" t="s">
        <v>9</v>
      </c>
      <c r="F46" s="217" t="s">
        <v>222</v>
      </c>
      <c r="G46" s="214"/>
      <c r="H46" s="214" t="s">
        <v>223</v>
      </c>
      <c r="I46" s="214"/>
      <c r="J46" s="217" t="s">
        <v>50</v>
      </c>
      <c r="K46" s="214" t="s">
        <v>224</v>
      </c>
      <c r="L46" s="230">
        <v>44298</v>
      </c>
      <c r="M46" s="231">
        <v>254545</v>
      </c>
      <c r="N46" s="214">
        <v>7</v>
      </c>
      <c r="O46" s="232">
        <f t="shared" si="4"/>
        <v>1781815</v>
      </c>
      <c r="P46" s="232">
        <v>275000</v>
      </c>
      <c r="Q46" s="232">
        <f t="shared" si="2"/>
        <v>1925000</v>
      </c>
    </row>
    <row r="47" spans="2:17">
      <c r="B47" s="200">
        <v>44</v>
      </c>
      <c r="C47" s="214" t="s">
        <v>225</v>
      </c>
      <c r="D47" s="215" t="s">
        <v>221</v>
      </c>
      <c r="E47" s="216" t="s">
        <v>9</v>
      </c>
      <c r="F47" s="217" t="s">
        <v>226</v>
      </c>
      <c r="G47" s="214"/>
      <c r="H47" s="214" t="s">
        <v>223</v>
      </c>
      <c r="I47" s="214"/>
      <c r="J47" s="217" t="s">
        <v>50</v>
      </c>
      <c r="K47" s="214" t="s">
        <v>227</v>
      </c>
      <c r="L47" s="230">
        <v>44298</v>
      </c>
      <c r="M47" s="231">
        <v>254545</v>
      </c>
      <c r="N47" s="214">
        <v>5</v>
      </c>
      <c r="O47" s="232">
        <f t="shared" si="4"/>
        <v>1272725</v>
      </c>
      <c r="P47" s="232">
        <v>275000</v>
      </c>
      <c r="Q47" s="232">
        <f t="shared" si="2"/>
        <v>1375000</v>
      </c>
    </row>
    <row r="48" spans="2:17">
      <c r="B48" s="200">
        <v>45</v>
      </c>
      <c r="C48" s="214" t="s">
        <v>228</v>
      </c>
      <c r="D48" s="215" t="s">
        <v>221</v>
      </c>
      <c r="E48" s="216" t="s">
        <v>9</v>
      </c>
      <c r="F48" s="217" t="s">
        <v>229</v>
      </c>
      <c r="G48" s="214"/>
      <c r="H48" s="214" t="s">
        <v>223</v>
      </c>
      <c r="I48" s="214"/>
      <c r="J48" s="217" t="s">
        <v>50</v>
      </c>
      <c r="K48" s="214" t="s">
        <v>230</v>
      </c>
      <c r="L48" s="230">
        <v>44298</v>
      </c>
      <c r="M48" s="231">
        <v>254545</v>
      </c>
      <c r="N48" s="214">
        <v>3</v>
      </c>
      <c r="O48" s="232">
        <f t="shared" si="4"/>
        <v>763635</v>
      </c>
      <c r="P48" s="232">
        <v>275000</v>
      </c>
      <c r="Q48" s="232">
        <f t="shared" si="2"/>
        <v>825000</v>
      </c>
    </row>
    <row r="49" spans="2:17">
      <c r="B49" s="200">
        <v>46</v>
      </c>
      <c r="C49" s="214" t="s">
        <v>231</v>
      </c>
      <c r="D49" s="215" t="s">
        <v>221</v>
      </c>
      <c r="E49" s="216" t="s">
        <v>9</v>
      </c>
      <c r="F49" s="217" t="s">
        <v>232</v>
      </c>
      <c r="G49" s="214"/>
      <c r="H49" s="214" t="s">
        <v>223</v>
      </c>
      <c r="I49" s="214"/>
      <c r="J49" s="217" t="s">
        <v>50</v>
      </c>
      <c r="K49" s="214" t="s">
        <v>233</v>
      </c>
      <c r="L49" s="230">
        <v>44298</v>
      </c>
      <c r="M49" s="231">
        <v>254545</v>
      </c>
      <c r="N49" s="214">
        <v>6</v>
      </c>
      <c r="O49" s="232">
        <f t="shared" si="4"/>
        <v>1527270</v>
      </c>
      <c r="P49" s="232">
        <v>275000</v>
      </c>
      <c r="Q49" s="232">
        <f t="shared" si="2"/>
        <v>1650000</v>
      </c>
    </row>
    <row r="50" spans="2:17">
      <c r="B50" s="200">
        <v>47</v>
      </c>
      <c r="C50" s="214" t="s">
        <v>234</v>
      </c>
      <c r="D50" s="215" t="s">
        <v>221</v>
      </c>
      <c r="E50" s="216" t="s">
        <v>9</v>
      </c>
      <c r="F50" s="217" t="s">
        <v>235</v>
      </c>
      <c r="G50" s="214"/>
      <c r="H50" s="214" t="s">
        <v>223</v>
      </c>
      <c r="I50" s="214"/>
      <c r="J50" s="217" t="s">
        <v>50</v>
      </c>
      <c r="K50" s="214" t="s">
        <v>236</v>
      </c>
      <c r="L50" s="230">
        <v>44298</v>
      </c>
      <c r="M50" s="231">
        <v>254545</v>
      </c>
      <c r="N50" s="214">
        <v>6</v>
      </c>
      <c r="O50" s="232">
        <f t="shared" si="4"/>
        <v>1527270</v>
      </c>
      <c r="P50" s="232">
        <v>275000</v>
      </c>
      <c r="Q50" s="232">
        <f t="shared" si="2"/>
        <v>1650000</v>
      </c>
    </row>
    <row r="51" spans="2:17">
      <c r="B51" s="200">
        <v>48</v>
      </c>
      <c r="C51" s="214" t="s">
        <v>237</v>
      </c>
      <c r="D51" s="215" t="s">
        <v>221</v>
      </c>
      <c r="E51" s="216" t="s">
        <v>9</v>
      </c>
      <c r="F51" s="217" t="s">
        <v>238</v>
      </c>
      <c r="G51" s="214"/>
      <c r="H51" s="214" t="s">
        <v>223</v>
      </c>
      <c r="I51" s="214"/>
      <c r="J51" s="217" t="s">
        <v>50</v>
      </c>
      <c r="K51" s="214" t="s">
        <v>239</v>
      </c>
      <c r="L51" s="230">
        <v>44298</v>
      </c>
      <c r="M51" s="231">
        <v>254545</v>
      </c>
      <c r="N51" s="214">
        <v>5</v>
      </c>
      <c r="O51" s="232">
        <f t="shared" si="4"/>
        <v>1272725</v>
      </c>
      <c r="P51" s="232">
        <v>275000</v>
      </c>
      <c r="Q51" s="232">
        <f t="shared" si="2"/>
        <v>1375000</v>
      </c>
    </row>
    <row r="52" spans="2:17">
      <c r="B52" s="200">
        <v>49</v>
      </c>
      <c r="C52" s="214" t="s">
        <v>240</v>
      </c>
      <c r="D52" s="215" t="s">
        <v>221</v>
      </c>
      <c r="E52" s="216" t="s">
        <v>9</v>
      </c>
      <c r="F52" s="217" t="s">
        <v>241</v>
      </c>
      <c r="G52" s="214"/>
      <c r="H52" s="214" t="s">
        <v>223</v>
      </c>
      <c r="I52" s="214"/>
      <c r="J52" s="217" t="s">
        <v>50</v>
      </c>
      <c r="K52" s="214" t="s">
        <v>242</v>
      </c>
      <c r="L52" s="230">
        <v>44298</v>
      </c>
      <c r="M52" s="231">
        <v>254545</v>
      </c>
      <c r="N52" s="214">
        <v>7</v>
      </c>
      <c r="O52" s="232">
        <f t="shared" si="4"/>
        <v>1781815</v>
      </c>
      <c r="P52" s="232">
        <v>275000</v>
      </c>
      <c r="Q52" s="232">
        <f t="shared" si="2"/>
        <v>1925000</v>
      </c>
    </row>
    <row r="53" spans="2:17">
      <c r="B53" s="200">
        <v>50</v>
      </c>
      <c r="C53" s="214" t="s">
        <v>243</v>
      </c>
      <c r="D53" s="215" t="s">
        <v>244</v>
      </c>
      <c r="E53" s="216" t="s">
        <v>9</v>
      </c>
      <c r="F53" s="217" t="s">
        <v>245</v>
      </c>
      <c r="G53" s="214"/>
      <c r="H53" s="214" t="s">
        <v>246</v>
      </c>
      <c r="I53" s="214"/>
      <c r="J53" s="217" t="s">
        <v>50</v>
      </c>
      <c r="K53" s="214" t="s">
        <v>247</v>
      </c>
      <c r="L53" s="230">
        <v>44299</v>
      </c>
      <c r="M53" s="231">
        <v>254545</v>
      </c>
      <c r="N53" s="214">
        <v>8</v>
      </c>
      <c r="O53" s="232">
        <f t="shared" si="4"/>
        <v>2036360</v>
      </c>
      <c r="P53" s="232">
        <v>275000</v>
      </c>
      <c r="Q53" s="232">
        <f t="shared" si="2"/>
        <v>2200000</v>
      </c>
    </row>
    <row r="54" spans="2:17">
      <c r="B54" s="200">
        <v>51</v>
      </c>
      <c r="C54" s="214" t="s">
        <v>248</v>
      </c>
      <c r="D54" s="215" t="s">
        <v>244</v>
      </c>
      <c r="E54" s="216" t="s">
        <v>9</v>
      </c>
      <c r="F54" s="217" t="s">
        <v>249</v>
      </c>
      <c r="G54" s="214"/>
      <c r="H54" s="214" t="s">
        <v>246</v>
      </c>
      <c r="I54" s="214"/>
      <c r="J54" s="217" t="s">
        <v>50</v>
      </c>
      <c r="K54" s="214" t="s">
        <v>250</v>
      </c>
      <c r="L54" s="230">
        <v>44299</v>
      </c>
      <c r="M54" s="231">
        <v>254545</v>
      </c>
      <c r="N54" s="214">
        <v>7</v>
      </c>
      <c r="O54" s="232">
        <f t="shared" si="4"/>
        <v>1781815</v>
      </c>
      <c r="P54" s="232">
        <v>275000</v>
      </c>
      <c r="Q54" s="232">
        <f t="shared" si="2"/>
        <v>1925000</v>
      </c>
    </row>
    <row r="55" spans="2:17">
      <c r="B55" s="200">
        <v>52</v>
      </c>
      <c r="C55" s="214" t="s">
        <v>251</v>
      </c>
      <c r="D55" s="215" t="s">
        <v>244</v>
      </c>
      <c r="E55" s="216" t="s">
        <v>9</v>
      </c>
      <c r="F55" s="217" t="s">
        <v>252</v>
      </c>
      <c r="G55" s="214"/>
      <c r="H55" s="214" t="s">
        <v>246</v>
      </c>
      <c r="I55" s="214"/>
      <c r="J55" s="217" t="s">
        <v>50</v>
      </c>
      <c r="K55" s="214" t="s">
        <v>253</v>
      </c>
      <c r="L55" s="230">
        <v>44299</v>
      </c>
      <c r="M55" s="231">
        <v>254545</v>
      </c>
      <c r="N55" s="214">
        <v>7</v>
      </c>
      <c r="O55" s="232">
        <f t="shared" si="4"/>
        <v>1781815</v>
      </c>
      <c r="P55" s="232">
        <v>275000</v>
      </c>
      <c r="Q55" s="232">
        <f t="shared" si="2"/>
        <v>1925000</v>
      </c>
    </row>
    <row r="56" spans="2:17">
      <c r="B56" s="200">
        <v>53</v>
      </c>
      <c r="C56" s="214" t="s">
        <v>254</v>
      </c>
      <c r="D56" s="215" t="s">
        <v>244</v>
      </c>
      <c r="E56" s="216" t="s">
        <v>9</v>
      </c>
      <c r="F56" s="217" t="s">
        <v>255</v>
      </c>
      <c r="G56" s="214"/>
      <c r="H56" s="214" t="s">
        <v>246</v>
      </c>
      <c r="I56" s="214"/>
      <c r="J56" s="217" t="s">
        <v>50</v>
      </c>
      <c r="K56" s="214" t="s">
        <v>256</v>
      </c>
      <c r="L56" s="230">
        <v>44299</v>
      </c>
      <c r="M56" s="231">
        <v>254545</v>
      </c>
      <c r="N56" s="214">
        <v>3</v>
      </c>
      <c r="O56" s="232">
        <f t="shared" si="4"/>
        <v>763635</v>
      </c>
      <c r="P56" s="232">
        <v>275000</v>
      </c>
      <c r="Q56" s="232">
        <f t="shared" si="2"/>
        <v>825000</v>
      </c>
    </row>
    <row r="57" spans="2:17">
      <c r="B57" s="200">
        <v>54</v>
      </c>
      <c r="C57" s="214" t="s">
        <v>257</v>
      </c>
      <c r="D57" s="215" t="s">
        <v>244</v>
      </c>
      <c r="E57" s="216" t="s">
        <v>9</v>
      </c>
      <c r="F57" s="217" t="s">
        <v>126</v>
      </c>
      <c r="G57" s="214"/>
      <c r="H57" s="214" t="s">
        <v>246</v>
      </c>
      <c r="I57" s="214"/>
      <c r="J57" s="217" t="s">
        <v>50</v>
      </c>
      <c r="K57" s="214" t="s">
        <v>258</v>
      </c>
      <c r="L57" s="230">
        <v>44299</v>
      </c>
      <c r="M57" s="231">
        <v>254545</v>
      </c>
      <c r="N57" s="214">
        <v>1</v>
      </c>
      <c r="O57" s="232">
        <f t="shared" si="4"/>
        <v>254545</v>
      </c>
      <c r="P57" s="232">
        <v>275000</v>
      </c>
      <c r="Q57" s="232">
        <f t="shared" si="2"/>
        <v>275000</v>
      </c>
    </row>
    <row r="58" spans="2:17">
      <c r="B58" s="200">
        <v>55</v>
      </c>
      <c r="C58" s="214" t="s">
        <v>259</v>
      </c>
      <c r="D58" s="215" t="s">
        <v>260</v>
      </c>
      <c r="E58" s="216" t="s">
        <v>9</v>
      </c>
      <c r="F58" s="217" t="s">
        <v>261</v>
      </c>
      <c r="G58" s="214"/>
      <c r="H58" s="214" t="s">
        <v>262</v>
      </c>
      <c r="I58" s="214"/>
      <c r="J58" s="217" t="s">
        <v>50</v>
      </c>
      <c r="K58" s="214" t="s">
        <v>263</v>
      </c>
      <c r="L58" s="230">
        <v>44301</v>
      </c>
      <c r="M58" s="231">
        <v>254545</v>
      </c>
      <c r="N58" s="214">
        <v>4</v>
      </c>
      <c r="O58" s="232">
        <f t="shared" ref="O58:O124" si="5">N58*M58</f>
        <v>1018180</v>
      </c>
      <c r="P58" s="232">
        <v>275000</v>
      </c>
      <c r="Q58" s="232">
        <f t="shared" si="2"/>
        <v>1100000</v>
      </c>
    </row>
    <row r="59" spans="2:17">
      <c r="B59" s="200">
        <v>56</v>
      </c>
      <c r="C59" s="214" t="s">
        <v>264</v>
      </c>
      <c r="D59" s="215" t="s">
        <v>260</v>
      </c>
      <c r="E59" s="216" t="s">
        <v>9</v>
      </c>
      <c r="F59" s="217" t="s">
        <v>265</v>
      </c>
      <c r="G59" s="214"/>
      <c r="H59" s="214" t="s">
        <v>262</v>
      </c>
      <c r="I59" s="214"/>
      <c r="J59" s="217" t="s">
        <v>50</v>
      </c>
      <c r="K59" s="214" t="s">
        <v>266</v>
      </c>
      <c r="L59" s="230">
        <v>44301</v>
      </c>
      <c r="M59" s="231">
        <v>254545</v>
      </c>
      <c r="N59" s="214">
        <v>6</v>
      </c>
      <c r="O59" s="232">
        <f t="shared" si="5"/>
        <v>1527270</v>
      </c>
      <c r="P59" s="232">
        <v>275000</v>
      </c>
      <c r="Q59" s="232">
        <f t="shared" si="2"/>
        <v>1650000</v>
      </c>
    </row>
    <row r="60" spans="2:17">
      <c r="B60" s="200">
        <v>57</v>
      </c>
      <c r="C60" s="214" t="s">
        <v>267</v>
      </c>
      <c r="D60" s="215" t="s">
        <v>260</v>
      </c>
      <c r="E60" s="216" t="s">
        <v>9</v>
      </c>
      <c r="F60" s="217" t="s">
        <v>214</v>
      </c>
      <c r="G60" s="214"/>
      <c r="H60" s="214" t="s">
        <v>262</v>
      </c>
      <c r="I60" s="214"/>
      <c r="J60" s="217" t="s">
        <v>50</v>
      </c>
      <c r="K60" s="214" t="s">
        <v>268</v>
      </c>
      <c r="L60" s="230">
        <v>44301</v>
      </c>
      <c r="M60" s="231">
        <v>254545</v>
      </c>
      <c r="N60" s="214">
        <v>7</v>
      </c>
      <c r="O60" s="232">
        <f t="shared" si="5"/>
        <v>1781815</v>
      </c>
      <c r="P60" s="232">
        <v>275000</v>
      </c>
      <c r="Q60" s="232">
        <f t="shared" si="2"/>
        <v>1925000</v>
      </c>
    </row>
    <row r="61" spans="2:17">
      <c r="B61" s="200">
        <v>58</v>
      </c>
      <c r="C61" s="214" t="s">
        <v>269</v>
      </c>
      <c r="D61" s="215" t="s">
        <v>260</v>
      </c>
      <c r="E61" s="216" t="s">
        <v>9</v>
      </c>
      <c r="F61" s="217" t="s">
        <v>270</v>
      </c>
      <c r="G61" s="214"/>
      <c r="H61" s="214" t="s">
        <v>262</v>
      </c>
      <c r="I61" s="214"/>
      <c r="J61" s="217" t="s">
        <v>50</v>
      </c>
      <c r="K61" s="214" t="s">
        <v>271</v>
      </c>
      <c r="L61" s="230">
        <v>44301</v>
      </c>
      <c r="M61" s="231">
        <v>254545</v>
      </c>
      <c r="N61" s="214">
        <v>5</v>
      </c>
      <c r="O61" s="232">
        <f t="shared" si="5"/>
        <v>1272725</v>
      </c>
      <c r="P61" s="232">
        <v>275000</v>
      </c>
      <c r="Q61" s="232">
        <f t="shared" si="2"/>
        <v>1375000</v>
      </c>
    </row>
    <row r="62" spans="2:17">
      <c r="B62" s="200">
        <v>59</v>
      </c>
      <c r="C62" s="214" t="s">
        <v>272</v>
      </c>
      <c r="D62" s="215" t="s">
        <v>273</v>
      </c>
      <c r="E62" s="216" t="s">
        <v>9</v>
      </c>
      <c r="F62" s="217" t="s">
        <v>274</v>
      </c>
      <c r="G62" s="214"/>
      <c r="H62" s="214" t="s">
        <v>275</v>
      </c>
      <c r="I62" s="214"/>
      <c r="J62" s="217" t="s">
        <v>50</v>
      </c>
      <c r="K62" s="214" t="s">
        <v>276</v>
      </c>
      <c r="L62" s="230">
        <v>44302</v>
      </c>
      <c r="M62" s="231">
        <v>254545</v>
      </c>
      <c r="N62" s="214">
        <v>8</v>
      </c>
      <c r="O62" s="232">
        <f t="shared" si="5"/>
        <v>2036360</v>
      </c>
      <c r="P62" s="232">
        <v>275000</v>
      </c>
      <c r="Q62" s="232">
        <f t="shared" si="2"/>
        <v>2200000</v>
      </c>
    </row>
    <row r="63" spans="2:17">
      <c r="B63" s="200">
        <v>60</v>
      </c>
      <c r="C63" s="214" t="s">
        <v>277</v>
      </c>
      <c r="D63" s="215" t="s">
        <v>273</v>
      </c>
      <c r="E63" s="216" t="s">
        <v>9</v>
      </c>
      <c r="F63" s="217" t="s">
        <v>278</v>
      </c>
      <c r="G63" s="214"/>
      <c r="H63" s="214" t="s">
        <v>275</v>
      </c>
      <c r="I63" s="214"/>
      <c r="J63" s="217" t="s">
        <v>50</v>
      </c>
      <c r="K63" s="214" t="s">
        <v>279</v>
      </c>
      <c r="L63" s="230">
        <v>44302</v>
      </c>
      <c r="M63" s="231">
        <v>254545</v>
      </c>
      <c r="N63" s="214">
        <v>10</v>
      </c>
      <c r="O63" s="232">
        <f t="shared" si="5"/>
        <v>2545450</v>
      </c>
      <c r="P63" s="232">
        <v>275000</v>
      </c>
      <c r="Q63" s="232">
        <f t="shared" si="2"/>
        <v>2750000</v>
      </c>
    </row>
    <row r="64" spans="2:17">
      <c r="B64" s="200">
        <v>61</v>
      </c>
      <c r="C64" s="214" t="s">
        <v>280</v>
      </c>
      <c r="D64" s="215">
        <v>22100000727</v>
      </c>
      <c r="E64" s="216"/>
      <c r="F64" s="217" t="s">
        <v>281</v>
      </c>
      <c r="G64" s="214"/>
      <c r="H64" s="214" t="s">
        <v>282</v>
      </c>
      <c r="I64" s="214"/>
      <c r="J64" s="217" t="s">
        <v>63</v>
      </c>
      <c r="K64" s="214" t="s">
        <v>283</v>
      </c>
      <c r="L64" s="230">
        <v>44305</v>
      </c>
      <c r="M64" s="231">
        <v>92727</v>
      </c>
      <c r="N64" s="214">
        <v>70</v>
      </c>
      <c r="O64" s="232">
        <f t="shared" si="5"/>
        <v>6490890</v>
      </c>
      <c r="P64" s="232">
        <v>185100</v>
      </c>
      <c r="Q64" s="232">
        <f t="shared" si="2"/>
        <v>12957000</v>
      </c>
    </row>
    <row r="65" spans="2:17">
      <c r="B65" s="200">
        <v>62</v>
      </c>
      <c r="C65" s="214" t="s">
        <v>284</v>
      </c>
      <c r="D65" s="215" t="s">
        <v>285</v>
      </c>
      <c r="E65" s="216" t="s">
        <v>9</v>
      </c>
      <c r="F65" s="217" t="s">
        <v>286</v>
      </c>
      <c r="G65" s="214"/>
      <c r="H65" s="214" t="s">
        <v>287</v>
      </c>
      <c r="I65" s="214"/>
      <c r="J65" s="217" t="s">
        <v>50</v>
      </c>
      <c r="K65" s="214" t="s">
        <v>288</v>
      </c>
      <c r="L65" s="230">
        <v>44307</v>
      </c>
      <c r="M65" s="231">
        <v>254545</v>
      </c>
      <c r="N65" s="214">
        <v>6</v>
      </c>
      <c r="O65" s="232">
        <f t="shared" si="5"/>
        <v>1527270</v>
      </c>
      <c r="P65" s="232">
        <v>275000</v>
      </c>
      <c r="Q65" s="232">
        <f t="shared" si="2"/>
        <v>1650000</v>
      </c>
    </row>
    <row r="66" spans="2:17">
      <c r="B66" s="200">
        <v>63</v>
      </c>
      <c r="C66" s="214" t="s">
        <v>289</v>
      </c>
      <c r="D66" s="215" t="s">
        <v>285</v>
      </c>
      <c r="E66" s="216" t="s">
        <v>9</v>
      </c>
      <c r="F66" s="217" t="s">
        <v>290</v>
      </c>
      <c r="G66" s="214"/>
      <c r="H66" s="214" t="s">
        <v>287</v>
      </c>
      <c r="I66" s="214"/>
      <c r="J66" s="217" t="s">
        <v>50</v>
      </c>
      <c r="K66" s="214" t="s">
        <v>291</v>
      </c>
      <c r="L66" s="230">
        <v>44307</v>
      </c>
      <c r="M66" s="231">
        <v>254545</v>
      </c>
      <c r="N66" s="214">
        <v>4</v>
      </c>
      <c r="O66" s="232">
        <f t="shared" si="5"/>
        <v>1018180</v>
      </c>
      <c r="P66" s="232">
        <v>275000</v>
      </c>
      <c r="Q66" s="232">
        <f t="shared" si="2"/>
        <v>1100000</v>
      </c>
    </row>
    <row r="67" spans="2:17">
      <c r="B67" s="200">
        <v>64</v>
      </c>
      <c r="C67" s="214" t="s">
        <v>292</v>
      </c>
      <c r="D67" s="215" t="s">
        <v>285</v>
      </c>
      <c r="E67" s="216" t="s">
        <v>9</v>
      </c>
      <c r="F67" s="217" t="s">
        <v>293</v>
      </c>
      <c r="G67" s="214"/>
      <c r="H67" s="214" t="s">
        <v>287</v>
      </c>
      <c r="I67" s="214"/>
      <c r="J67" s="217" t="s">
        <v>50</v>
      </c>
      <c r="K67" s="214" t="s">
        <v>294</v>
      </c>
      <c r="L67" s="230">
        <v>44307</v>
      </c>
      <c r="M67" s="231">
        <v>254545</v>
      </c>
      <c r="N67" s="214">
        <v>3</v>
      </c>
      <c r="O67" s="232">
        <f t="shared" si="5"/>
        <v>763635</v>
      </c>
      <c r="P67" s="232">
        <v>275000</v>
      </c>
      <c r="Q67" s="232">
        <f t="shared" si="2"/>
        <v>825000</v>
      </c>
    </row>
    <row r="68" spans="2:17">
      <c r="B68" s="200">
        <v>65</v>
      </c>
      <c r="C68" s="214" t="s">
        <v>295</v>
      </c>
      <c r="D68" s="215" t="s">
        <v>285</v>
      </c>
      <c r="E68" s="216" t="s">
        <v>9</v>
      </c>
      <c r="F68" s="217" t="s">
        <v>296</v>
      </c>
      <c r="G68" s="214"/>
      <c r="H68" s="214" t="s">
        <v>287</v>
      </c>
      <c r="I68" s="214"/>
      <c r="J68" s="217" t="s">
        <v>50</v>
      </c>
      <c r="K68" s="214" t="s">
        <v>297</v>
      </c>
      <c r="L68" s="230">
        <v>44307</v>
      </c>
      <c r="M68" s="231">
        <v>254545</v>
      </c>
      <c r="N68" s="214">
        <v>5</v>
      </c>
      <c r="O68" s="232">
        <f t="shared" si="5"/>
        <v>1272725</v>
      </c>
      <c r="P68" s="232">
        <v>275000</v>
      </c>
      <c r="Q68" s="232">
        <f t="shared" si="2"/>
        <v>1375000</v>
      </c>
    </row>
    <row r="69" spans="2:17">
      <c r="B69" s="200">
        <v>66</v>
      </c>
      <c r="C69" s="214" t="s">
        <v>298</v>
      </c>
      <c r="D69" s="215" t="s">
        <v>285</v>
      </c>
      <c r="E69" s="216" t="s">
        <v>9</v>
      </c>
      <c r="F69" s="217" t="s">
        <v>299</v>
      </c>
      <c r="G69" s="214"/>
      <c r="H69" s="214" t="s">
        <v>287</v>
      </c>
      <c r="I69" s="214"/>
      <c r="J69" s="217" t="s">
        <v>50</v>
      </c>
      <c r="K69" s="214" t="s">
        <v>300</v>
      </c>
      <c r="L69" s="230">
        <v>44307</v>
      </c>
      <c r="M69" s="231">
        <v>254545</v>
      </c>
      <c r="N69" s="214">
        <v>3</v>
      </c>
      <c r="O69" s="232">
        <f t="shared" si="5"/>
        <v>763635</v>
      </c>
      <c r="P69" s="232">
        <v>275000</v>
      </c>
      <c r="Q69" s="232">
        <f t="shared" si="2"/>
        <v>825000</v>
      </c>
    </row>
    <row r="70" spans="2:17">
      <c r="B70" s="200">
        <v>67</v>
      </c>
      <c r="C70" s="214" t="s">
        <v>301</v>
      </c>
      <c r="D70" s="215">
        <v>78868</v>
      </c>
      <c r="E70" s="216" t="s">
        <v>17</v>
      </c>
      <c r="F70" s="217" t="s">
        <v>114</v>
      </c>
      <c r="G70" s="214"/>
      <c r="H70" s="214" t="s">
        <v>302</v>
      </c>
      <c r="I70" s="214"/>
      <c r="J70" s="217" t="s">
        <v>85</v>
      </c>
      <c r="K70" s="214" t="s">
        <v>303</v>
      </c>
      <c r="L70" s="230">
        <v>44307</v>
      </c>
      <c r="M70" s="231">
        <v>222727</v>
      </c>
      <c r="N70" s="214">
        <v>4</v>
      </c>
      <c r="O70" s="232">
        <f t="shared" si="5"/>
        <v>890908</v>
      </c>
      <c r="P70" s="232">
        <v>279090.90999999997</v>
      </c>
      <c r="Q70" s="232">
        <f t="shared" si="2"/>
        <v>1116363.6399999999</v>
      </c>
    </row>
    <row r="71" spans="2:17">
      <c r="B71" s="200">
        <v>68</v>
      </c>
      <c r="C71" s="214" t="s">
        <v>304</v>
      </c>
      <c r="D71" s="215">
        <v>78868</v>
      </c>
      <c r="E71" s="216" t="s">
        <v>17</v>
      </c>
      <c r="F71" s="217" t="s">
        <v>114</v>
      </c>
      <c r="G71" s="214"/>
      <c r="H71" s="214" t="s">
        <v>305</v>
      </c>
      <c r="I71" s="214"/>
      <c r="J71" s="217" t="s">
        <v>85</v>
      </c>
      <c r="K71" s="214" t="s">
        <v>306</v>
      </c>
      <c r="L71" s="230">
        <v>44307</v>
      </c>
      <c r="M71" s="231">
        <v>171818</v>
      </c>
      <c r="N71" s="214">
        <v>9</v>
      </c>
      <c r="O71" s="232">
        <f t="shared" si="5"/>
        <v>1546362</v>
      </c>
      <c r="P71" s="232">
        <v>279090.90999999997</v>
      </c>
      <c r="Q71" s="232">
        <f t="shared" si="2"/>
        <v>2511818.19</v>
      </c>
    </row>
    <row r="72" spans="2:17">
      <c r="B72" s="200">
        <v>69</v>
      </c>
      <c r="C72" s="214" t="s">
        <v>307</v>
      </c>
      <c r="D72" s="215">
        <v>78868</v>
      </c>
      <c r="E72" s="216" t="s">
        <v>17</v>
      </c>
      <c r="F72" s="217" t="s">
        <v>114</v>
      </c>
      <c r="G72" s="214"/>
      <c r="H72" s="214" t="s">
        <v>308</v>
      </c>
      <c r="I72" s="214"/>
      <c r="J72" s="217" t="s">
        <v>85</v>
      </c>
      <c r="K72" s="214" t="s">
        <v>309</v>
      </c>
      <c r="L72" s="230">
        <v>44307</v>
      </c>
      <c r="M72" s="231">
        <v>222727</v>
      </c>
      <c r="N72" s="214">
        <v>5</v>
      </c>
      <c r="O72" s="232">
        <f t="shared" si="5"/>
        <v>1113635</v>
      </c>
      <c r="P72" s="232">
        <v>279090.90999999997</v>
      </c>
      <c r="Q72" s="232">
        <f t="shared" si="2"/>
        <v>1395454.5499999998</v>
      </c>
    </row>
    <row r="73" spans="2:17">
      <c r="B73" s="200">
        <v>70</v>
      </c>
      <c r="C73" s="214" t="s">
        <v>310</v>
      </c>
      <c r="D73" s="215">
        <v>78868</v>
      </c>
      <c r="E73" s="216" t="s">
        <v>17</v>
      </c>
      <c r="F73" s="217" t="s">
        <v>114</v>
      </c>
      <c r="G73" s="214"/>
      <c r="H73" s="214" t="s">
        <v>302</v>
      </c>
      <c r="I73" s="214"/>
      <c r="J73" s="217" t="s">
        <v>92</v>
      </c>
      <c r="K73" s="214" t="s">
        <v>311</v>
      </c>
      <c r="L73" s="230">
        <v>44307</v>
      </c>
      <c r="M73" s="231">
        <v>46364</v>
      </c>
      <c r="N73" s="214">
        <v>4</v>
      </c>
      <c r="O73" s="232">
        <f t="shared" si="5"/>
        <v>185456</v>
      </c>
      <c r="P73" s="232">
        <v>58181.82</v>
      </c>
      <c r="Q73" s="232">
        <f t="shared" si="2"/>
        <v>232727.28</v>
      </c>
    </row>
    <row r="74" spans="2:17">
      <c r="B74" s="200">
        <v>71</v>
      </c>
      <c r="C74" s="214" t="s">
        <v>312</v>
      </c>
      <c r="D74" s="215">
        <v>78868</v>
      </c>
      <c r="E74" s="216" t="s">
        <v>17</v>
      </c>
      <c r="F74" s="217" t="s">
        <v>114</v>
      </c>
      <c r="G74" s="214"/>
      <c r="H74" s="214" t="s">
        <v>308</v>
      </c>
      <c r="I74" s="214"/>
      <c r="J74" s="217" t="s">
        <v>92</v>
      </c>
      <c r="K74" s="214" t="s">
        <v>313</v>
      </c>
      <c r="L74" s="230">
        <v>44307</v>
      </c>
      <c r="M74" s="231">
        <v>46364</v>
      </c>
      <c r="N74" s="214">
        <v>5</v>
      </c>
      <c r="O74" s="232">
        <f t="shared" si="5"/>
        <v>231820</v>
      </c>
      <c r="P74" s="232">
        <v>58181.82</v>
      </c>
      <c r="Q74" s="232">
        <f t="shared" si="2"/>
        <v>290909.09999999998</v>
      </c>
    </row>
    <row r="75" spans="2:17">
      <c r="B75" s="200">
        <v>72</v>
      </c>
      <c r="C75" s="214" t="s">
        <v>314</v>
      </c>
      <c r="D75" s="215" t="s">
        <v>315</v>
      </c>
      <c r="E75" s="216" t="s">
        <v>5</v>
      </c>
      <c r="F75" s="217" t="s">
        <v>131</v>
      </c>
      <c r="G75" s="214"/>
      <c r="H75" s="214" t="s">
        <v>316</v>
      </c>
      <c r="I75" s="214"/>
      <c r="J75" s="217" t="s">
        <v>50</v>
      </c>
      <c r="K75" s="214" t="s">
        <v>317</v>
      </c>
      <c r="L75" s="230">
        <v>44308</v>
      </c>
      <c r="M75" s="231">
        <v>444545</v>
      </c>
      <c r="N75" s="214">
        <v>157</v>
      </c>
      <c r="O75" s="232">
        <f t="shared" si="5"/>
        <v>69793565</v>
      </c>
      <c r="P75" s="232">
        <v>545455</v>
      </c>
      <c r="Q75" s="232">
        <f t="shared" si="2"/>
        <v>85636435</v>
      </c>
    </row>
    <row r="76" spans="2:17">
      <c r="B76" s="200">
        <v>73</v>
      </c>
      <c r="C76" s="214" t="s">
        <v>318</v>
      </c>
      <c r="D76" s="215" t="s">
        <v>319</v>
      </c>
      <c r="E76" s="216" t="s">
        <v>11</v>
      </c>
      <c r="F76" s="217" t="s">
        <v>320</v>
      </c>
      <c r="G76" s="214"/>
      <c r="H76" s="214" t="s">
        <v>321</v>
      </c>
      <c r="I76" s="214"/>
      <c r="J76" s="217" t="s">
        <v>85</v>
      </c>
      <c r="K76" s="214" t="s">
        <v>322</v>
      </c>
      <c r="L76" s="230">
        <v>44309</v>
      </c>
      <c r="M76" s="231">
        <v>222727</v>
      </c>
      <c r="N76" s="214">
        <v>25</v>
      </c>
      <c r="O76" s="232">
        <f t="shared" si="5"/>
        <v>5568175</v>
      </c>
      <c r="P76" s="232">
        <v>279090.90999999997</v>
      </c>
      <c r="Q76" s="232">
        <f t="shared" si="2"/>
        <v>6977272.7499999991</v>
      </c>
    </row>
    <row r="77" spans="2:17">
      <c r="B77" s="200">
        <v>74</v>
      </c>
      <c r="C77" s="214" t="s">
        <v>323</v>
      </c>
      <c r="D77" s="215" t="s">
        <v>324</v>
      </c>
      <c r="E77" s="216" t="s">
        <v>20</v>
      </c>
      <c r="F77" s="217" t="s">
        <v>325</v>
      </c>
      <c r="G77" s="214"/>
      <c r="H77" s="214" t="s">
        <v>326</v>
      </c>
      <c r="I77" s="214"/>
      <c r="J77" s="217" t="s">
        <v>63</v>
      </c>
      <c r="K77" s="214" t="s">
        <v>327</v>
      </c>
      <c r="L77" s="230">
        <v>44309</v>
      </c>
      <c r="M77" s="231">
        <v>92727</v>
      </c>
      <c r="N77" s="214">
        <v>250</v>
      </c>
      <c r="O77" s="232">
        <f t="shared" si="5"/>
        <v>23181750</v>
      </c>
      <c r="P77" s="232">
        <v>135273</v>
      </c>
      <c r="Q77" s="232">
        <f t="shared" si="2"/>
        <v>33818250</v>
      </c>
    </row>
    <row r="78" spans="2:17">
      <c r="B78" s="200">
        <v>75</v>
      </c>
      <c r="C78" s="233" t="s">
        <v>328</v>
      </c>
      <c r="D78" s="234" t="s">
        <v>329</v>
      </c>
      <c r="E78" s="235" t="s">
        <v>9</v>
      </c>
      <c r="F78" s="236" t="s">
        <v>330</v>
      </c>
      <c r="G78" s="233"/>
      <c r="H78" s="233" t="s">
        <v>331</v>
      </c>
      <c r="I78" s="233"/>
      <c r="J78" s="236" t="s">
        <v>50</v>
      </c>
      <c r="K78" s="233" t="s">
        <v>332</v>
      </c>
      <c r="L78" s="245">
        <v>44307</v>
      </c>
      <c r="M78" s="246">
        <v>254545</v>
      </c>
      <c r="N78" s="233">
        <v>1</v>
      </c>
      <c r="O78" s="247">
        <f t="shared" si="5"/>
        <v>254545</v>
      </c>
      <c r="P78" s="247">
        <v>275000</v>
      </c>
      <c r="Q78" s="247">
        <f t="shared" si="2"/>
        <v>275000</v>
      </c>
    </row>
    <row r="79" spans="2:17">
      <c r="B79" s="200">
        <v>76</v>
      </c>
      <c r="C79" s="233" t="s">
        <v>333</v>
      </c>
      <c r="D79" s="234" t="s">
        <v>329</v>
      </c>
      <c r="E79" s="235" t="s">
        <v>9</v>
      </c>
      <c r="F79" s="236" t="s">
        <v>334</v>
      </c>
      <c r="G79" s="233"/>
      <c r="H79" s="233" t="s">
        <v>331</v>
      </c>
      <c r="I79" s="233"/>
      <c r="J79" s="236" t="s">
        <v>50</v>
      </c>
      <c r="K79" s="233" t="s">
        <v>335</v>
      </c>
      <c r="L79" s="245">
        <v>44307</v>
      </c>
      <c r="M79" s="246">
        <v>254545</v>
      </c>
      <c r="N79" s="233">
        <v>4</v>
      </c>
      <c r="O79" s="247">
        <f t="shared" si="5"/>
        <v>1018180</v>
      </c>
      <c r="P79" s="247">
        <v>275000</v>
      </c>
      <c r="Q79" s="247">
        <f t="shared" si="2"/>
        <v>1100000</v>
      </c>
    </row>
    <row r="80" spans="2:17">
      <c r="B80" s="200">
        <v>77</v>
      </c>
      <c r="C80" s="233" t="s">
        <v>336</v>
      </c>
      <c r="D80" s="234" t="s">
        <v>329</v>
      </c>
      <c r="E80" s="235" t="s">
        <v>9</v>
      </c>
      <c r="F80" s="236" t="s">
        <v>337</v>
      </c>
      <c r="G80" s="233"/>
      <c r="H80" s="233" t="s">
        <v>331</v>
      </c>
      <c r="I80" s="233"/>
      <c r="J80" s="236" t="s">
        <v>50</v>
      </c>
      <c r="K80" s="233" t="s">
        <v>338</v>
      </c>
      <c r="L80" s="245">
        <v>44307</v>
      </c>
      <c r="M80" s="246">
        <v>254545</v>
      </c>
      <c r="N80" s="233">
        <v>6</v>
      </c>
      <c r="O80" s="247">
        <f t="shared" si="5"/>
        <v>1527270</v>
      </c>
      <c r="P80" s="247">
        <v>275000</v>
      </c>
      <c r="Q80" s="247">
        <f t="shared" ref="Q80:Q143" si="6">P80*N80</f>
        <v>1650000</v>
      </c>
    </row>
    <row r="81" spans="2:17">
      <c r="B81" s="200">
        <v>78</v>
      </c>
      <c r="C81" s="233" t="s">
        <v>339</v>
      </c>
      <c r="D81" s="234" t="s">
        <v>340</v>
      </c>
      <c r="E81" s="235" t="s">
        <v>11</v>
      </c>
      <c r="F81" s="236" t="s">
        <v>320</v>
      </c>
      <c r="G81" s="233"/>
      <c r="H81" s="233" t="s">
        <v>341</v>
      </c>
      <c r="I81" s="233"/>
      <c r="J81" s="236" t="s">
        <v>50</v>
      </c>
      <c r="K81" s="233" t="s">
        <v>342</v>
      </c>
      <c r="L81" s="245">
        <v>44335</v>
      </c>
      <c r="M81" s="246">
        <v>444545</v>
      </c>
      <c r="N81" s="233">
        <v>1</v>
      </c>
      <c r="O81" s="247">
        <f t="shared" si="5"/>
        <v>444545</v>
      </c>
      <c r="P81" s="247">
        <v>556363.63</v>
      </c>
      <c r="Q81" s="247">
        <f t="shared" si="6"/>
        <v>556363.63</v>
      </c>
    </row>
    <row r="82" spans="2:17">
      <c r="B82" s="200">
        <v>79</v>
      </c>
      <c r="C82" s="233" t="s">
        <v>343</v>
      </c>
      <c r="D82" s="234" t="s">
        <v>344</v>
      </c>
      <c r="E82" s="235" t="s">
        <v>82</v>
      </c>
      <c r="F82" s="236" t="s">
        <v>83</v>
      </c>
      <c r="G82" s="233"/>
      <c r="H82" s="233" t="s">
        <v>345</v>
      </c>
      <c r="I82" s="233"/>
      <c r="J82" s="236" t="s">
        <v>85</v>
      </c>
      <c r="K82" s="233" t="s">
        <v>346</v>
      </c>
      <c r="L82" s="245">
        <v>44335</v>
      </c>
      <c r="M82" s="246">
        <v>222727</v>
      </c>
      <c r="N82" s="233">
        <v>350</v>
      </c>
      <c r="O82" s="247">
        <f t="shared" si="5"/>
        <v>77954450</v>
      </c>
      <c r="P82" s="247">
        <v>279090.90999999997</v>
      </c>
      <c r="Q82" s="247">
        <f t="shared" si="6"/>
        <v>97681818.499999985</v>
      </c>
    </row>
    <row r="83" spans="2:17">
      <c r="B83" s="200">
        <v>80</v>
      </c>
      <c r="C83" s="233" t="s">
        <v>347</v>
      </c>
      <c r="D83" s="234" t="s">
        <v>348</v>
      </c>
      <c r="E83" s="235" t="s">
        <v>9</v>
      </c>
      <c r="F83" s="236" t="s">
        <v>349</v>
      </c>
      <c r="G83" s="233"/>
      <c r="H83" s="233" t="s">
        <v>350</v>
      </c>
      <c r="I83" s="233"/>
      <c r="J83" s="236" t="s">
        <v>50</v>
      </c>
      <c r="K83" s="233" t="s">
        <v>351</v>
      </c>
      <c r="L83" s="245">
        <v>44336</v>
      </c>
      <c r="M83" s="246">
        <v>254545</v>
      </c>
      <c r="N83" s="233">
        <v>2</v>
      </c>
      <c r="O83" s="247">
        <f t="shared" si="5"/>
        <v>509090</v>
      </c>
      <c r="P83" s="247">
        <v>275000</v>
      </c>
      <c r="Q83" s="247">
        <f t="shared" si="6"/>
        <v>550000</v>
      </c>
    </row>
    <row r="84" spans="2:17">
      <c r="B84" s="200">
        <v>81</v>
      </c>
      <c r="C84" s="237" t="s">
        <v>352</v>
      </c>
      <c r="D84" s="238" t="s">
        <v>353</v>
      </c>
      <c r="E84" s="239" t="s">
        <v>9</v>
      </c>
      <c r="F84" s="240" t="s">
        <v>354</v>
      </c>
      <c r="G84" s="237"/>
      <c r="H84" s="237" t="s">
        <v>355</v>
      </c>
      <c r="I84" s="237"/>
      <c r="J84" s="240" t="s">
        <v>50</v>
      </c>
      <c r="K84" s="237" t="s">
        <v>356</v>
      </c>
      <c r="L84" s="248">
        <v>44349</v>
      </c>
      <c r="M84" s="249">
        <v>254545</v>
      </c>
      <c r="N84" s="237">
        <v>1</v>
      </c>
      <c r="O84" s="250">
        <f t="shared" si="5"/>
        <v>254545</v>
      </c>
      <c r="P84" s="250">
        <v>275000</v>
      </c>
      <c r="Q84" s="250">
        <f t="shared" si="6"/>
        <v>275000</v>
      </c>
    </row>
    <row r="85" spans="2:17">
      <c r="B85" s="200">
        <v>82</v>
      </c>
      <c r="C85" s="237" t="s">
        <v>357</v>
      </c>
      <c r="D85" s="238" t="s">
        <v>353</v>
      </c>
      <c r="E85" s="239" t="s">
        <v>9</v>
      </c>
      <c r="F85" s="240" t="s">
        <v>358</v>
      </c>
      <c r="G85" s="237"/>
      <c r="H85" s="237" t="s">
        <v>355</v>
      </c>
      <c r="I85" s="237"/>
      <c r="J85" s="240" t="s">
        <v>50</v>
      </c>
      <c r="K85" s="237" t="s">
        <v>359</v>
      </c>
      <c r="L85" s="248">
        <v>44349</v>
      </c>
      <c r="M85" s="249">
        <v>254545</v>
      </c>
      <c r="N85" s="237">
        <v>7</v>
      </c>
      <c r="O85" s="250">
        <f t="shared" si="5"/>
        <v>1781815</v>
      </c>
      <c r="P85" s="250">
        <v>275000</v>
      </c>
      <c r="Q85" s="250">
        <f t="shared" si="6"/>
        <v>1925000</v>
      </c>
    </row>
    <row r="86" spans="2:17">
      <c r="B86" s="200">
        <v>83</v>
      </c>
      <c r="C86" s="237" t="s">
        <v>360</v>
      </c>
      <c r="D86" s="238" t="s">
        <v>353</v>
      </c>
      <c r="E86" s="239" t="s">
        <v>9</v>
      </c>
      <c r="F86" s="240" t="s">
        <v>361</v>
      </c>
      <c r="G86" s="237"/>
      <c r="H86" s="237" t="s">
        <v>355</v>
      </c>
      <c r="I86" s="237"/>
      <c r="J86" s="240" t="s">
        <v>50</v>
      </c>
      <c r="K86" s="237" t="s">
        <v>362</v>
      </c>
      <c r="L86" s="248">
        <v>44349</v>
      </c>
      <c r="M86" s="249">
        <v>254545</v>
      </c>
      <c r="N86" s="237">
        <v>1</v>
      </c>
      <c r="O86" s="250">
        <f t="shared" si="5"/>
        <v>254545</v>
      </c>
      <c r="P86" s="250">
        <v>275000</v>
      </c>
      <c r="Q86" s="250">
        <f t="shared" si="6"/>
        <v>275000</v>
      </c>
    </row>
    <row r="87" spans="2:17">
      <c r="B87" s="200">
        <v>84</v>
      </c>
      <c r="C87" s="237" t="s">
        <v>363</v>
      </c>
      <c r="D87" s="238" t="s">
        <v>353</v>
      </c>
      <c r="E87" s="239" t="s">
        <v>9</v>
      </c>
      <c r="F87" s="240" t="s">
        <v>364</v>
      </c>
      <c r="G87" s="237"/>
      <c r="H87" s="237" t="s">
        <v>355</v>
      </c>
      <c r="I87" s="237"/>
      <c r="J87" s="240" t="s">
        <v>50</v>
      </c>
      <c r="K87" s="237" t="s">
        <v>365</v>
      </c>
      <c r="L87" s="248">
        <v>44349</v>
      </c>
      <c r="M87" s="249">
        <v>254545</v>
      </c>
      <c r="N87" s="237">
        <v>6</v>
      </c>
      <c r="O87" s="250">
        <f t="shared" si="5"/>
        <v>1527270</v>
      </c>
      <c r="P87" s="250">
        <v>275000</v>
      </c>
      <c r="Q87" s="250">
        <f t="shared" si="6"/>
        <v>1650000</v>
      </c>
    </row>
    <row r="88" spans="2:17">
      <c r="B88" s="200">
        <v>85</v>
      </c>
      <c r="C88" s="237" t="s">
        <v>366</v>
      </c>
      <c r="D88" s="238" t="s">
        <v>367</v>
      </c>
      <c r="E88" s="239" t="s">
        <v>9</v>
      </c>
      <c r="F88" s="240" t="s">
        <v>368</v>
      </c>
      <c r="G88" s="237"/>
      <c r="H88" s="237" t="s">
        <v>369</v>
      </c>
      <c r="I88" s="237"/>
      <c r="J88" s="240" t="s">
        <v>50</v>
      </c>
      <c r="K88" s="237" t="s">
        <v>370</v>
      </c>
      <c r="L88" s="248">
        <v>44357</v>
      </c>
      <c r="M88" s="249">
        <v>254545</v>
      </c>
      <c r="N88" s="237">
        <v>2</v>
      </c>
      <c r="O88" s="250">
        <f t="shared" si="5"/>
        <v>509090</v>
      </c>
      <c r="P88" s="250">
        <v>275000</v>
      </c>
      <c r="Q88" s="250">
        <f t="shared" si="6"/>
        <v>550000</v>
      </c>
    </row>
    <row r="89" spans="2:17">
      <c r="B89" s="200">
        <v>86</v>
      </c>
      <c r="C89" s="237" t="s">
        <v>371</v>
      </c>
      <c r="D89" s="238" t="s">
        <v>367</v>
      </c>
      <c r="E89" s="239" t="s">
        <v>9</v>
      </c>
      <c r="F89" s="240" t="s">
        <v>372</v>
      </c>
      <c r="G89" s="237"/>
      <c r="H89" s="237" t="s">
        <v>369</v>
      </c>
      <c r="I89" s="237"/>
      <c r="J89" s="240" t="s">
        <v>50</v>
      </c>
      <c r="K89" s="237" t="s">
        <v>373</v>
      </c>
      <c r="L89" s="248">
        <v>44357</v>
      </c>
      <c r="M89" s="249">
        <v>254545</v>
      </c>
      <c r="N89" s="237">
        <v>1</v>
      </c>
      <c r="O89" s="250">
        <f t="shared" si="5"/>
        <v>254545</v>
      </c>
      <c r="P89" s="250">
        <v>275000</v>
      </c>
      <c r="Q89" s="250">
        <f t="shared" si="6"/>
        <v>275000</v>
      </c>
    </row>
    <row r="90" spans="2:17">
      <c r="B90" s="200">
        <v>87</v>
      </c>
      <c r="C90" s="237" t="s">
        <v>374</v>
      </c>
      <c r="D90" s="238" t="s">
        <v>375</v>
      </c>
      <c r="E90" s="239" t="s">
        <v>17</v>
      </c>
      <c r="F90" s="240" t="s">
        <v>114</v>
      </c>
      <c r="G90" s="237"/>
      <c r="H90" s="237" t="s">
        <v>376</v>
      </c>
      <c r="I90" s="237"/>
      <c r="J90" s="240" t="s">
        <v>85</v>
      </c>
      <c r="K90" s="237" t="s">
        <v>377</v>
      </c>
      <c r="L90" s="248">
        <v>44361</v>
      </c>
      <c r="M90" s="249">
        <v>222727</v>
      </c>
      <c r="N90" s="237">
        <v>1</v>
      </c>
      <c r="O90" s="250">
        <f t="shared" si="5"/>
        <v>222727</v>
      </c>
      <c r="P90" s="250">
        <v>279090.90999999997</v>
      </c>
      <c r="Q90" s="250">
        <f t="shared" si="6"/>
        <v>279090.90999999997</v>
      </c>
    </row>
    <row r="91" spans="2:17">
      <c r="B91" s="200">
        <v>88</v>
      </c>
      <c r="C91" s="237" t="s">
        <v>378</v>
      </c>
      <c r="D91" s="238" t="s">
        <v>375</v>
      </c>
      <c r="E91" s="239" t="s">
        <v>17</v>
      </c>
      <c r="F91" s="240" t="s">
        <v>114</v>
      </c>
      <c r="G91" s="237"/>
      <c r="H91" s="237" t="s">
        <v>379</v>
      </c>
      <c r="I91" s="237"/>
      <c r="J91" s="240" t="s">
        <v>85</v>
      </c>
      <c r="K91" s="237" t="s">
        <v>380</v>
      </c>
      <c r="L91" s="248">
        <v>44361</v>
      </c>
      <c r="M91" s="249">
        <v>222727</v>
      </c>
      <c r="N91" s="237">
        <v>11</v>
      </c>
      <c r="O91" s="250">
        <f t="shared" si="5"/>
        <v>2449997</v>
      </c>
      <c r="P91" s="250">
        <v>279090.90999999997</v>
      </c>
      <c r="Q91" s="250">
        <f t="shared" si="6"/>
        <v>3070000.01</v>
      </c>
    </row>
    <row r="92" spans="2:17">
      <c r="B92" s="200">
        <v>89</v>
      </c>
      <c r="C92" s="237" t="s">
        <v>381</v>
      </c>
      <c r="D92" s="238" t="s">
        <v>375</v>
      </c>
      <c r="E92" s="239" t="s">
        <v>17</v>
      </c>
      <c r="F92" s="240" t="s">
        <v>114</v>
      </c>
      <c r="G92" s="237"/>
      <c r="H92" s="237" t="s">
        <v>382</v>
      </c>
      <c r="I92" s="237"/>
      <c r="J92" s="240" t="s">
        <v>92</v>
      </c>
      <c r="K92" s="237" t="s">
        <v>383</v>
      </c>
      <c r="L92" s="248">
        <v>44361</v>
      </c>
      <c r="M92" s="249">
        <v>46364</v>
      </c>
      <c r="N92" s="237">
        <v>3</v>
      </c>
      <c r="O92" s="250">
        <f t="shared" si="5"/>
        <v>139092</v>
      </c>
      <c r="P92" s="250">
        <v>58181.82</v>
      </c>
      <c r="Q92" s="250">
        <f t="shared" si="6"/>
        <v>174545.46</v>
      </c>
    </row>
    <row r="93" spans="2:17">
      <c r="B93" s="200">
        <v>90</v>
      </c>
      <c r="C93" s="237" t="s">
        <v>384</v>
      </c>
      <c r="D93" s="238" t="s">
        <v>375</v>
      </c>
      <c r="E93" s="239" t="s">
        <v>17</v>
      </c>
      <c r="F93" s="240" t="s">
        <v>114</v>
      </c>
      <c r="G93" s="237"/>
      <c r="H93" s="237" t="s">
        <v>385</v>
      </c>
      <c r="I93" s="237"/>
      <c r="J93" s="240" t="s">
        <v>92</v>
      </c>
      <c r="K93" s="237" t="s">
        <v>386</v>
      </c>
      <c r="L93" s="248">
        <v>44361</v>
      </c>
      <c r="M93" s="249">
        <v>46364</v>
      </c>
      <c r="N93" s="237">
        <v>1</v>
      </c>
      <c r="O93" s="250">
        <f t="shared" si="5"/>
        <v>46364</v>
      </c>
      <c r="P93" s="250">
        <v>58181.82</v>
      </c>
      <c r="Q93" s="250">
        <f t="shared" si="6"/>
        <v>58181.82</v>
      </c>
    </row>
    <row r="94" spans="2:17">
      <c r="B94" s="200">
        <v>91</v>
      </c>
      <c r="C94" s="237" t="s">
        <v>387</v>
      </c>
      <c r="D94" s="238" t="s">
        <v>375</v>
      </c>
      <c r="E94" s="239" t="s">
        <v>17</v>
      </c>
      <c r="F94" s="240" t="s">
        <v>114</v>
      </c>
      <c r="G94" s="237"/>
      <c r="H94" s="237" t="s">
        <v>388</v>
      </c>
      <c r="I94" s="237"/>
      <c r="J94" s="240" t="s">
        <v>92</v>
      </c>
      <c r="K94" s="237" t="s">
        <v>389</v>
      </c>
      <c r="L94" s="248">
        <v>44361</v>
      </c>
      <c r="M94" s="249">
        <v>46364</v>
      </c>
      <c r="N94" s="237">
        <v>11</v>
      </c>
      <c r="O94" s="250">
        <f t="shared" si="5"/>
        <v>510004</v>
      </c>
      <c r="P94" s="250">
        <v>58181.82</v>
      </c>
      <c r="Q94" s="250">
        <f t="shared" si="6"/>
        <v>640000.02</v>
      </c>
    </row>
    <row r="95" spans="2:17">
      <c r="B95" s="200">
        <v>92</v>
      </c>
      <c r="C95" s="237" t="s">
        <v>390</v>
      </c>
      <c r="D95" s="238" t="s">
        <v>391</v>
      </c>
      <c r="E95" s="239" t="s">
        <v>9</v>
      </c>
      <c r="F95" s="240" t="s">
        <v>392</v>
      </c>
      <c r="G95" s="237"/>
      <c r="H95" s="237" t="s">
        <v>393</v>
      </c>
      <c r="I95" s="237"/>
      <c r="J95" s="240" t="s">
        <v>50</v>
      </c>
      <c r="K95" s="237" t="s">
        <v>394</v>
      </c>
      <c r="L95" s="248">
        <v>44363</v>
      </c>
      <c r="M95" s="249">
        <v>254545</v>
      </c>
      <c r="N95" s="237">
        <v>8</v>
      </c>
      <c r="O95" s="250">
        <f t="shared" si="5"/>
        <v>2036360</v>
      </c>
      <c r="P95" s="250">
        <v>275000</v>
      </c>
      <c r="Q95" s="250">
        <f t="shared" si="6"/>
        <v>2200000</v>
      </c>
    </row>
    <row r="96" spans="2:17">
      <c r="B96" s="200">
        <v>93</v>
      </c>
      <c r="C96" s="237" t="s">
        <v>395</v>
      </c>
      <c r="D96" s="238" t="s">
        <v>396</v>
      </c>
      <c r="E96" s="239"/>
      <c r="F96" s="240" t="s">
        <v>397</v>
      </c>
      <c r="G96" s="237"/>
      <c r="H96" s="237" t="s">
        <v>398</v>
      </c>
      <c r="I96" s="237"/>
      <c r="J96" s="240" t="s">
        <v>63</v>
      </c>
      <c r="K96" s="237" t="s">
        <v>399</v>
      </c>
      <c r="L96" s="248">
        <v>44363</v>
      </c>
      <c r="M96" s="249">
        <v>92727</v>
      </c>
      <c r="N96" s="237">
        <v>10</v>
      </c>
      <c r="O96" s="250">
        <f t="shared" si="5"/>
        <v>927270</v>
      </c>
      <c r="P96" s="250">
        <v>198400</v>
      </c>
      <c r="Q96" s="250">
        <f t="shared" si="6"/>
        <v>1984000</v>
      </c>
    </row>
    <row r="97" spans="2:17">
      <c r="B97" s="200">
        <v>94</v>
      </c>
      <c r="C97" s="237" t="s">
        <v>400</v>
      </c>
      <c r="D97" s="238" t="s">
        <v>401</v>
      </c>
      <c r="E97" s="239" t="s">
        <v>9</v>
      </c>
      <c r="F97" s="240" t="s">
        <v>402</v>
      </c>
      <c r="G97" s="237"/>
      <c r="H97" s="237" t="s">
        <v>403</v>
      </c>
      <c r="I97" s="237"/>
      <c r="J97" s="240" t="s">
        <v>50</v>
      </c>
      <c r="K97" s="237" t="s">
        <v>404</v>
      </c>
      <c r="L97" s="248">
        <v>44370</v>
      </c>
      <c r="M97" s="249">
        <v>254545</v>
      </c>
      <c r="N97" s="237">
        <v>3</v>
      </c>
      <c r="O97" s="250">
        <f t="shared" si="5"/>
        <v>763635</v>
      </c>
      <c r="P97" s="250">
        <v>275000</v>
      </c>
      <c r="Q97" s="250">
        <f t="shared" si="6"/>
        <v>825000</v>
      </c>
    </row>
    <row r="98" spans="2:17">
      <c r="B98" s="200">
        <v>95</v>
      </c>
      <c r="C98" s="237" t="s">
        <v>405</v>
      </c>
      <c r="D98" s="238" t="s">
        <v>401</v>
      </c>
      <c r="E98" s="239" t="s">
        <v>9</v>
      </c>
      <c r="F98" s="240" t="s">
        <v>406</v>
      </c>
      <c r="G98" s="237"/>
      <c r="H98" s="237" t="s">
        <v>403</v>
      </c>
      <c r="I98" s="237"/>
      <c r="J98" s="240" t="s">
        <v>50</v>
      </c>
      <c r="K98" s="237" t="s">
        <v>407</v>
      </c>
      <c r="L98" s="248">
        <v>44370</v>
      </c>
      <c r="M98" s="249">
        <v>254545</v>
      </c>
      <c r="N98" s="237">
        <v>1</v>
      </c>
      <c r="O98" s="250">
        <f t="shared" si="5"/>
        <v>254545</v>
      </c>
      <c r="P98" s="250">
        <v>275000</v>
      </c>
      <c r="Q98" s="250">
        <f t="shared" si="6"/>
        <v>275000</v>
      </c>
    </row>
    <row r="99" spans="2:17">
      <c r="B99" s="200">
        <v>96</v>
      </c>
      <c r="C99" s="237" t="s">
        <v>408</v>
      </c>
      <c r="D99" s="238" t="s">
        <v>401</v>
      </c>
      <c r="E99" s="239" t="s">
        <v>9</v>
      </c>
      <c r="F99" s="240" t="s">
        <v>409</v>
      </c>
      <c r="G99" s="237"/>
      <c r="H99" s="237" t="s">
        <v>403</v>
      </c>
      <c r="I99" s="237"/>
      <c r="J99" s="240" t="s">
        <v>50</v>
      </c>
      <c r="K99" s="237" t="s">
        <v>407</v>
      </c>
      <c r="L99" s="248">
        <v>44370</v>
      </c>
      <c r="M99" s="249">
        <v>254545</v>
      </c>
      <c r="N99" s="237">
        <v>1</v>
      </c>
      <c r="O99" s="250">
        <f t="shared" si="5"/>
        <v>254545</v>
      </c>
      <c r="P99" s="250">
        <v>275000</v>
      </c>
      <c r="Q99" s="250">
        <f t="shared" si="6"/>
        <v>275000</v>
      </c>
    </row>
    <row r="100" spans="2:17">
      <c r="B100" s="200">
        <v>97</v>
      </c>
      <c r="C100" s="237" t="s">
        <v>410</v>
      </c>
      <c r="D100" s="238" t="s">
        <v>401</v>
      </c>
      <c r="E100" s="239" t="s">
        <v>9</v>
      </c>
      <c r="F100" s="240" t="s">
        <v>411</v>
      </c>
      <c r="G100" s="237"/>
      <c r="H100" s="237" t="s">
        <v>403</v>
      </c>
      <c r="I100" s="237"/>
      <c r="J100" s="240" t="s">
        <v>50</v>
      </c>
      <c r="K100" s="237" t="s">
        <v>412</v>
      </c>
      <c r="L100" s="248">
        <v>44370</v>
      </c>
      <c r="M100" s="249">
        <v>254545</v>
      </c>
      <c r="N100" s="237">
        <v>2</v>
      </c>
      <c r="O100" s="250">
        <f t="shared" si="5"/>
        <v>509090</v>
      </c>
      <c r="P100" s="250">
        <v>275000</v>
      </c>
      <c r="Q100" s="250">
        <f t="shared" si="6"/>
        <v>550000</v>
      </c>
    </row>
    <row r="101" spans="2:17">
      <c r="B101" s="200">
        <v>98</v>
      </c>
      <c r="C101" s="237" t="s">
        <v>413</v>
      </c>
      <c r="D101" s="320" t="s">
        <v>414</v>
      </c>
      <c r="E101" s="239" t="s">
        <v>4</v>
      </c>
      <c r="F101" s="240" t="s">
        <v>415</v>
      </c>
      <c r="G101" s="237"/>
      <c r="H101" s="237" t="s">
        <v>416</v>
      </c>
      <c r="I101" s="237"/>
      <c r="J101" s="240" t="s">
        <v>85</v>
      </c>
      <c r="K101" s="237" t="s">
        <v>417</v>
      </c>
      <c r="L101" s="248">
        <v>44377</v>
      </c>
      <c r="M101" s="249">
        <v>222727</v>
      </c>
      <c r="N101" s="237">
        <v>96</v>
      </c>
      <c r="O101" s="250">
        <f t="shared" si="5"/>
        <v>21381792</v>
      </c>
      <c r="P101" s="250">
        <v>279090.90999999997</v>
      </c>
      <c r="Q101" s="250">
        <f t="shared" si="6"/>
        <v>26792727.359999999</v>
      </c>
    </row>
    <row r="102" spans="2:17">
      <c r="B102" s="200">
        <v>99</v>
      </c>
      <c r="C102" s="237" t="s">
        <v>418</v>
      </c>
      <c r="D102" s="238" t="s">
        <v>419</v>
      </c>
      <c r="E102" s="239"/>
      <c r="F102" s="240" t="s">
        <v>420</v>
      </c>
      <c r="G102" s="237"/>
      <c r="H102" s="237" t="s">
        <v>421</v>
      </c>
      <c r="I102" s="237"/>
      <c r="J102" s="240" t="s">
        <v>85</v>
      </c>
      <c r="K102" s="237" t="s">
        <v>422</v>
      </c>
      <c r="L102" s="248">
        <v>44377</v>
      </c>
      <c r="M102" s="249">
        <v>222727</v>
      </c>
      <c r="N102" s="237">
        <v>50</v>
      </c>
      <c r="O102" s="250">
        <f t="shared" si="5"/>
        <v>11136350</v>
      </c>
      <c r="P102" s="250">
        <v>170000</v>
      </c>
      <c r="Q102" s="250">
        <f t="shared" si="6"/>
        <v>8500000</v>
      </c>
    </row>
    <row r="103" spans="2:17">
      <c r="B103" s="200">
        <v>100</v>
      </c>
      <c r="C103" s="237" t="s">
        <v>423</v>
      </c>
      <c r="D103" s="238" t="s">
        <v>419</v>
      </c>
      <c r="E103" s="239"/>
      <c r="F103" s="240" t="s">
        <v>420</v>
      </c>
      <c r="G103" s="237"/>
      <c r="H103" s="237" t="s">
        <v>421</v>
      </c>
      <c r="I103" s="237"/>
      <c r="J103" s="240" t="s">
        <v>85</v>
      </c>
      <c r="K103" s="237" t="s">
        <v>424</v>
      </c>
      <c r="L103" s="248">
        <v>44377</v>
      </c>
      <c r="M103" s="249">
        <v>92727</v>
      </c>
      <c r="N103" s="237">
        <v>200</v>
      </c>
      <c r="O103" s="250">
        <f t="shared" si="5"/>
        <v>18545400</v>
      </c>
      <c r="P103" s="250">
        <v>319000</v>
      </c>
      <c r="Q103" s="250">
        <f t="shared" si="6"/>
        <v>63800000</v>
      </c>
    </row>
    <row r="104" spans="2:17">
      <c r="B104" s="200">
        <v>101</v>
      </c>
      <c r="C104" s="237" t="s">
        <v>425</v>
      </c>
      <c r="D104" s="238" t="s">
        <v>426</v>
      </c>
      <c r="E104" s="239"/>
      <c r="F104" s="240" t="s">
        <v>427</v>
      </c>
      <c r="G104" s="237"/>
      <c r="H104" s="237" t="s">
        <v>428</v>
      </c>
      <c r="I104" s="237"/>
      <c r="J104" s="240" t="s">
        <v>85</v>
      </c>
      <c r="K104" s="237" t="s">
        <v>429</v>
      </c>
      <c r="L104" s="248">
        <v>44375</v>
      </c>
      <c r="M104" s="249">
        <v>222727</v>
      </c>
      <c r="N104" s="237">
        <v>300</v>
      </c>
      <c r="O104" s="250">
        <f t="shared" si="5"/>
        <v>66818100</v>
      </c>
      <c r="P104" s="250">
        <v>324545</v>
      </c>
      <c r="Q104" s="250">
        <f t="shared" si="6"/>
        <v>97363500</v>
      </c>
    </row>
    <row r="105" spans="2:17">
      <c r="B105" s="200">
        <v>102</v>
      </c>
      <c r="C105" s="237" t="s">
        <v>430</v>
      </c>
      <c r="D105" s="238" t="s">
        <v>431</v>
      </c>
      <c r="E105" s="239" t="s">
        <v>9</v>
      </c>
      <c r="F105" s="240" t="s">
        <v>432</v>
      </c>
      <c r="G105" s="237"/>
      <c r="H105" s="237" t="s">
        <v>433</v>
      </c>
      <c r="I105" s="237"/>
      <c r="J105" s="240" t="s">
        <v>50</v>
      </c>
      <c r="K105" s="237" t="s">
        <v>434</v>
      </c>
      <c r="L105" s="248">
        <v>44376</v>
      </c>
      <c r="M105" s="249">
        <v>254545</v>
      </c>
      <c r="N105" s="237">
        <v>2</v>
      </c>
      <c r="O105" s="250">
        <f t="shared" si="5"/>
        <v>509090</v>
      </c>
      <c r="P105" s="250">
        <v>275000</v>
      </c>
      <c r="Q105" s="250">
        <f t="shared" si="6"/>
        <v>550000</v>
      </c>
    </row>
    <row r="106" spans="2:17">
      <c r="B106" s="200">
        <v>103</v>
      </c>
      <c r="C106" s="237" t="s">
        <v>435</v>
      </c>
      <c r="D106" s="238" t="s">
        <v>431</v>
      </c>
      <c r="E106" s="239" t="s">
        <v>9</v>
      </c>
      <c r="F106" s="240" t="s">
        <v>436</v>
      </c>
      <c r="G106" s="237"/>
      <c r="H106" s="237" t="s">
        <v>433</v>
      </c>
      <c r="I106" s="237"/>
      <c r="J106" s="240" t="s">
        <v>50</v>
      </c>
      <c r="K106" s="237" t="s">
        <v>437</v>
      </c>
      <c r="L106" s="248">
        <v>44376</v>
      </c>
      <c r="M106" s="249">
        <v>254545</v>
      </c>
      <c r="N106" s="237">
        <v>3</v>
      </c>
      <c r="O106" s="250">
        <f t="shared" si="5"/>
        <v>763635</v>
      </c>
      <c r="P106" s="250">
        <v>275000</v>
      </c>
      <c r="Q106" s="250">
        <f t="shared" si="6"/>
        <v>825000</v>
      </c>
    </row>
    <row r="107" spans="2:17">
      <c r="B107" s="200">
        <v>104</v>
      </c>
      <c r="C107" s="237" t="s">
        <v>438</v>
      </c>
      <c r="D107" s="238" t="s">
        <v>439</v>
      </c>
      <c r="E107" s="239" t="s">
        <v>9</v>
      </c>
      <c r="F107" s="240" t="s">
        <v>440</v>
      </c>
      <c r="G107" s="237"/>
      <c r="H107" s="237" t="s">
        <v>441</v>
      </c>
      <c r="I107" s="237"/>
      <c r="J107" s="240" t="s">
        <v>50</v>
      </c>
      <c r="K107" s="237" t="s">
        <v>442</v>
      </c>
      <c r="L107" s="248">
        <v>44377</v>
      </c>
      <c r="M107" s="249">
        <v>254545</v>
      </c>
      <c r="N107" s="237">
        <v>1</v>
      </c>
      <c r="O107" s="250">
        <f t="shared" si="5"/>
        <v>254545</v>
      </c>
      <c r="P107" s="250">
        <v>275000</v>
      </c>
      <c r="Q107" s="250">
        <f t="shared" si="6"/>
        <v>275000</v>
      </c>
    </row>
    <row r="108" spans="2:17">
      <c r="B108" s="200">
        <v>105</v>
      </c>
      <c r="C108" s="241" t="s">
        <v>443</v>
      </c>
      <c r="D108" s="242" t="s">
        <v>444</v>
      </c>
      <c r="E108" s="243" t="s">
        <v>9</v>
      </c>
      <c r="F108" s="244" t="s">
        <v>445</v>
      </c>
      <c r="G108" s="241"/>
      <c r="H108" s="241" t="s">
        <v>446</v>
      </c>
      <c r="I108" s="241"/>
      <c r="J108" s="244" t="s">
        <v>50</v>
      </c>
      <c r="K108" s="241" t="s">
        <v>447</v>
      </c>
      <c r="L108" s="251">
        <v>44407</v>
      </c>
      <c r="M108" s="252">
        <v>254545</v>
      </c>
      <c r="N108" s="241">
        <v>1</v>
      </c>
      <c r="O108" s="253">
        <f t="shared" si="5"/>
        <v>254545</v>
      </c>
      <c r="P108" s="253">
        <v>275000</v>
      </c>
      <c r="Q108" s="253">
        <f t="shared" si="6"/>
        <v>275000</v>
      </c>
    </row>
    <row r="109" spans="2:17">
      <c r="B109" s="200">
        <v>106</v>
      </c>
      <c r="C109" s="241" t="s">
        <v>448</v>
      </c>
      <c r="D109" s="242" t="s">
        <v>449</v>
      </c>
      <c r="E109" s="243" t="s">
        <v>9</v>
      </c>
      <c r="F109" s="244" t="s">
        <v>450</v>
      </c>
      <c r="G109" s="241"/>
      <c r="H109" s="241" t="s">
        <v>451</v>
      </c>
      <c r="I109" s="241"/>
      <c r="J109" s="244" t="s">
        <v>50</v>
      </c>
      <c r="K109" s="241" t="s">
        <v>452</v>
      </c>
      <c r="L109" s="251">
        <v>44385</v>
      </c>
      <c r="M109" s="252">
        <v>254545</v>
      </c>
      <c r="N109" s="241">
        <v>3</v>
      </c>
      <c r="O109" s="253">
        <f t="shared" si="5"/>
        <v>763635</v>
      </c>
      <c r="P109" s="253">
        <v>275000</v>
      </c>
      <c r="Q109" s="253">
        <f t="shared" si="6"/>
        <v>825000</v>
      </c>
    </row>
    <row r="110" spans="2:17">
      <c r="B110" s="200">
        <v>107</v>
      </c>
      <c r="C110" s="241" t="s">
        <v>453</v>
      </c>
      <c r="D110" s="242" t="s">
        <v>449</v>
      </c>
      <c r="E110" s="243" t="s">
        <v>9</v>
      </c>
      <c r="F110" s="244" t="s">
        <v>454</v>
      </c>
      <c r="G110" s="241"/>
      <c r="H110" s="241" t="s">
        <v>455</v>
      </c>
      <c r="I110" s="241"/>
      <c r="J110" s="244" t="s">
        <v>50</v>
      </c>
      <c r="K110" s="241" t="s">
        <v>456</v>
      </c>
      <c r="L110" s="251">
        <v>44385</v>
      </c>
      <c r="M110" s="252">
        <v>254545</v>
      </c>
      <c r="N110" s="241">
        <v>2</v>
      </c>
      <c r="O110" s="253">
        <f t="shared" si="5"/>
        <v>509090</v>
      </c>
      <c r="P110" s="253">
        <v>275000</v>
      </c>
      <c r="Q110" s="253">
        <f t="shared" si="6"/>
        <v>550000</v>
      </c>
    </row>
    <row r="111" spans="2:17">
      <c r="B111" s="200">
        <v>108</v>
      </c>
      <c r="C111" s="241" t="s">
        <v>457</v>
      </c>
      <c r="D111" s="242" t="s">
        <v>449</v>
      </c>
      <c r="E111" s="243" t="s">
        <v>9</v>
      </c>
      <c r="F111" s="244" t="s">
        <v>458</v>
      </c>
      <c r="G111" s="241"/>
      <c r="H111" s="241" t="s">
        <v>459</v>
      </c>
      <c r="I111" s="241"/>
      <c r="J111" s="244" t="s">
        <v>50</v>
      </c>
      <c r="K111" s="241" t="s">
        <v>460</v>
      </c>
      <c r="L111" s="251">
        <v>44385</v>
      </c>
      <c r="M111" s="252">
        <v>254545</v>
      </c>
      <c r="N111" s="241">
        <v>1</v>
      </c>
      <c r="O111" s="253">
        <f t="shared" si="5"/>
        <v>254545</v>
      </c>
      <c r="P111" s="253">
        <v>275000</v>
      </c>
      <c r="Q111" s="253">
        <f t="shared" si="6"/>
        <v>275000</v>
      </c>
    </row>
    <row r="112" spans="2:17">
      <c r="B112" s="200">
        <v>109</v>
      </c>
      <c r="C112" s="241" t="s">
        <v>461</v>
      </c>
      <c r="D112" s="242" t="s">
        <v>2</v>
      </c>
      <c r="E112" s="243" t="s">
        <v>15</v>
      </c>
      <c r="F112" s="244" t="s">
        <v>462</v>
      </c>
      <c r="G112" s="241"/>
      <c r="H112" s="241" t="s">
        <v>463</v>
      </c>
      <c r="I112" s="241"/>
      <c r="J112" s="244" t="s">
        <v>85</v>
      </c>
      <c r="K112" s="241" t="s">
        <v>464</v>
      </c>
      <c r="L112" s="251">
        <v>44390</v>
      </c>
      <c r="M112" s="252">
        <v>222727</v>
      </c>
      <c r="N112" s="241">
        <v>21</v>
      </c>
      <c r="O112" s="253">
        <f t="shared" si="5"/>
        <v>4677267</v>
      </c>
      <c r="P112" s="253">
        <v>279090.90999999997</v>
      </c>
      <c r="Q112" s="253">
        <f t="shared" si="6"/>
        <v>5860909.1099999994</v>
      </c>
    </row>
    <row r="113" spans="2:17">
      <c r="B113" s="200">
        <v>110</v>
      </c>
      <c r="C113" s="241" t="s">
        <v>465</v>
      </c>
      <c r="D113" s="242">
        <v>4800420059</v>
      </c>
      <c r="E113" s="243" t="s">
        <v>12</v>
      </c>
      <c r="F113" s="244" t="s">
        <v>466</v>
      </c>
      <c r="G113" s="241"/>
      <c r="H113" s="241" t="s">
        <v>467</v>
      </c>
      <c r="I113" s="241"/>
      <c r="J113" s="244" t="s">
        <v>85</v>
      </c>
      <c r="K113" s="241" t="s">
        <v>468</v>
      </c>
      <c r="L113" s="251">
        <v>44392</v>
      </c>
      <c r="M113" s="252">
        <v>222727</v>
      </c>
      <c r="N113" s="241">
        <v>83</v>
      </c>
      <c r="O113" s="253">
        <f t="shared" si="5"/>
        <v>18486341</v>
      </c>
      <c r="P113" s="253">
        <v>265136</v>
      </c>
      <c r="Q113" s="253">
        <f t="shared" si="6"/>
        <v>22006288</v>
      </c>
    </row>
    <row r="114" spans="2:17">
      <c r="B114" s="200">
        <v>111</v>
      </c>
      <c r="C114" s="241" t="s">
        <v>469</v>
      </c>
      <c r="D114" s="242" t="s">
        <v>470</v>
      </c>
      <c r="E114" s="243" t="s">
        <v>6</v>
      </c>
      <c r="F114" s="244" t="s">
        <v>185</v>
      </c>
      <c r="G114" s="241"/>
      <c r="H114" s="241" t="s">
        <v>471</v>
      </c>
      <c r="I114" s="241"/>
      <c r="J114" s="244" t="s">
        <v>50</v>
      </c>
      <c r="K114" s="241" t="s">
        <v>472</v>
      </c>
      <c r="L114" s="251">
        <v>44395</v>
      </c>
      <c r="M114" s="252">
        <v>345455</v>
      </c>
      <c r="N114" s="241">
        <v>258</v>
      </c>
      <c r="O114" s="253">
        <f t="shared" si="5"/>
        <v>89127390</v>
      </c>
      <c r="P114" s="253">
        <v>388181.82</v>
      </c>
      <c r="Q114" s="253">
        <f t="shared" si="6"/>
        <v>100150909.56</v>
      </c>
    </row>
    <row r="115" spans="2:17">
      <c r="B115" s="200">
        <v>112</v>
      </c>
      <c r="C115" s="241" t="s">
        <v>473</v>
      </c>
      <c r="D115" s="242" t="s">
        <v>474</v>
      </c>
      <c r="E115" s="243" t="s">
        <v>13</v>
      </c>
      <c r="F115" s="244" t="s">
        <v>475</v>
      </c>
      <c r="G115" s="241"/>
      <c r="H115" s="241" t="s">
        <v>376</v>
      </c>
      <c r="I115" s="241"/>
      <c r="J115" s="244" t="s">
        <v>63</v>
      </c>
      <c r="K115" s="241" t="s">
        <v>476</v>
      </c>
      <c r="L115" s="251">
        <v>44392</v>
      </c>
      <c r="M115" s="252">
        <v>92727</v>
      </c>
      <c r="N115" s="241">
        <v>150</v>
      </c>
      <c r="O115" s="253">
        <f t="shared" si="5"/>
        <v>13909050</v>
      </c>
      <c r="P115" s="253">
        <f>138000/1.1</f>
        <v>125454.54545454544</v>
      </c>
      <c r="Q115" s="253">
        <f t="shared" si="6"/>
        <v>18818181.818181816</v>
      </c>
    </row>
    <row r="116" spans="2:17">
      <c r="B116" s="200">
        <v>113</v>
      </c>
      <c r="C116" s="241" t="s">
        <v>477</v>
      </c>
      <c r="D116" s="242" t="s">
        <v>478</v>
      </c>
      <c r="E116" s="243" t="s">
        <v>9</v>
      </c>
      <c r="F116" s="244" t="s">
        <v>479</v>
      </c>
      <c r="G116" s="241"/>
      <c r="H116" s="241" t="s">
        <v>480</v>
      </c>
      <c r="I116" s="241"/>
      <c r="J116" s="244" t="s">
        <v>50</v>
      </c>
      <c r="K116" s="241" t="s">
        <v>481</v>
      </c>
      <c r="L116" s="251">
        <v>44398</v>
      </c>
      <c r="M116" s="252">
        <v>254545</v>
      </c>
      <c r="N116" s="241">
        <v>1</v>
      </c>
      <c r="O116" s="253">
        <f t="shared" si="5"/>
        <v>254545</v>
      </c>
      <c r="P116" s="253">
        <v>275000</v>
      </c>
      <c r="Q116" s="253">
        <f t="shared" si="6"/>
        <v>275000</v>
      </c>
    </row>
    <row r="117" spans="2:17">
      <c r="B117" s="200">
        <v>114</v>
      </c>
      <c r="C117" s="241" t="s">
        <v>482</v>
      </c>
      <c r="D117" s="242" t="s">
        <v>478</v>
      </c>
      <c r="E117" s="243" t="s">
        <v>9</v>
      </c>
      <c r="F117" s="244" t="s">
        <v>483</v>
      </c>
      <c r="G117" s="241"/>
      <c r="H117" s="241" t="s">
        <v>480</v>
      </c>
      <c r="I117" s="241"/>
      <c r="J117" s="244" t="s">
        <v>50</v>
      </c>
      <c r="K117" s="241" t="s">
        <v>484</v>
      </c>
      <c r="L117" s="251">
        <v>44398</v>
      </c>
      <c r="M117" s="252">
        <v>254545</v>
      </c>
      <c r="N117" s="241">
        <v>8</v>
      </c>
      <c r="O117" s="253">
        <f t="shared" si="5"/>
        <v>2036360</v>
      </c>
      <c r="P117" s="253">
        <v>275000</v>
      </c>
      <c r="Q117" s="253">
        <f t="shared" si="6"/>
        <v>2200000</v>
      </c>
    </row>
    <row r="118" spans="2:17">
      <c r="B118" s="200">
        <v>115</v>
      </c>
      <c r="C118" s="241" t="s">
        <v>485</v>
      </c>
      <c r="D118" s="242" t="s">
        <v>444</v>
      </c>
      <c r="E118" s="243" t="s">
        <v>9</v>
      </c>
      <c r="F118" s="244" t="s">
        <v>203</v>
      </c>
      <c r="G118" s="241"/>
      <c r="H118" s="241" t="s">
        <v>446</v>
      </c>
      <c r="I118" s="241"/>
      <c r="J118" s="244" t="s">
        <v>50</v>
      </c>
      <c r="K118" s="241" t="s">
        <v>486</v>
      </c>
      <c r="L118" s="251">
        <v>44407</v>
      </c>
      <c r="M118" s="252">
        <v>254545</v>
      </c>
      <c r="N118" s="241">
        <v>1</v>
      </c>
      <c r="O118" s="253">
        <f t="shared" si="5"/>
        <v>254545</v>
      </c>
      <c r="P118" s="253">
        <v>275000</v>
      </c>
      <c r="Q118" s="253">
        <f t="shared" si="6"/>
        <v>275000</v>
      </c>
    </row>
    <row r="119" spans="2:17">
      <c r="B119" s="200">
        <v>116</v>
      </c>
      <c r="C119" s="241" t="s">
        <v>487</v>
      </c>
      <c r="D119" s="242" t="s">
        <v>488</v>
      </c>
      <c r="E119" s="243" t="s">
        <v>9</v>
      </c>
      <c r="F119" s="244" t="s">
        <v>489</v>
      </c>
      <c r="G119" s="241"/>
      <c r="H119" s="241" t="s">
        <v>490</v>
      </c>
      <c r="I119" s="241"/>
      <c r="J119" s="244" t="s">
        <v>50</v>
      </c>
      <c r="K119" s="241" t="s">
        <v>491</v>
      </c>
      <c r="L119" s="251">
        <v>44404</v>
      </c>
      <c r="M119" s="252">
        <v>254545</v>
      </c>
      <c r="N119" s="241">
        <v>1</v>
      </c>
      <c r="O119" s="253">
        <f t="shared" si="5"/>
        <v>254545</v>
      </c>
      <c r="P119" s="253">
        <v>275000</v>
      </c>
      <c r="Q119" s="253">
        <f t="shared" si="6"/>
        <v>275000</v>
      </c>
    </row>
    <row r="120" spans="2:17">
      <c r="B120" s="200">
        <v>117</v>
      </c>
      <c r="C120" s="241" t="s">
        <v>492</v>
      </c>
      <c r="D120" s="242" t="s">
        <v>444</v>
      </c>
      <c r="E120" s="243" t="s">
        <v>9</v>
      </c>
      <c r="F120" s="244" t="s">
        <v>445</v>
      </c>
      <c r="G120" s="241"/>
      <c r="H120" s="241" t="s">
        <v>446</v>
      </c>
      <c r="I120" s="241"/>
      <c r="J120" s="244" t="s">
        <v>50</v>
      </c>
      <c r="K120" s="241" t="s">
        <v>493</v>
      </c>
      <c r="L120" s="251">
        <v>44407</v>
      </c>
      <c r="M120" s="252">
        <v>254545</v>
      </c>
      <c r="N120" s="241">
        <v>1</v>
      </c>
      <c r="O120" s="253">
        <f t="shared" si="5"/>
        <v>254545</v>
      </c>
      <c r="P120" s="253">
        <v>275000</v>
      </c>
      <c r="Q120" s="253">
        <f t="shared" si="6"/>
        <v>275000</v>
      </c>
    </row>
    <row r="121" spans="2:17">
      <c r="B121" s="200">
        <v>118</v>
      </c>
      <c r="C121" s="241" t="s">
        <v>494</v>
      </c>
      <c r="D121" s="242" t="s">
        <v>444</v>
      </c>
      <c r="E121" s="243" t="s">
        <v>9</v>
      </c>
      <c r="F121" s="244" t="s">
        <v>495</v>
      </c>
      <c r="G121" s="241"/>
      <c r="H121" s="241" t="s">
        <v>496</v>
      </c>
      <c r="I121" s="241"/>
      <c r="J121" s="244" t="s">
        <v>50</v>
      </c>
      <c r="K121" s="241" t="s">
        <v>497</v>
      </c>
      <c r="L121" s="251">
        <v>44407</v>
      </c>
      <c r="M121" s="252">
        <v>254545</v>
      </c>
      <c r="N121" s="241">
        <v>1</v>
      </c>
      <c r="O121" s="253">
        <f t="shared" si="5"/>
        <v>254545</v>
      </c>
      <c r="P121" s="253">
        <v>275000</v>
      </c>
      <c r="Q121" s="253">
        <f t="shared" si="6"/>
        <v>275000</v>
      </c>
    </row>
    <row r="122" spans="2:17">
      <c r="B122" s="200">
        <v>119</v>
      </c>
      <c r="C122" s="237" t="s">
        <v>498</v>
      </c>
      <c r="D122" s="238" t="s">
        <v>499</v>
      </c>
      <c r="E122" s="239" t="s">
        <v>11</v>
      </c>
      <c r="F122" s="240" t="s">
        <v>320</v>
      </c>
      <c r="G122" s="237"/>
      <c r="H122" s="237" t="s">
        <v>500</v>
      </c>
      <c r="I122" s="237"/>
      <c r="J122" s="240" t="s">
        <v>50</v>
      </c>
      <c r="K122" s="237" t="s">
        <v>501</v>
      </c>
      <c r="L122" s="248">
        <v>44410</v>
      </c>
      <c r="M122" s="249">
        <v>444545</v>
      </c>
      <c r="N122" s="237">
        <v>19</v>
      </c>
      <c r="O122" s="250">
        <f t="shared" si="5"/>
        <v>8446355</v>
      </c>
      <c r="P122" s="250">
        <v>556363.63</v>
      </c>
      <c r="Q122" s="250">
        <f t="shared" si="6"/>
        <v>10570908.970000001</v>
      </c>
    </row>
    <row r="123" spans="2:17">
      <c r="B123" s="200">
        <v>120</v>
      </c>
      <c r="C123" s="237" t="s">
        <v>502</v>
      </c>
      <c r="D123" s="238" t="s">
        <v>503</v>
      </c>
      <c r="E123" s="239" t="s">
        <v>9</v>
      </c>
      <c r="F123" s="240" t="s">
        <v>504</v>
      </c>
      <c r="G123" s="237"/>
      <c r="H123" s="237" t="s">
        <v>505</v>
      </c>
      <c r="I123" s="237"/>
      <c r="J123" s="240" t="s">
        <v>50</v>
      </c>
      <c r="K123" s="237" t="s">
        <v>506</v>
      </c>
      <c r="L123" s="248">
        <v>44410</v>
      </c>
      <c r="M123" s="249">
        <v>254545</v>
      </c>
      <c r="N123" s="237">
        <v>5</v>
      </c>
      <c r="O123" s="250">
        <f t="shared" si="5"/>
        <v>1272725</v>
      </c>
      <c r="P123" s="250">
        <v>275000</v>
      </c>
      <c r="Q123" s="250">
        <f t="shared" si="6"/>
        <v>1375000</v>
      </c>
    </row>
    <row r="124" spans="2:17">
      <c r="B124" s="200">
        <v>121</v>
      </c>
      <c r="C124" s="237" t="s">
        <v>507</v>
      </c>
      <c r="D124" s="238" t="s">
        <v>508</v>
      </c>
      <c r="E124" s="239" t="s">
        <v>6</v>
      </c>
      <c r="F124" s="240" t="s">
        <v>509</v>
      </c>
      <c r="G124" s="237"/>
      <c r="H124" s="237" t="s">
        <v>510</v>
      </c>
      <c r="I124" s="237"/>
      <c r="J124" s="240" t="s">
        <v>50</v>
      </c>
      <c r="K124" s="237" t="s">
        <v>511</v>
      </c>
      <c r="L124" s="248">
        <v>44414</v>
      </c>
      <c r="M124" s="249">
        <v>444545</v>
      </c>
      <c r="N124" s="237">
        <v>73</v>
      </c>
      <c r="O124" s="250">
        <f t="shared" si="5"/>
        <v>32451785</v>
      </c>
      <c r="P124" s="250">
        <v>530000</v>
      </c>
      <c r="Q124" s="250">
        <f t="shared" si="6"/>
        <v>38690000</v>
      </c>
    </row>
    <row r="125" spans="2:17">
      <c r="B125" s="200">
        <v>122</v>
      </c>
      <c r="C125" s="237" t="s">
        <v>512</v>
      </c>
      <c r="D125" s="238" t="s">
        <v>513</v>
      </c>
      <c r="E125" s="239" t="s">
        <v>9</v>
      </c>
      <c r="F125" s="240" t="s">
        <v>514</v>
      </c>
      <c r="G125" s="237"/>
      <c r="H125" s="237" t="s">
        <v>515</v>
      </c>
      <c r="I125" s="237"/>
      <c r="J125" s="240" t="s">
        <v>50</v>
      </c>
      <c r="K125" s="237" t="s">
        <v>516</v>
      </c>
      <c r="L125" s="248">
        <v>44417</v>
      </c>
      <c r="M125" s="249">
        <v>254545</v>
      </c>
      <c r="N125" s="237">
        <v>2</v>
      </c>
      <c r="O125" s="250">
        <f t="shared" ref="O125:O188" si="7">N125*M125</f>
        <v>509090</v>
      </c>
      <c r="P125" s="250">
        <v>275000</v>
      </c>
      <c r="Q125" s="250">
        <f t="shared" si="6"/>
        <v>550000</v>
      </c>
    </row>
    <row r="126" spans="2:17">
      <c r="B126" s="200">
        <v>123</v>
      </c>
      <c r="C126" s="237" t="s">
        <v>517</v>
      </c>
      <c r="D126" s="238" t="s">
        <v>513</v>
      </c>
      <c r="E126" s="239" t="s">
        <v>9</v>
      </c>
      <c r="F126" s="240" t="s">
        <v>518</v>
      </c>
      <c r="G126" s="237"/>
      <c r="H126" s="237" t="s">
        <v>515</v>
      </c>
      <c r="I126" s="237"/>
      <c r="J126" s="240" t="s">
        <v>50</v>
      </c>
      <c r="K126" s="237" t="s">
        <v>519</v>
      </c>
      <c r="L126" s="248">
        <v>44417</v>
      </c>
      <c r="M126" s="249">
        <v>254545</v>
      </c>
      <c r="N126" s="237">
        <v>3</v>
      </c>
      <c r="O126" s="250">
        <f t="shared" si="7"/>
        <v>763635</v>
      </c>
      <c r="P126" s="250">
        <v>275000</v>
      </c>
      <c r="Q126" s="250">
        <f t="shared" si="6"/>
        <v>825000</v>
      </c>
    </row>
    <row r="127" spans="2:17">
      <c r="B127" s="200">
        <v>124</v>
      </c>
      <c r="C127" s="237" t="s">
        <v>520</v>
      </c>
      <c r="D127" s="238" t="s">
        <v>521</v>
      </c>
      <c r="E127" s="239" t="s">
        <v>9</v>
      </c>
      <c r="F127" s="240" t="s">
        <v>522</v>
      </c>
      <c r="G127" s="237"/>
      <c r="H127" s="237" t="s">
        <v>446</v>
      </c>
      <c r="I127" s="237"/>
      <c r="J127" s="240" t="s">
        <v>50</v>
      </c>
      <c r="K127" s="237" t="s">
        <v>523</v>
      </c>
      <c r="L127" s="248">
        <v>44417</v>
      </c>
      <c r="M127" s="249">
        <v>254545</v>
      </c>
      <c r="N127" s="237">
        <v>1</v>
      </c>
      <c r="O127" s="250">
        <f t="shared" si="7"/>
        <v>254545</v>
      </c>
      <c r="P127" s="250">
        <v>275000</v>
      </c>
      <c r="Q127" s="250">
        <f t="shared" si="6"/>
        <v>275000</v>
      </c>
    </row>
    <row r="128" spans="2:17">
      <c r="B128" s="200">
        <v>125</v>
      </c>
      <c r="C128" s="237" t="s">
        <v>524</v>
      </c>
      <c r="D128" s="238" t="s">
        <v>525</v>
      </c>
      <c r="E128" s="239" t="s">
        <v>9</v>
      </c>
      <c r="F128" s="240" t="s">
        <v>368</v>
      </c>
      <c r="G128" s="237"/>
      <c r="H128" s="237" t="s">
        <v>526</v>
      </c>
      <c r="I128" s="237"/>
      <c r="J128" s="240" t="s">
        <v>50</v>
      </c>
      <c r="K128" s="237" t="s">
        <v>527</v>
      </c>
      <c r="L128" s="248">
        <v>44418</v>
      </c>
      <c r="M128" s="249">
        <v>254545</v>
      </c>
      <c r="N128" s="237">
        <v>5</v>
      </c>
      <c r="O128" s="250">
        <f t="shared" si="7"/>
        <v>1272725</v>
      </c>
      <c r="P128" s="250">
        <v>275000</v>
      </c>
      <c r="Q128" s="250">
        <f t="shared" si="6"/>
        <v>1375000</v>
      </c>
    </row>
    <row r="129" spans="2:17">
      <c r="B129" s="200">
        <v>126</v>
      </c>
      <c r="C129" s="237" t="s">
        <v>528</v>
      </c>
      <c r="D129" s="238" t="s">
        <v>525</v>
      </c>
      <c r="E129" s="239" t="s">
        <v>9</v>
      </c>
      <c r="F129" s="240" t="s">
        <v>368</v>
      </c>
      <c r="G129" s="237"/>
      <c r="H129" s="237" t="s">
        <v>510</v>
      </c>
      <c r="I129" s="237"/>
      <c r="J129" s="240" t="s">
        <v>50</v>
      </c>
      <c r="K129" s="237" t="s">
        <v>529</v>
      </c>
      <c r="L129" s="248">
        <v>44418</v>
      </c>
      <c r="M129" s="249">
        <v>254545</v>
      </c>
      <c r="N129" s="237">
        <v>2</v>
      </c>
      <c r="O129" s="250">
        <f t="shared" si="7"/>
        <v>509090</v>
      </c>
      <c r="P129" s="250">
        <v>275000</v>
      </c>
      <c r="Q129" s="250">
        <f t="shared" si="6"/>
        <v>550000</v>
      </c>
    </row>
    <row r="130" spans="2:17">
      <c r="B130" s="200">
        <v>127</v>
      </c>
      <c r="C130" s="237" t="s">
        <v>530</v>
      </c>
      <c r="D130" s="238" t="s">
        <v>531</v>
      </c>
      <c r="E130" s="239" t="s">
        <v>15</v>
      </c>
      <c r="F130" s="240" t="s">
        <v>462</v>
      </c>
      <c r="G130" s="237"/>
      <c r="H130" s="237" t="s">
        <v>532</v>
      </c>
      <c r="I130" s="237"/>
      <c r="J130" s="240" t="s">
        <v>533</v>
      </c>
      <c r="K130" s="237" t="s">
        <v>534</v>
      </c>
      <c r="L130" s="248">
        <v>44431</v>
      </c>
      <c r="M130" s="249">
        <v>222727</v>
      </c>
      <c r="N130" s="237">
        <v>69</v>
      </c>
      <c r="O130" s="250">
        <f t="shared" si="7"/>
        <v>15368163</v>
      </c>
      <c r="P130" s="250">
        <v>250000</v>
      </c>
      <c r="Q130" s="250">
        <f t="shared" si="6"/>
        <v>17250000</v>
      </c>
    </row>
    <row r="131" spans="2:17">
      <c r="B131" s="200">
        <v>128</v>
      </c>
      <c r="C131" s="237" t="s">
        <v>535</v>
      </c>
      <c r="D131" s="238" t="s">
        <v>536</v>
      </c>
      <c r="E131" s="239" t="s">
        <v>9</v>
      </c>
      <c r="F131" s="240" t="s">
        <v>537</v>
      </c>
      <c r="G131" s="237"/>
      <c r="H131" s="237" t="s">
        <v>538</v>
      </c>
      <c r="I131" s="237"/>
      <c r="J131" s="240" t="s">
        <v>50</v>
      </c>
      <c r="K131" s="237" t="s">
        <v>539</v>
      </c>
      <c r="L131" s="248">
        <v>44438</v>
      </c>
      <c r="M131" s="249">
        <v>254545</v>
      </c>
      <c r="N131" s="237">
        <v>6</v>
      </c>
      <c r="O131" s="250">
        <f t="shared" si="7"/>
        <v>1527270</v>
      </c>
      <c r="P131" s="250">
        <v>275000</v>
      </c>
      <c r="Q131" s="250">
        <f t="shared" si="6"/>
        <v>1650000</v>
      </c>
    </row>
    <row r="132" spans="2:17">
      <c r="B132" s="200">
        <v>129</v>
      </c>
      <c r="C132" s="237" t="s">
        <v>540</v>
      </c>
      <c r="D132" s="238" t="s">
        <v>536</v>
      </c>
      <c r="E132" s="239" t="s">
        <v>9</v>
      </c>
      <c r="F132" s="240" t="s">
        <v>537</v>
      </c>
      <c r="G132" s="237"/>
      <c r="H132" s="237" t="s">
        <v>538</v>
      </c>
      <c r="I132" s="237"/>
      <c r="J132" s="240" t="s">
        <v>50</v>
      </c>
      <c r="K132" s="237" t="s">
        <v>541</v>
      </c>
      <c r="L132" s="248">
        <v>44438</v>
      </c>
      <c r="M132" s="249">
        <v>254545</v>
      </c>
      <c r="N132" s="237">
        <v>4</v>
      </c>
      <c r="O132" s="250">
        <f t="shared" si="7"/>
        <v>1018180</v>
      </c>
      <c r="P132" s="250">
        <v>275000</v>
      </c>
      <c r="Q132" s="250">
        <f t="shared" si="6"/>
        <v>1100000</v>
      </c>
    </row>
    <row r="133" spans="2:17">
      <c r="B133" s="200">
        <v>130</v>
      </c>
      <c r="C133" s="241" t="s">
        <v>542</v>
      </c>
      <c r="D133" s="242" t="s">
        <v>543</v>
      </c>
      <c r="E133" s="243" t="s">
        <v>9</v>
      </c>
      <c r="F133" s="244" t="s">
        <v>544</v>
      </c>
      <c r="G133" s="241"/>
      <c r="H133" s="241" t="s">
        <v>545</v>
      </c>
      <c r="I133" s="241"/>
      <c r="J133" s="244" t="s">
        <v>50</v>
      </c>
      <c r="K133" s="241" t="s">
        <v>546</v>
      </c>
      <c r="L133" s="251">
        <v>44469</v>
      </c>
      <c r="M133" s="252">
        <v>254545</v>
      </c>
      <c r="N133" s="241">
        <v>8</v>
      </c>
      <c r="O133" s="253">
        <f t="shared" si="7"/>
        <v>2036360</v>
      </c>
      <c r="P133" s="253">
        <v>275000</v>
      </c>
      <c r="Q133" s="253">
        <f t="shared" si="6"/>
        <v>2200000</v>
      </c>
    </row>
    <row r="134" spans="2:17">
      <c r="B134" s="200">
        <v>131</v>
      </c>
      <c r="C134" s="241" t="s">
        <v>547</v>
      </c>
      <c r="D134" s="242" t="s">
        <v>548</v>
      </c>
      <c r="E134" s="243" t="s">
        <v>9</v>
      </c>
      <c r="F134" s="244" t="s">
        <v>549</v>
      </c>
      <c r="G134" s="241"/>
      <c r="H134" s="241" t="s">
        <v>550</v>
      </c>
      <c r="I134" s="241"/>
      <c r="J134" s="244" t="s">
        <v>50</v>
      </c>
      <c r="K134" s="241" t="s">
        <v>551</v>
      </c>
      <c r="L134" s="251">
        <v>44446</v>
      </c>
      <c r="M134" s="252">
        <v>254545</v>
      </c>
      <c r="N134" s="241">
        <v>1</v>
      </c>
      <c r="O134" s="253">
        <f t="shared" si="7"/>
        <v>254545</v>
      </c>
      <c r="P134" s="253">
        <v>275000</v>
      </c>
      <c r="Q134" s="253">
        <f t="shared" si="6"/>
        <v>275000</v>
      </c>
    </row>
    <row r="135" spans="2:17">
      <c r="B135" s="200">
        <v>132</v>
      </c>
      <c r="C135" s="241" t="s">
        <v>552</v>
      </c>
      <c r="D135" s="242" t="s">
        <v>548</v>
      </c>
      <c r="E135" s="243" t="s">
        <v>9</v>
      </c>
      <c r="F135" s="244" t="s">
        <v>445</v>
      </c>
      <c r="G135" s="241"/>
      <c r="H135" s="241" t="s">
        <v>446</v>
      </c>
      <c r="I135" s="241"/>
      <c r="J135" s="244" t="s">
        <v>50</v>
      </c>
      <c r="K135" s="241" t="s">
        <v>553</v>
      </c>
      <c r="L135" s="251">
        <v>44446</v>
      </c>
      <c r="M135" s="252">
        <v>254545</v>
      </c>
      <c r="N135" s="241">
        <v>1</v>
      </c>
      <c r="O135" s="253">
        <f t="shared" si="7"/>
        <v>254545</v>
      </c>
      <c r="P135" s="253">
        <v>275000</v>
      </c>
      <c r="Q135" s="253">
        <f t="shared" si="6"/>
        <v>275000</v>
      </c>
    </row>
    <row r="136" spans="2:17">
      <c r="B136" s="200">
        <v>133</v>
      </c>
      <c r="C136" s="241" t="s">
        <v>554</v>
      </c>
      <c r="D136" s="242" t="s">
        <v>555</v>
      </c>
      <c r="E136" s="243" t="s">
        <v>2</v>
      </c>
      <c r="F136" s="244" t="s">
        <v>556</v>
      </c>
      <c r="G136" s="241"/>
      <c r="H136" s="241" t="s">
        <v>557</v>
      </c>
      <c r="I136" s="241"/>
      <c r="J136" s="244" t="s">
        <v>85</v>
      </c>
      <c r="K136" s="241" t="s">
        <v>558</v>
      </c>
      <c r="L136" s="251">
        <v>44447</v>
      </c>
      <c r="M136" s="252">
        <v>222727</v>
      </c>
      <c r="N136" s="241">
        <v>350</v>
      </c>
      <c r="O136" s="253">
        <f t="shared" si="7"/>
        <v>77954450</v>
      </c>
      <c r="P136" s="253">
        <v>392700</v>
      </c>
      <c r="Q136" s="253">
        <f t="shared" si="6"/>
        <v>137445000</v>
      </c>
    </row>
    <row r="137" spans="2:17">
      <c r="B137" s="200">
        <v>134</v>
      </c>
      <c r="C137" s="241" t="s">
        <v>559</v>
      </c>
      <c r="D137" s="242" t="s">
        <v>560</v>
      </c>
      <c r="E137" s="243" t="s">
        <v>9</v>
      </c>
      <c r="F137" s="244" t="s">
        <v>561</v>
      </c>
      <c r="G137" s="241"/>
      <c r="H137" s="241" t="s">
        <v>538</v>
      </c>
      <c r="I137" s="241"/>
      <c r="J137" s="244" t="s">
        <v>50</v>
      </c>
      <c r="K137" s="241" t="s">
        <v>562</v>
      </c>
      <c r="L137" s="251">
        <v>44447</v>
      </c>
      <c r="M137" s="252">
        <v>254545</v>
      </c>
      <c r="N137" s="241">
        <v>1</v>
      </c>
      <c r="O137" s="253">
        <f t="shared" si="7"/>
        <v>254545</v>
      </c>
      <c r="P137" s="253">
        <v>275000</v>
      </c>
      <c r="Q137" s="253">
        <f t="shared" si="6"/>
        <v>275000</v>
      </c>
    </row>
    <row r="138" spans="2:17">
      <c r="B138" s="200">
        <v>135</v>
      </c>
      <c r="C138" s="241" t="s">
        <v>563</v>
      </c>
      <c r="D138" s="242" t="s">
        <v>564</v>
      </c>
      <c r="E138" s="243" t="s">
        <v>9</v>
      </c>
      <c r="F138" s="244" t="s">
        <v>565</v>
      </c>
      <c r="G138" s="241"/>
      <c r="H138" s="241" t="s">
        <v>566</v>
      </c>
      <c r="I138" s="241"/>
      <c r="J138" s="244" t="s">
        <v>50</v>
      </c>
      <c r="K138" s="241" t="s">
        <v>567</v>
      </c>
      <c r="L138" s="251">
        <v>44448</v>
      </c>
      <c r="M138" s="252">
        <v>254545</v>
      </c>
      <c r="N138" s="241">
        <v>1</v>
      </c>
      <c r="O138" s="253">
        <f t="shared" si="7"/>
        <v>254545</v>
      </c>
      <c r="P138" s="253">
        <v>275000</v>
      </c>
      <c r="Q138" s="253">
        <f t="shared" si="6"/>
        <v>275000</v>
      </c>
    </row>
    <row r="139" spans="2:17">
      <c r="B139" s="200">
        <v>136</v>
      </c>
      <c r="C139" s="241" t="s">
        <v>568</v>
      </c>
      <c r="D139" s="242" t="s">
        <v>569</v>
      </c>
      <c r="E139" s="243" t="s">
        <v>9</v>
      </c>
      <c r="F139" s="244" t="s">
        <v>570</v>
      </c>
      <c r="G139" s="241"/>
      <c r="H139" s="241" t="s">
        <v>571</v>
      </c>
      <c r="I139" s="241"/>
      <c r="J139" s="244" t="s">
        <v>50</v>
      </c>
      <c r="K139" s="241" t="s">
        <v>572</v>
      </c>
      <c r="L139" s="251">
        <v>44449</v>
      </c>
      <c r="M139" s="252">
        <v>254545</v>
      </c>
      <c r="N139" s="241">
        <v>3</v>
      </c>
      <c r="O139" s="253">
        <f t="shared" si="7"/>
        <v>763635</v>
      </c>
      <c r="P139" s="253">
        <v>275000</v>
      </c>
      <c r="Q139" s="253">
        <f t="shared" si="6"/>
        <v>825000</v>
      </c>
    </row>
    <row r="140" spans="2:17">
      <c r="B140" s="200">
        <v>137</v>
      </c>
      <c r="C140" s="241" t="s">
        <v>573</v>
      </c>
      <c r="D140" s="242" t="s">
        <v>574</v>
      </c>
      <c r="E140" s="243" t="s">
        <v>7</v>
      </c>
      <c r="F140" s="244" t="s">
        <v>83</v>
      </c>
      <c r="G140" s="241"/>
      <c r="H140" s="241" t="s">
        <v>575</v>
      </c>
      <c r="I140" s="241"/>
      <c r="J140" s="244" t="s">
        <v>85</v>
      </c>
      <c r="K140" s="241" t="s">
        <v>576</v>
      </c>
      <c r="L140" s="251">
        <v>44449</v>
      </c>
      <c r="M140" s="252">
        <v>222727</v>
      </c>
      <c r="N140" s="241">
        <v>165</v>
      </c>
      <c r="O140" s="253">
        <f t="shared" si="7"/>
        <v>36749955</v>
      </c>
      <c r="P140" s="253">
        <v>279090.90999999997</v>
      </c>
      <c r="Q140" s="253">
        <f t="shared" si="6"/>
        <v>46050000.149999999</v>
      </c>
    </row>
    <row r="141" spans="2:17">
      <c r="B141" s="200">
        <v>138</v>
      </c>
      <c r="C141" s="241" t="s">
        <v>577</v>
      </c>
      <c r="D141" s="242">
        <v>79921</v>
      </c>
      <c r="E141" s="243" t="s">
        <v>17</v>
      </c>
      <c r="F141" s="244" t="s">
        <v>114</v>
      </c>
      <c r="G141" s="241"/>
      <c r="H141" s="241" t="s">
        <v>578</v>
      </c>
      <c r="I141" s="241"/>
      <c r="J141" s="244" t="s">
        <v>85</v>
      </c>
      <c r="K141" s="241" t="s">
        <v>377</v>
      </c>
      <c r="L141" s="251">
        <v>44454</v>
      </c>
      <c r="M141" s="252">
        <v>222727</v>
      </c>
      <c r="N141" s="241">
        <v>5</v>
      </c>
      <c r="O141" s="253">
        <f t="shared" si="7"/>
        <v>1113635</v>
      </c>
      <c r="P141" s="253">
        <v>279090.90999999997</v>
      </c>
      <c r="Q141" s="253">
        <f t="shared" si="6"/>
        <v>1395454.5499999998</v>
      </c>
    </row>
    <row r="142" spans="2:17">
      <c r="B142" s="200">
        <v>139</v>
      </c>
      <c r="C142" s="241" t="s">
        <v>579</v>
      </c>
      <c r="D142" s="242">
        <v>79921</v>
      </c>
      <c r="E142" s="243" t="s">
        <v>17</v>
      </c>
      <c r="F142" s="244" t="s">
        <v>114</v>
      </c>
      <c r="G142" s="241"/>
      <c r="H142" s="241" t="s">
        <v>580</v>
      </c>
      <c r="I142" s="241"/>
      <c r="J142" s="244" t="s">
        <v>85</v>
      </c>
      <c r="K142" s="241" t="s">
        <v>380</v>
      </c>
      <c r="L142" s="251">
        <v>44454</v>
      </c>
      <c r="M142" s="252">
        <v>222727</v>
      </c>
      <c r="N142" s="241">
        <v>24</v>
      </c>
      <c r="O142" s="253">
        <f t="shared" si="7"/>
        <v>5345448</v>
      </c>
      <c r="P142" s="253">
        <v>279090.90999999997</v>
      </c>
      <c r="Q142" s="253">
        <f t="shared" si="6"/>
        <v>6698181.8399999999</v>
      </c>
    </row>
    <row r="143" spans="2:17">
      <c r="B143" s="200">
        <v>140</v>
      </c>
      <c r="C143" s="241" t="s">
        <v>581</v>
      </c>
      <c r="D143" s="242">
        <v>79921</v>
      </c>
      <c r="E143" s="243" t="s">
        <v>17</v>
      </c>
      <c r="F143" s="244" t="s">
        <v>114</v>
      </c>
      <c r="G143" s="241"/>
      <c r="H143" s="241" t="s">
        <v>578</v>
      </c>
      <c r="I143" s="241"/>
      <c r="J143" s="244" t="s">
        <v>92</v>
      </c>
      <c r="K143" s="241" t="s">
        <v>383</v>
      </c>
      <c r="L143" s="251">
        <v>44454</v>
      </c>
      <c r="M143" s="252">
        <v>46364</v>
      </c>
      <c r="N143" s="241">
        <v>5</v>
      </c>
      <c r="O143" s="253">
        <f t="shared" si="7"/>
        <v>231820</v>
      </c>
      <c r="P143" s="253">
        <v>58181.82</v>
      </c>
      <c r="Q143" s="253">
        <f t="shared" si="6"/>
        <v>290909.09999999998</v>
      </c>
    </row>
    <row r="144" spans="2:17">
      <c r="B144" s="200">
        <v>141</v>
      </c>
      <c r="C144" s="241" t="s">
        <v>582</v>
      </c>
      <c r="D144" s="242">
        <v>79921</v>
      </c>
      <c r="E144" s="243" t="s">
        <v>17</v>
      </c>
      <c r="F144" s="244" t="s">
        <v>114</v>
      </c>
      <c r="G144" s="241"/>
      <c r="H144" s="241" t="s">
        <v>580</v>
      </c>
      <c r="I144" s="241"/>
      <c r="J144" s="244" t="s">
        <v>92</v>
      </c>
      <c r="K144" s="241" t="s">
        <v>386</v>
      </c>
      <c r="L144" s="251">
        <v>44454</v>
      </c>
      <c r="M144" s="252">
        <v>46364</v>
      </c>
      <c r="N144" s="241">
        <v>24</v>
      </c>
      <c r="O144" s="253">
        <f t="shared" si="7"/>
        <v>1112736</v>
      </c>
      <c r="P144" s="253">
        <v>58181.82</v>
      </c>
      <c r="Q144" s="253">
        <f t="shared" ref="Q144:Q202" si="8">P144*N144</f>
        <v>1396363.68</v>
      </c>
    </row>
    <row r="145" spans="2:17">
      <c r="B145" s="200">
        <v>142</v>
      </c>
      <c r="C145" s="241" t="s">
        <v>583</v>
      </c>
      <c r="D145" s="242">
        <v>4800426981</v>
      </c>
      <c r="E145" s="243" t="s">
        <v>12</v>
      </c>
      <c r="F145" s="244" t="s">
        <v>584</v>
      </c>
      <c r="G145" s="241"/>
      <c r="H145" s="241" t="s">
        <v>585</v>
      </c>
      <c r="I145" s="241"/>
      <c r="J145" s="244" t="s">
        <v>92</v>
      </c>
      <c r="K145" s="241" t="s">
        <v>586</v>
      </c>
      <c r="L145" s="251">
        <v>44455</v>
      </c>
      <c r="M145" s="252">
        <v>32272.73</v>
      </c>
      <c r="N145" s="241">
        <v>811</v>
      </c>
      <c r="O145" s="253">
        <f t="shared" si="7"/>
        <v>26173184.030000001</v>
      </c>
      <c r="P145" s="253">
        <v>35500</v>
      </c>
      <c r="Q145" s="253">
        <f t="shared" si="8"/>
        <v>28790500</v>
      </c>
    </row>
    <row r="146" spans="2:17">
      <c r="B146" s="200">
        <v>143</v>
      </c>
      <c r="C146" s="241" t="s">
        <v>587</v>
      </c>
      <c r="D146" s="242" t="s">
        <v>588</v>
      </c>
      <c r="E146" s="243" t="s">
        <v>9</v>
      </c>
      <c r="F146" s="244" t="s">
        <v>445</v>
      </c>
      <c r="G146" s="241"/>
      <c r="H146" s="241" t="s">
        <v>589</v>
      </c>
      <c r="I146" s="241"/>
      <c r="J146" s="244" t="s">
        <v>50</v>
      </c>
      <c r="K146" s="241" t="s">
        <v>590</v>
      </c>
      <c r="L146" s="251">
        <v>44459</v>
      </c>
      <c r="M146" s="252">
        <v>254545</v>
      </c>
      <c r="N146" s="241">
        <v>1</v>
      </c>
      <c r="O146" s="253">
        <f t="shared" si="7"/>
        <v>254545</v>
      </c>
      <c r="P146" s="253">
        <v>275000</v>
      </c>
      <c r="Q146" s="253">
        <f t="shared" si="8"/>
        <v>275000</v>
      </c>
    </row>
    <row r="147" spans="2:17">
      <c r="B147" s="200">
        <v>144</v>
      </c>
      <c r="C147" s="241" t="s">
        <v>591</v>
      </c>
      <c r="D147" s="242" t="s">
        <v>588</v>
      </c>
      <c r="E147" s="243" t="s">
        <v>9</v>
      </c>
      <c r="F147" s="244" t="s">
        <v>206</v>
      </c>
      <c r="G147" s="241"/>
      <c r="H147" s="241" t="s">
        <v>592</v>
      </c>
      <c r="I147" s="241"/>
      <c r="J147" s="244" t="s">
        <v>50</v>
      </c>
      <c r="K147" s="241" t="s">
        <v>593</v>
      </c>
      <c r="L147" s="251">
        <v>44459</v>
      </c>
      <c r="M147" s="252">
        <v>254545</v>
      </c>
      <c r="N147" s="241">
        <v>1</v>
      </c>
      <c r="O147" s="253">
        <f t="shared" si="7"/>
        <v>254545</v>
      </c>
      <c r="P147" s="253">
        <v>275000</v>
      </c>
      <c r="Q147" s="253">
        <f t="shared" si="8"/>
        <v>275000</v>
      </c>
    </row>
    <row r="148" spans="2:17">
      <c r="B148" s="200">
        <v>145</v>
      </c>
      <c r="C148" s="241" t="s">
        <v>594</v>
      </c>
      <c r="D148" s="242" t="s">
        <v>588</v>
      </c>
      <c r="E148" s="243" t="s">
        <v>9</v>
      </c>
      <c r="F148" s="244" t="s">
        <v>595</v>
      </c>
      <c r="G148" s="241"/>
      <c r="H148" s="241" t="s">
        <v>592</v>
      </c>
      <c r="I148" s="241"/>
      <c r="J148" s="244" t="s">
        <v>50</v>
      </c>
      <c r="K148" s="241" t="s">
        <v>596</v>
      </c>
      <c r="L148" s="251">
        <v>44459</v>
      </c>
      <c r="M148" s="252">
        <v>254545</v>
      </c>
      <c r="N148" s="241">
        <v>1</v>
      </c>
      <c r="O148" s="253">
        <f t="shared" si="7"/>
        <v>254545</v>
      </c>
      <c r="P148" s="253">
        <v>275000</v>
      </c>
      <c r="Q148" s="253">
        <f t="shared" si="8"/>
        <v>275000</v>
      </c>
    </row>
    <row r="149" spans="2:17">
      <c r="B149" s="200">
        <v>146</v>
      </c>
      <c r="C149" s="241" t="s">
        <v>597</v>
      </c>
      <c r="D149" s="242" t="s">
        <v>598</v>
      </c>
      <c r="E149" s="243" t="s">
        <v>9</v>
      </c>
      <c r="F149" s="244" t="s">
        <v>599</v>
      </c>
      <c r="G149" s="241"/>
      <c r="H149" s="241" t="s">
        <v>600</v>
      </c>
      <c r="I149" s="241"/>
      <c r="J149" s="244" t="s">
        <v>50</v>
      </c>
      <c r="K149" s="241" t="s">
        <v>601</v>
      </c>
      <c r="L149" s="251">
        <v>44461</v>
      </c>
      <c r="M149" s="252">
        <v>254545</v>
      </c>
      <c r="N149" s="241">
        <v>6</v>
      </c>
      <c r="O149" s="253">
        <f t="shared" si="7"/>
        <v>1527270</v>
      </c>
      <c r="P149" s="253">
        <v>275000</v>
      </c>
      <c r="Q149" s="253">
        <f t="shared" si="8"/>
        <v>1650000</v>
      </c>
    </row>
    <row r="150" spans="2:17">
      <c r="B150" s="200">
        <v>147</v>
      </c>
      <c r="C150" s="241" t="s">
        <v>602</v>
      </c>
      <c r="D150" s="242" t="s">
        <v>598</v>
      </c>
      <c r="E150" s="243" t="s">
        <v>9</v>
      </c>
      <c r="F150" s="244" t="s">
        <v>603</v>
      </c>
      <c r="G150" s="241"/>
      <c r="H150" s="241" t="s">
        <v>604</v>
      </c>
      <c r="I150" s="241"/>
      <c r="J150" s="244" t="s">
        <v>50</v>
      </c>
      <c r="K150" s="241" t="s">
        <v>605</v>
      </c>
      <c r="L150" s="251">
        <v>44461</v>
      </c>
      <c r="M150" s="252">
        <v>254545</v>
      </c>
      <c r="N150" s="241">
        <v>2</v>
      </c>
      <c r="O150" s="253">
        <f t="shared" si="7"/>
        <v>509090</v>
      </c>
      <c r="P150" s="253">
        <v>275000</v>
      </c>
      <c r="Q150" s="253">
        <f t="shared" si="8"/>
        <v>550000</v>
      </c>
    </row>
    <row r="151" spans="2:17">
      <c r="B151" s="200">
        <v>148</v>
      </c>
      <c r="C151" s="241" t="s">
        <v>606</v>
      </c>
      <c r="D151" s="242" t="s">
        <v>598</v>
      </c>
      <c r="E151" s="243" t="s">
        <v>9</v>
      </c>
      <c r="F151" s="244" t="s">
        <v>607</v>
      </c>
      <c r="G151" s="241"/>
      <c r="H151" s="241" t="s">
        <v>608</v>
      </c>
      <c r="I151" s="241"/>
      <c r="J151" s="244" t="s">
        <v>50</v>
      </c>
      <c r="K151" s="241" t="s">
        <v>609</v>
      </c>
      <c r="L151" s="251">
        <v>44461</v>
      </c>
      <c r="M151" s="252">
        <v>254545</v>
      </c>
      <c r="N151" s="241">
        <v>3</v>
      </c>
      <c r="O151" s="253">
        <f t="shared" si="7"/>
        <v>763635</v>
      </c>
      <c r="P151" s="253">
        <v>275000</v>
      </c>
      <c r="Q151" s="253">
        <f t="shared" si="8"/>
        <v>825000</v>
      </c>
    </row>
    <row r="152" spans="2:17">
      <c r="B152" s="200">
        <v>149</v>
      </c>
      <c r="C152" s="241" t="s">
        <v>610</v>
      </c>
      <c r="D152" s="242" t="s">
        <v>598</v>
      </c>
      <c r="E152" s="243" t="s">
        <v>9</v>
      </c>
      <c r="F152" s="244" t="s">
        <v>611</v>
      </c>
      <c r="G152" s="241"/>
      <c r="H152" s="241" t="s">
        <v>612</v>
      </c>
      <c r="I152" s="241"/>
      <c r="J152" s="244" t="s">
        <v>50</v>
      </c>
      <c r="K152" s="241" t="s">
        <v>613</v>
      </c>
      <c r="L152" s="251">
        <v>44461</v>
      </c>
      <c r="M152" s="252">
        <v>254545</v>
      </c>
      <c r="N152" s="241">
        <v>6</v>
      </c>
      <c r="O152" s="253">
        <f t="shared" si="7"/>
        <v>1527270</v>
      </c>
      <c r="P152" s="253">
        <v>275000</v>
      </c>
      <c r="Q152" s="253">
        <f t="shared" si="8"/>
        <v>1650000</v>
      </c>
    </row>
    <row r="153" spans="2:17">
      <c r="B153" s="200">
        <v>150</v>
      </c>
      <c r="C153" s="241" t="s">
        <v>614</v>
      </c>
      <c r="D153" s="242" t="s">
        <v>615</v>
      </c>
      <c r="E153" s="243" t="s">
        <v>9</v>
      </c>
      <c r="F153" s="244" t="s">
        <v>77</v>
      </c>
      <c r="G153" s="241"/>
      <c r="H153" s="241" t="s">
        <v>616</v>
      </c>
      <c r="I153" s="241"/>
      <c r="J153" s="244" t="s">
        <v>50</v>
      </c>
      <c r="K153" s="241" t="s">
        <v>617</v>
      </c>
      <c r="L153" s="251">
        <v>44463</v>
      </c>
      <c r="M153" s="252">
        <v>254545</v>
      </c>
      <c r="N153" s="241">
        <v>1</v>
      </c>
      <c r="O153" s="253">
        <f t="shared" si="7"/>
        <v>254545</v>
      </c>
      <c r="P153" s="253">
        <v>275000</v>
      </c>
      <c r="Q153" s="253">
        <f t="shared" si="8"/>
        <v>275000</v>
      </c>
    </row>
    <row r="154" spans="2:17">
      <c r="B154" s="200">
        <v>151</v>
      </c>
      <c r="C154" s="241" t="s">
        <v>618</v>
      </c>
      <c r="D154" s="242" t="s">
        <v>615</v>
      </c>
      <c r="E154" s="243" t="s">
        <v>9</v>
      </c>
      <c r="F154" s="244" t="s">
        <v>619</v>
      </c>
      <c r="G154" s="241"/>
      <c r="H154" s="241" t="s">
        <v>620</v>
      </c>
      <c r="I154" s="241"/>
      <c r="J154" s="244" t="s">
        <v>50</v>
      </c>
      <c r="K154" s="241" t="s">
        <v>621</v>
      </c>
      <c r="L154" s="251">
        <v>44463</v>
      </c>
      <c r="M154" s="252">
        <v>254545</v>
      </c>
      <c r="N154" s="241">
        <v>1</v>
      </c>
      <c r="O154" s="253">
        <f t="shared" si="7"/>
        <v>254545</v>
      </c>
      <c r="P154" s="253">
        <v>275000</v>
      </c>
      <c r="Q154" s="253">
        <f t="shared" si="8"/>
        <v>275000</v>
      </c>
    </row>
    <row r="155" spans="2:17">
      <c r="B155" s="200">
        <v>152</v>
      </c>
      <c r="C155" s="241" t="s">
        <v>622</v>
      </c>
      <c r="D155" s="242" t="s">
        <v>615</v>
      </c>
      <c r="E155" s="243" t="s">
        <v>9</v>
      </c>
      <c r="F155" s="244" t="s">
        <v>623</v>
      </c>
      <c r="G155" s="241"/>
      <c r="H155" s="241" t="s">
        <v>620</v>
      </c>
      <c r="I155" s="241"/>
      <c r="J155" s="244" t="s">
        <v>50</v>
      </c>
      <c r="K155" s="241" t="s">
        <v>624</v>
      </c>
      <c r="L155" s="251">
        <v>44463</v>
      </c>
      <c r="M155" s="252">
        <v>254545</v>
      </c>
      <c r="N155" s="241">
        <v>5</v>
      </c>
      <c r="O155" s="253">
        <f t="shared" si="7"/>
        <v>1272725</v>
      </c>
      <c r="P155" s="253">
        <v>275000</v>
      </c>
      <c r="Q155" s="253">
        <f t="shared" si="8"/>
        <v>1375000</v>
      </c>
    </row>
    <row r="156" spans="2:17">
      <c r="B156" s="200">
        <v>153</v>
      </c>
      <c r="C156" s="241" t="s">
        <v>625</v>
      </c>
      <c r="D156" s="242" t="s">
        <v>626</v>
      </c>
      <c r="E156" s="243" t="s">
        <v>7</v>
      </c>
      <c r="F156" s="244" t="s">
        <v>627</v>
      </c>
      <c r="G156" s="241"/>
      <c r="H156" s="241" t="s">
        <v>628</v>
      </c>
      <c r="I156" s="241"/>
      <c r="J156" s="244" t="s">
        <v>629</v>
      </c>
      <c r="K156" s="241" t="s">
        <v>630</v>
      </c>
      <c r="L156" s="251">
        <v>44463</v>
      </c>
      <c r="M156" s="252">
        <v>185455</v>
      </c>
      <c r="N156" s="241">
        <v>2</v>
      </c>
      <c r="O156" s="253">
        <f t="shared" si="7"/>
        <v>370910</v>
      </c>
      <c r="P156" s="253">
        <v>231818.81</v>
      </c>
      <c r="Q156" s="253">
        <f t="shared" si="8"/>
        <v>463637.62</v>
      </c>
    </row>
    <row r="157" spans="2:17">
      <c r="B157" s="200">
        <v>154</v>
      </c>
      <c r="C157" s="241" t="s">
        <v>631</v>
      </c>
      <c r="D157" s="242" t="s">
        <v>626</v>
      </c>
      <c r="E157" s="243" t="s">
        <v>7</v>
      </c>
      <c r="F157" s="244" t="s">
        <v>627</v>
      </c>
      <c r="G157" s="241"/>
      <c r="H157" s="241" t="s">
        <v>632</v>
      </c>
      <c r="I157" s="241"/>
      <c r="J157" s="244" t="s">
        <v>63</v>
      </c>
      <c r="K157" s="241" t="s">
        <v>630</v>
      </c>
      <c r="L157" s="251">
        <v>44463</v>
      </c>
      <c r="M157" s="252">
        <v>92727</v>
      </c>
      <c r="N157" s="241">
        <v>2</v>
      </c>
      <c r="O157" s="253">
        <f t="shared" si="7"/>
        <v>185454</v>
      </c>
      <c r="P157" s="253">
        <v>116363.63</v>
      </c>
      <c r="Q157" s="253">
        <f t="shared" si="8"/>
        <v>232727.26</v>
      </c>
    </row>
    <row r="158" spans="2:17" s="1" customFormat="1" ht="12.75">
      <c r="B158" s="200">
        <v>155</v>
      </c>
      <c r="C158" s="237" t="s">
        <v>633</v>
      </c>
      <c r="D158" s="238">
        <v>4800428229</v>
      </c>
      <c r="E158" s="239" t="s">
        <v>12</v>
      </c>
      <c r="F158" s="240" t="s">
        <v>466</v>
      </c>
      <c r="G158" s="237"/>
      <c r="H158" s="237" t="s">
        <v>634</v>
      </c>
      <c r="I158" s="237"/>
      <c r="J158" s="240" t="s">
        <v>85</v>
      </c>
      <c r="K158" s="237" t="s">
        <v>635</v>
      </c>
      <c r="L158" s="248">
        <v>44469</v>
      </c>
      <c r="M158" s="249">
        <v>222727</v>
      </c>
      <c r="N158" s="237">
        <v>8</v>
      </c>
      <c r="O158" s="250">
        <f t="shared" si="7"/>
        <v>1781816</v>
      </c>
      <c r="P158" s="250">
        <v>265136</v>
      </c>
      <c r="Q158" s="250">
        <f t="shared" si="8"/>
        <v>2121088</v>
      </c>
    </row>
    <row r="159" spans="2:17" s="1" customFormat="1" ht="12.75">
      <c r="B159" s="200">
        <v>156</v>
      </c>
      <c r="C159" s="237" t="s">
        <v>636</v>
      </c>
      <c r="D159" s="238" t="s">
        <v>637</v>
      </c>
      <c r="E159" s="239" t="s">
        <v>9</v>
      </c>
      <c r="F159" s="240" t="s">
        <v>638</v>
      </c>
      <c r="G159" s="237"/>
      <c r="H159" s="237" t="s">
        <v>526</v>
      </c>
      <c r="I159" s="237"/>
      <c r="J159" s="240" t="s">
        <v>50</v>
      </c>
      <c r="K159" s="237" t="s">
        <v>639</v>
      </c>
      <c r="L159" s="248">
        <v>44475</v>
      </c>
      <c r="M159" s="249">
        <v>254545</v>
      </c>
      <c r="N159" s="237">
        <v>1</v>
      </c>
      <c r="O159" s="250">
        <f t="shared" si="7"/>
        <v>254545</v>
      </c>
      <c r="P159" s="250">
        <v>275000</v>
      </c>
      <c r="Q159" s="250">
        <f t="shared" si="8"/>
        <v>275000</v>
      </c>
    </row>
    <row r="160" spans="2:17">
      <c r="B160" s="200">
        <v>157</v>
      </c>
      <c r="C160" s="237" t="s">
        <v>640</v>
      </c>
      <c r="D160" s="238" t="s">
        <v>641</v>
      </c>
      <c r="E160" s="239" t="s">
        <v>9</v>
      </c>
      <c r="F160" s="240" t="s">
        <v>206</v>
      </c>
      <c r="G160" s="237"/>
      <c r="H160" s="237" t="s">
        <v>642</v>
      </c>
      <c r="I160" s="237"/>
      <c r="J160" s="240" t="s">
        <v>50</v>
      </c>
      <c r="K160" s="237" t="s">
        <v>643</v>
      </c>
      <c r="L160" s="248">
        <v>44475</v>
      </c>
      <c r="M160" s="249">
        <v>254545</v>
      </c>
      <c r="N160" s="237">
        <v>1</v>
      </c>
      <c r="O160" s="250">
        <f t="shared" si="7"/>
        <v>254545</v>
      </c>
      <c r="P160" s="250">
        <v>275000</v>
      </c>
      <c r="Q160" s="250">
        <f t="shared" si="8"/>
        <v>275000</v>
      </c>
    </row>
    <row r="161" spans="2:17">
      <c r="B161" s="200">
        <v>158</v>
      </c>
      <c r="C161" s="237" t="s">
        <v>644</v>
      </c>
      <c r="D161" s="238" t="s">
        <v>641</v>
      </c>
      <c r="E161" s="239" t="s">
        <v>9</v>
      </c>
      <c r="F161" s="240" t="s">
        <v>645</v>
      </c>
      <c r="G161" s="237"/>
      <c r="H161" s="237" t="s">
        <v>642</v>
      </c>
      <c r="I161" s="237"/>
      <c r="J161" s="240" t="s">
        <v>50</v>
      </c>
      <c r="K161" s="237" t="s">
        <v>646</v>
      </c>
      <c r="L161" s="248">
        <v>44475</v>
      </c>
      <c r="M161" s="249">
        <v>254545</v>
      </c>
      <c r="N161" s="237">
        <v>1</v>
      </c>
      <c r="O161" s="250">
        <f t="shared" si="7"/>
        <v>254545</v>
      </c>
      <c r="P161" s="250">
        <v>275000</v>
      </c>
      <c r="Q161" s="250">
        <f t="shared" si="8"/>
        <v>275000</v>
      </c>
    </row>
    <row r="162" spans="2:17">
      <c r="B162" s="200">
        <v>159</v>
      </c>
      <c r="C162" s="237" t="s">
        <v>647</v>
      </c>
      <c r="D162" s="238" t="s">
        <v>641</v>
      </c>
      <c r="E162" s="239" t="s">
        <v>9</v>
      </c>
      <c r="F162" s="240" t="s">
        <v>648</v>
      </c>
      <c r="G162" s="237"/>
      <c r="H162" s="237" t="s">
        <v>642</v>
      </c>
      <c r="I162" s="237"/>
      <c r="J162" s="240" t="s">
        <v>50</v>
      </c>
      <c r="K162" s="237" t="s">
        <v>649</v>
      </c>
      <c r="L162" s="248">
        <v>44475</v>
      </c>
      <c r="M162" s="249">
        <v>254545</v>
      </c>
      <c r="N162" s="237">
        <v>1</v>
      </c>
      <c r="O162" s="250">
        <f t="shared" si="7"/>
        <v>254545</v>
      </c>
      <c r="P162" s="250">
        <v>275000</v>
      </c>
      <c r="Q162" s="250">
        <f t="shared" si="8"/>
        <v>275000</v>
      </c>
    </row>
    <row r="163" spans="2:17">
      <c r="B163" s="200">
        <v>160</v>
      </c>
      <c r="C163" s="237" t="s">
        <v>650</v>
      </c>
      <c r="D163" s="238" t="s">
        <v>651</v>
      </c>
      <c r="E163" s="239" t="s">
        <v>9</v>
      </c>
      <c r="F163" s="240" t="s">
        <v>652</v>
      </c>
      <c r="G163" s="237"/>
      <c r="H163" s="237" t="s">
        <v>642</v>
      </c>
      <c r="I163" s="237"/>
      <c r="J163" s="240" t="s">
        <v>50</v>
      </c>
      <c r="K163" s="237" t="s">
        <v>653</v>
      </c>
      <c r="L163" s="248">
        <v>44476</v>
      </c>
      <c r="M163" s="249">
        <v>254545</v>
      </c>
      <c r="N163" s="237">
        <v>1</v>
      </c>
      <c r="O163" s="250">
        <f t="shared" si="7"/>
        <v>254545</v>
      </c>
      <c r="P163" s="250">
        <v>275000</v>
      </c>
      <c r="Q163" s="250">
        <f t="shared" si="8"/>
        <v>275000</v>
      </c>
    </row>
    <row r="164" spans="2:17">
      <c r="B164" s="200">
        <v>161</v>
      </c>
      <c r="C164" s="237" t="s">
        <v>654</v>
      </c>
      <c r="D164" s="238" t="s">
        <v>655</v>
      </c>
      <c r="E164" s="239" t="s">
        <v>9</v>
      </c>
      <c r="F164" s="240" t="s">
        <v>206</v>
      </c>
      <c r="G164" s="237"/>
      <c r="H164" s="237" t="s">
        <v>656</v>
      </c>
      <c r="I164" s="237"/>
      <c r="J164" s="240" t="s">
        <v>50</v>
      </c>
      <c r="K164" s="237" t="s">
        <v>657</v>
      </c>
      <c r="L164" s="248">
        <v>44480</v>
      </c>
      <c r="M164" s="249">
        <v>254545</v>
      </c>
      <c r="N164" s="237">
        <v>1</v>
      </c>
      <c r="O164" s="250">
        <f t="shared" si="7"/>
        <v>254545</v>
      </c>
      <c r="P164" s="250">
        <v>275000</v>
      </c>
      <c r="Q164" s="250">
        <f t="shared" si="8"/>
        <v>275000</v>
      </c>
    </row>
    <row r="165" spans="2:17">
      <c r="B165" s="200">
        <v>162</v>
      </c>
      <c r="C165" s="237" t="s">
        <v>658</v>
      </c>
      <c r="D165" s="238" t="s">
        <v>659</v>
      </c>
      <c r="E165" s="239" t="s">
        <v>9</v>
      </c>
      <c r="F165" s="240" t="s">
        <v>660</v>
      </c>
      <c r="G165" s="237"/>
      <c r="H165" s="237" t="s">
        <v>661</v>
      </c>
      <c r="I165" s="237"/>
      <c r="J165" s="240" t="s">
        <v>50</v>
      </c>
      <c r="K165" s="237" t="s">
        <v>662</v>
      </c>
      <c r="L165" s="248">
        <v>44481</v>
      </c>
      <c r="M165" s="249">
        <v>254545</v>
      </c>
      <c r="N165" s="237">
        <v>1</v>
      </c>
      <c r="O165" s="250">
        <f t="shared" si="7"/>
        <v>254545</v>
      </c>
      <c r="P165" s="250">
        <v>275000</v>
      </c>
      <c r="Q165" s="250">
        <f t="shared" si="8"/>
        <v>275000</v>
      </c>
    </row>
    <row r="166" spans="2:17">
      <c r="B166" s="200">
        <v>163</v>
      </c>
      <c r="C166" s="237" t="s">
        <v>663</v>
      </c>
      <c r="D166" s="238" t="s">
        <v>664</v>
      </c>
      <c r="E166" s="239" t="s">
        <v>9</v>
      </c>
      <c r="F166" s="240" t="s">
        <v>665</v>
      </c>
      <c r="G166" s="237"/>
      <c r="H166" s="237" t="s">
        <v>666</v>
      </c>
      <c r="I166" s="237"/>
      <c r="J166" s="240" t="s">
        <v>50</v>
      </c>
      <c r="K166" s="237" t="s">
        <v>667</v>
      </c>
      <c r="L166" s="248">
        <v>44488</v>
      </c>
      <c r="M166" s="249">
        <v>254545</v>
      </c>
      <c r="N166" s="237">
        <v>1</v>
      </c>
      <c r="O166" s="250">
        <f t="shared" si="7"/>
        <v>254545</v>
      </c>
      <c r="P166" s="250">
        <v>275000</v>
      </c>
      <c r="Q166" s="250">
        <f t="shared" si="8"/>
        <v>275000</v>
      </c>
    </row>
    <row r="167" spans="2:17">
      <c r="B167" s="200">
        <v>164</v>
      </c>
      <c r="C167" s="237" t="s">
        <v>668</v>
      </c>
      <c r="D167" s="238" t="s">
        <v>664</v>
      </c>
      <c r="E167" s="239" t="s">
        <v>9</v>
      </c>
      <c r="F167" s="240" t="s">
        <v>669</v>
      </c>
      <c r="G167" s="237"/>
      <c r="H167" s="237" t="s">
        <v>666</v>
      </c>
      <c r="I167" s="237"/>
      <c r="J167" s="240" t="s">
        <v>50</v>
      </c>
      <c r="K167" s="237" t="s">
        <v>670</v>
      </c>
      <c r="L167" s="248">
        <v>44488</v>
      </c>
      <c r="M167" s="249">
        <v>254545</v>
      </c>
      <c r="N167" s="237">
        <v>1</v>
      </c>
      <c r="O167" s="250">
        <f t="shared" si="7"/>
        <v>254545</v>
      </c>
      <c r="P167" s="250">
        <v>275000</v>
      </c>
      <c r="Q167" s="250">
        <f t="shared" si="8"/>
        <v>275000</v>
      </c>
    </row>
    <row r="168" spans="2:17">
      <c r="B168" s="200">
        <v>165</v>
      </c>
      <c r="C168" s="237" t="s">
        <v>671</v>
      </c>
      <c r="D168" s="238" t="s">
        <v>672</v>
      </c>
      <c r="E168" s="239" t="s">
        <v>9</v>
      </c>
      <c r="F168" s="240" t="s">
        <v>673</v>
      </c>
      <c r="G168" s="237"/>
      <c r="H168" s="237" t="s">
        <v>674</v>
      </c>
      <c r="I168" s="237"/>
      <c r="J168" s="240" t="s">
        <v>50</v>
      </c>
      <c r="K168" s="237" t="s">
        <v>675</v>
      </c>
      <c r="L168" s="248">
        <v>44490</v>
      </c>
      <c r="M168" s="249">
        <v>254545</v>
      </c>
      <c r="N168" s="237">
        <v>1</v>
      </c>
      <c r="O168" s="250">
        <f t="shared" si="7"/>
        <v>254545</v>
      </c>
      <c r="P168" s="250">
        <v>275000</v>
      </c>
      <c r="Q168" s="250">
        <f t="shared" si="8"/>
        <v>275000</v>
      </c>
    </row>
    <row r="169" spans="2:17">
      <c r="B169" s="200">
        <v>166</v>
      </c>
      <c r="C169" s="237" t="s">
        <v>676</v>
      </c>
      <c r="D169" s="238" t="s">
        <v>672</v>
      </c>
      <c r="E169" s="239" t="s">
        <v>9</v>
      </c>
      <c r="F169" s="240" t="s">
        <v>206</v>
      </c>
      <c r="G169" s="237"/>
      <c r="H169" s="237" t="s">
        <v>674</v>
      </c>
      <c r="I169" s="237"/>
      <c r="J169" s="240" t="s">
        <v>50</v>
      </c>
      <c r="K169" s="237" t="s">
        <v>677</v>
      </c>
      <c r="L169" s="248">
        <v>44490</v>
      </c>
      <c r="M169" s="249">
        <v>254545</v>
      </c>
      <c r="N169" s="237">
        <v>2</v>
      </c>
      <c r="O169" s="250">
        <f t="shared" si="7"/>
        <v>509090</v>
      </c>
      <c r="P169" s="250">
        <v>275000</v>
      </c>
      <c r="Q169" s="250">
        <f t="shared" si="8"/>
        <v>550000</v>
      </c>
    </row>
    <row r="170" spans="2:17">
      <c r="B170" s="200">
        <v>167</v>
      </c>
      <c r="C170" s="237" t="s">
        <v>678</v>
      </c>
      <c r="D170" s="238" t="s">
        <v>672</v>
      </c>
      <c r="E170" s="239" t="s">
        <v>9</v>
      </c>
      <c r="F170" s="240" t="s">
        <v>679</v>
      </c>
      <c r="G170" s="237"/>
      <c r="H170" s="237" t="s">
        <v>680</v>
      </c>
      <c r="I170" s="237"/>
      <c r="J170" s="240" t="s">
        <v>50</v>
      </c>
      <c r="K170" s="237" t="s">
        <v>681</v>
      </c>
      <c r="L170" s="248">
        <v>44490</v>
      </c>
      <c r="M170" s="249">
        <v>254545</v>
      </c>
      <c r="N170" s="237">
        <v>1</v>
      </c>
      <c r="O170" s="250">
        <f t="shared" si="7"/>
        <v>254545</v>
      </c>
      <c r="P170" s="250">
        <v>275000</v>
      </c>
      <c r="Q170" s="250">
        <f t="shared" si="8"/>
        <v>275000</v>
      </c>
    </row>
    <row r="171" spans="2:17">
      <c r="B171" s="200">
        <v>168</v>
      </c>
      <c r="C171" s="237" t="s">
        <v>682</v>
      </c>
      <c r="D171" s="238" t="s">
        <v>683</v>
      </c>
      <c r="E171" s="239" t="s">
        <v>9</v>
      </c>
      <c r="F171" s="240" t="s">
        <v>684</v>
      </c>
      <c r="G171" s="237"/>
      <c r="H171" s="237" t="s">
        <v>685</v>
      </c>
      <c r="I171" s="237"/>
      <c r="J171" s="240" t="s">
        <v>50</v>
      </c>
      <c r="K171" s="237" t="s">
        <v>686</v>
      </c>
      <c r="L171" s="248">
        <v>44497</v>
      </c>
      <c r="M171" s="249">
        <v>254545</v>
      </c>
      <c r="N171" s="237">
        <v>1</v>
      </c>
      <c r="O171" s="250">
        <f t="shared" si="7"/>
        <v>254545</v>
      </c>
      <c r="P171" s="250">
        <v>275000</v>
      </c>
      <c r="Q171" s="250">
        <f t="shared" si="8"/>
        <v>275000</v>
      </c>
    </row>
    <row r="172" spans="2:17">
      <c r="B172" s="200">
        <v>169</v>
      </c>
      <c r="C172" s="237" t="s">
        <v>687</v>
      </c>
      <c r="D172" s="238" t="s">
        <v>683</v>
      </c>
      <c r="E172" s="239" t="s">
        <v>9</v>
      </c>
      <c r="F172" s="240" t="s">
        <v>238</v>
      </c>
      <c r="G172" s="237"/>
      <c r="H172" s="237" t="s">
        <v>688</v>
      </c>
      <c r="I172" s="237"/>
      <c r="J172" s="240" t="s">
        <v>50</v>
      </c>
      <c r="K172" s="237" t="s">
        <v>689</v>
      </c>
      <c r="L172" s="248">
        <v>44497</v>
      </c>
      <c r="M172" s="249">
        <v>254545</v>
      </c>
      <c r="N172" s="237">
        <v>1</v>
      </c>
      <c r="O172" s="250">
        <f t="shared" si="7"/>
        <v>254545</v>
      </c>
      <c r="P172" s="250">
        <v>275000</v>
      </c>
      <c r="Q172" s="250">
        <f t="shared" si="8"/>
        <v>275000</v>
      </c>
    </row>
    <row r="173" spans="2:17">
      <c r="B173" s="200">
        <v>170</v>
      </c>
      <c r="C173" s="241" t="s">
        <v>690</v>
      </c>
      <c r="D173" s="242" t="s">
        <v>691</v>
      </c>
      <c r="E173" s="243" t="s">
        <v>9</v>
      </c>
      <c r="F173" s="244" t="s">
        <v>692</v>
      </c>
      <c r="G173" s="241"/>
      <c r="H173" s="241" t="s">
        <v>693</v>
      </c>
      <c r="I173" s="241"/>
      <c r="J173" s="244" t="s">
        <v>50</v>
      </c>
      <c r="K173" s="241" t="s">
        <v>694</v>
      </c>
      <c r="L173" s="251">
        <v>44508</v>
      </c>
      <c r="M173" s="252">
        <v>254545</v>
      </c>
      <c r="N173" s="241">
        <v>3</v>
      </c>
      <c r="O173" s="253">
        <f t="shared" si="7"/>
        <v>763635</v>
      </c>
      <c r="P173" s="253">
        <v>275000</v>
      </c>
      <c r="Q173" s="253">
        <f t="shared" si="8"/>
        <v>825000</v>
      </c>
    </row>
    <row r="174" spans="2:17">
      <c r="B174" s="200">
        <v>171</v>
      </c>
      <c r="C174" s="241" t="s">
        <v>695</v>
      </c>
      <c r="D174" s="242" t="s">
        <v>696</v>
      </c>
      <c r="E174" s="243" t="s">
        <v>9</v>
      </c>
      <c r="F174" s="244" t="s">
        <v>697</v>
      </c>
      <c r="G174" s="241"/>
      <c r="H174" s="241" t="s">
        <v>693</v>
      </c>
      <c r="I174" s="241"/>
      <c r="J174" s="244" t="s">
        <v>50</v>
      </c>
      <c r="K174" s="241" t="s">
        <v>698</v>
      </c>
      <c r="L174" s="251">
        <v>44508</v>
      </c>
      <c r="M174" s="252">
        <v>254545</v>
      </c>
      <c r="N174" s="241">
        <v>2</v>
      </c>
      <c r="O174" s="253">
        <f t="shared" si="7"/>
        <v>509090</v>
      </c>
      <c r="P174" s="253">
        <v>275000</v>
      </c>
      <c r="Q174" s="253">
        <f t="shared" si="8"/>
        <v>550000</v>
      </c>
    </row>
    <row r="175" spans="2:17">
      <c r="B175" s="200">
        <v>172</v>
      </c>
      <c r="C175" s="241" t="s">
        <v>699</v>
      </c>
      <c r="D175" s="242" t="s">
        <v>700</v>
      </c>
      <c r="E175" s="243" t="s">
        <v>9</v>
      </c>
      <c r="F175" s="244" t="s">
        <v>701</v>
      </c>
      <c r="G175" s="241"/>
      <c r="H175" s="241" t="s">
        <v>688</v>
      </c>
      <c r="I175" s="241"/>
      <c r="J175" s="244" t="s">
        <v>50</v>
      </c>
      <c r="K175" s="241" t="s">
        <v>702</v>
      </c>
      <c r="L175" s="251">
        <v>44509</v>
      </c>
      <c r="M175" s="252">
        <v>254545</v>
      </c>
      <c r="N175" s="241">
        <v>1</v>
      </c>
      <c r="O175" s="253">
        <f t="shared" si="7"/>
        <v>254545</v>
      </c>
      <c r="P175" s="253">
        <v>275000</v>
      </c>
      <c r="Q175" s="253">
        <f t="shared" si="8"/>
        <v>275000</v>
      </c>
    </row>
    <row r="176" spans="2:17">
      <c r="B176" s="200">
        <v>173</v>
      </c>
      <c r="C176" s="241" t="s">
        <v>703</v>
      </c>
      <c r="D176" s="242" t="s">
        <v>704</v>
      </c>
      <c r="E176" s="243" t="s">
        <v>9</v>
      </c>
      <c r="F176" s="244" t="s">
        <v>705</v>
      </c>
      <c r="G176" s="241"/>
      <c r="H176" s="241" t="s">
        <v>706</v>
      </c>
      <c r="I176" s="241"/>
      <c r="J176" s="244" t="s">
        <v>50</v>
      </c>
      <c r="K176" s="241" t="s">
        <v>707</v>
      </c>
      <c r="L176" s="251">
        <v>44510</v>
      </c>
      <c r="M176" s="252">
        <v>254545</v>
      </c>
      <c r="N176" s="241">
        <v>3</v>
      </c>
      <c r="O176" s="253">
        <f t="shared" si="7"/>
        <v>763635</v>
      </c>
      <c r="P176" s="253">
        <v>275000</v>
      </c>
      <c r="Q176" s="253">
        <f t="shared" si="8"/>
        <v>825000</v>
      </c>
    </row>
    <row r="177" spans="2:17">
      <c r="B177" s="200">
        <v>174</v>
      </c>
      <c r="C177" s="241" t="s">
        <v>708</v>
      </c>
      <c r="D177" s="242" t="s">
        <v>709</v>
      </c>
      <c r="E177" s="243" t="s">
        <v>9</v>
      </c>
      <c r="F177" s="244" t="s">
        <v>72</v>
      </c>
      <c r="G177" s="241"/>
      <c r="H177" s="241" t="s">
        <v>710</v>
      </c>
      <c r="I177" s="241"/>
      <c r="J177" s="244" t="s">
        <v>50</v>
      </c>
      <c r="K177" s="241" t="s">
        <v>711</v>
      </c>
      <c r="L177" s="251">
        <v>44515</v>
      </c>
      <c r="M177" s="252">
        <v>254545</v>
      </c>
      <c r="N177" s="241">
        <v>1</v>
      </c>
      <c r="O177" s="253">
        <f t="shared" si="7"/>
        <v>254545</v>
      </c>
      <c r="P177" s="253">
        <v>275000</v>
      </c>
      <c r="Q177" s="253">
        <f t="shared" si="8"/>
        <v>275000</v>
      </c>
    </row>
    <row r="178" spans="2:17">
      <c r="B178" s="200">
        <v>175</v>
      </c>
      <c r="C178" s="241" t="s">
        <v>712</v>
      </c>
      <c r="D178" s="242" t="s">
        <v>713</v>
      </c>
      <c r="E178" s="243" t="s">
        <v>7</v>
      </c>
      <c r="F178" s="244" t="s">
        <v>83</v>
      </c>
      <c r="G178" s="241"/>
      <c r="H178" s="241" t="s">
        <v>714</v>
      </c>
      <c r="I178" s="241"/>
      <c r="J178" s="244" t="s">
        <v>85</v>
      </c>
      <c r="K178" s="241" t="s">
        <v>715</v>
      </c>
      <c r="L178" s="251">
        <v>44516</v>
      </c>
      <c r="M178" s="252">
        <v>222727</v>
      </c>
      <c r="N178" s="241">
        <v>154</v>
      </c>
      <c r="O178" s="253">
        <f t="shared" si="7"/>
        <v>34299958</v>
      </c>
      <c r="P178" s="253">
        <v>279090.90999999997</v>
      </c>
      <c r="Q178" s="253">
        <f t="shared" si="8"/>
        <v>42980000.139999993</v>
      </c>
    </row>
    <row r="179" spans="2:17">
      <c r="B179" s="200">
        <v>176</v>
      </c>
      <c r="C179" s="241" t="s">
        <v>716</v>
      </c>
      <c r="D179" s="242" t="s">
        <v>717</v>
      </c>
      <c r="E179" s="243" t="s">
        <v>9</v>
      </c>
      <c r="F179" s="244" t="s">
        <v>718</v>
      </c>
      <c r="G179" s="241"/>
      <c r="H179" s="241" t="s">
        <v>719</v>
      </c>
      <c r="I179" s="241"/>
      <c r="J179" s="244" t="s">
        <v>50</v>
      </c>
      <c r="K179" s="241" t="s">
        <v>720</v>
      </c>
      <c r="L179" s="251">
        <v>44515</v>
      </c>
      <c r="M179" s="252">
        <v>254545</v>
      </c>
      <c r="N179" s="241">
        <v>7</v>
      </c>
      <c r="O179" s="253">
        <f t="shared" si="7"/>
        <v>1781815</v>
      </c>
      <c r="P179" s="253">
        <v>275000</v>
      </c>
      <c r="Q179" s="253">
        <f t="shared" si="8"/>
        <v>1925000</v>
      </c>
    </row>
    <row r="180" spans="2:17">
      <c r="B180" s="200">
        <v>177</v>
      </c>
      <c r="C180" s="241" t="s">
        <v>721</v>
      </c>
      <c r="D180" s="242" t="s">
        <v>722</v>
      </c>
      <c r="E180" s="243" t="s">
        <v>9</v>
      </c>
      <c r="F180" s="244" t="s">
        <v>723</v>
      </c>
      <c r="G180" s="241"/>
      <c r="H180" s="241" t="s">
        <v>724</v>
      </c>
      <c r="I180" s="241"/>
      <c r="J180" s="244" t="s">
        <v>50</v>
      </c>
      <c r="K180" s="241" t="s">
        <v>725</v>
      </c>
      <c r="L180" s="251">
        <v>44517</v>
      </c>
      <c r="M180" s="252">
        <v>254545</v>
      </c>
      <c r="N180" s="241">
        <v>1</v>
      </c>
      <c r="O180" s="253">
        <f t="shared" si="7"/>
        <v>254545</v>
      </c>
      <c r="P180" s="253">
        <v>275000</v>
      </c>
      <c r="Q180" s="253">
        <f t="shared" si="8"/>
        <v>275000</v>
      </c>
    </row>
    <row r="181" spans="2:17">
      <c r="B181" s="200">
        <v>178</v>
      </c>
      <c r="C181" s="241" t="s">
        <v>726</v>
      </c>
      <c r="D181" s="242" t="s">
        <v>727</v>
      </c>
      <c r="E181" s="243" t="s">
        <v>9</v>
      </c>
      <c r="F181" s="244" t="s">
        <v>728</v>
      </c>
      <c r="G181" s="241"/>
      <c r="H181" s="241" t="s">
        <v>729</v>
      </c>
      <c r="I181" s="241"/>
      <c r="J181" s="244" t="s">
        <v>50</v>
      </c>
      <c r="K181" s="241" t="s">
        <v>730</v>
      </c>
      <c r="L181" s="251">
        <v>44522</v>
      </c>
      <c r="M181" s="252">
        <v>254545</v>
      </c>
      <c r="N181" s="241">
        <v>1</v>
      </c>
      <c r="O181" s="253">
        <f t="shared" si="7"/>
        <v>254545</v>
      </c>
      <c r="P181" s="253">
        <v>275000</v>
      </c>
      <c r="Q181" s="253">
        <f t="shared" si="8"/>
        <v>275000</v>
      </c>
    </row>
    <row r="182" spans="2:17">
      <c r="B182" s="200">
        <v>179</v>
      </c>
      <c r="C182" s="241" t="s">
        <v>731</v>
      </c>
      <c r="D182" s="242" t="s">
        <v>732</v>
      </c>
      <c r="E182" s="243" t="s">
        <v>10</v>
      </c>
      <c r="F182" s="244" t="s">
        <v>733</v>
      </c>
      <c r="G182" s="241"/>
      <c r="H182" s="241" t="s">
        <v>734</v>
      </c>
      <c r="I182" s="241"/>
      <c r="J182" s="244" t="s">
        <v>85</v>
      </c>
      <c r="K182" s="241" t="s">
        <v>735</v>
      </c>
      <c r="L182" s="251">
        <v>44522</v>
      </c>
      <c r="M182" s="252">
        <v>254545</v>
      </c>
      <c r="N182" s="241">
        <v>1</v>
      </c>
      <c r="O182" s="253">
        <f t="shared" si="7"/>
        <v>254545</v>
      </c>
      <c r="P182" s="253">
        <v>275000</v>
      </c>
      <c r="Q182" s="253">
        <f t="shared" si="8"/>
        <v>275000</v>
      </c>
    </row>
    <row r="183" spans="2:17">
      <c r="B183" s="200">
        <v>180</v>
      </c>
      <c r="C183" s="237" t="s">
        <v>736</v>
      </c>
      <c r="D183" s="238" t="s">
        <v>737</v>
      </c>
      <c r="E183" s="239" t="s">
        <v>9</v>
      </c>
      <c r="F183" s="240" t="s">
        <v>738</v>
      </c>
      <c r="G183" s="237"/>
      <c r="H183" s="254" t="s">
        <v>739</v>
      </c>
      <c r="I183" s="237"/>
      <c r="J183" s="240" t="s">
        <v>50</v>
      </c>
      <c r="K183" s="237" t="s">
        <v>740</v>
      </c>
      <c r="L183" s="248">
        <v>44543</v>
      </c>
      <c r="M183" s="249">
        <v>254545</v>
      </c>
      <c r="N183" s="237">
        <v>1</v>
      </c>
      <c r="O183" s="250">
        <f t="shared" si="7"/>
        <v>254545</v>
      </c>
      <c r="P183" s="250">
        <v>275000</v>
      </c>
      <c r="Q183" s="250">
        <f t="shared" si="8"/>
        <v>275000</v>
      </c>
    </row>
    <row r="184" spans="2:17">
      <c r="B184" s="200">
        <v>181</v>
      </c>
      <c r="C184" s="237" t="s">
        <v>741</v>
      </c>
      <c r="D184" s="238">
        <v>4800437545</v>
      </c>
      <c r="E184" s="239" t="s">
        <v>12</v>
      </c>
      <c r="F184" s="240" t="s">
        <v>742</v>
      </c>
      <c r="G184" s="237"/>
      <c r="H184" s="254" t="s">
        <v>743</v>
      </c>
      <c r="I184" s="237"/>
      <c r="J184" s="240" t="s">
        <v>92</v>
      </c>
      <c r="K184" s="237" t="s">
        <v>744</v>
      </c>
      <c r="L184" s="248">
        <v>44545</v>
      </c>
      <c r="M184" s="249">
        <v>32272.73</v>
      </c>
      <c r="N184" s="237">
        <v>292</v>
      </c>
      <c r="O184" s="250">
        <f t="shared" si="7"/>
        <v>9423637.1600000001</v>
      </c>
      <c r="P184" s="250">
        <v>35500</v>
      </c>
      <c r="Q184" s="250">
        <f t="shared" si="8"/>
        <v>10366000</v>
      </c>
    </row>
    <row r="185" spans="2:17">
      <c r="B185" s="200">
        <v>182</v>
      </c>
      <c r="C185" s="237" t="s">
        <v>745</v>
      </c>
      <c r="D185" s="238" t="s">
        <v>746</v>
      </c>
      <c r="E185" s="239" t="s">
        <v>9</v>
      </c>
      <c r="F185" s="240" t="s">
        <v>747</v>
      </c>
      <c r="G185" s="237"/>
      <c r="H185" s="237" t="s">
        <v>748</v>
      </c>
      <c r="I185" s="237"/>
      <c r="J185" s="240" t="s">
        <v>50</v>
      </c>
      <c r="K185" s="237" t="s">
        <v>749</v>
      </c>
      <c r="L185" s="248">
        <v>44551</v>
      </c>
      <c r="M185" s="249">
        <v>254545</v>
      </c>
      <c r="N185" s="237">
        <v>1</v>
      </c>
      <c r="O185" s="250">
        <f t="shared" si="7"/>
        <v>254545</v>
      </c>
      <c r="P185" s="250">
        <v>275000</v>
      </c>
      <c r="Q185" s="250">
        <f t="shared" si="8"/>
        <v>275000</v>
      </c>
    </row>
    <row r="186" spans="2:17">
      <c r="B186" s="200">
        <v>183</v>
      </c>
      <c r="C186" s="237" t="s">
        <v>750</v>
      </c>
      <c r="D186" s="238" t="s">
        <v>746</v>
      </c>
      <c r="E186" s="239" t="s">
        <v>9</v>
      </c>
      <c r="F186" s="240" t="s">
        <v>751</v>
      </c>
      <c r="G186" s="237"/>
      <c r="H186" s="237" t="s">
        <v>752</v>
      </c>
      <c r="I186" s="237"/>
      <c r="J186" s="240" t="s">
        <v>50</v>
      </c>
      <c r="K186" s="237" t="s">
        <v>753</v>
      </c>
      <c r="L186" s="248">
        <v>44551</v>
      </c>
      <c r="M186" s="249">
        <v>254545</v>
      </c>
      <c r="N186" s="237">
        <v>1</v>
      </c>
      <c r="O186" s="250">
        <f t="shared" si="7"/>
        <v>254545</v>
      </c>
      <c r="P186" s="250">
        <v>275000</v>
      </c>
      <c r="Q186" s="250">
        <f t="shared" si="8"/>
        <v>275000</v>
      </c>
    </row>
    <row r="187" spans="2:17">
      <c r="B187" s="200">
        <v>184</v>
      </c>
      <c r="C187" s="237" t="s">
        <v>754</v>
      </c>
      <c r="D187" s="238" t="s">
        <v>746</v>
      </c>
      <c r="E187" s="239" t="s">
        <v>9</v>
      </c>
      <c r="F187" s="240" t="s">
        <v>679</v>
      </c>
      <c r="G187" s="237"/>
      <c r="H187" s="237" t="s">
        <v>755</v>
      </c>
      <c r="I187" s="237"/>
      <c r="J187" s="240" t="s">
        <v>50</v>
      </c>
      <c r="K187" s="237" t="s">
        <v>756</v>
      </c>
      <c r="L187" s="248">
        <v>44551</v>
      </c>
      <c r="M187" s="249">
        <v>254545</v>
      </c>
      <c r="N187" s="237">
        <v>1</v>
      </c>
      <c r="O187" s="250">
        <f t="shared" si="7"/>
        <v>254545</v>
      </c>
      <c r="P187" s="250">
        <v>275000</v>
      </c>
      <c r="Q187" s="250">
        <f t="shared" si="8"/>
        <v>275000</v>
      </c>
    </row>
    <row r="188" spans="2:17">
      <c r="B188" s="200">
        <v>185</v>
      </c>
      <c r="C188" s="237" t="s">
        <v>757</v>
      </c>
      <c r="D188" s="238" t="s">
        <v>746</v>
      </c>
      <c r="E188" s="239" t="s">
        <v>9</v>
      </c>
      <c r="F188" s="240" t="s">
        <v>758</v>
      </c>
      <c r="G188" s="237"/>
      <c r="H188" s="237" t="s">
        <v>755</v>
      </c>
      <c r="I188" s="237"/>
      <c r="J188" s="240" t="s">
        <v>50</v>
      </c>
      <c r="K188" s="237" t="s">
        <v>759</v>
      </c>
      <c r="L188" s="248">
        <v>44551</v>
      </c>
      <c r="M188" s="249">
        <v>254545</v>
      </c>
      <c r="N188" s="237">
        <v>1</v>
      </c>
      <c r="O188" s="250">
        <f t="shared" si="7"/>
        <v>254545</v>
      </c>
      <c r="P188" s="250">
        <v>275000</v>
      </c>
      <c r="Q188" s="250">
        <f t="shared" si="8"/>
        <v>275000</v>
      </c>
    </row>
    <row r="189" spans="2:17">
      <c r="B189" s="200">
        <v>186</v>
      </c>
      <c r="C189" s="237" t="s">
        <v>760</v>
      </c>
      <c r="D189" s="238" t="s">
        <v>746</v>
      </c>
      <c r="E189" s="239" t="s">
        <v>9</v>
      </c>
      <c r="F189" s="240" t="s">
        <v>761</v>
      </c>
      <c r="G189" s="237"/>
      <c r="H189" s="237" t="s">
        <v>755</v>
      </c>
      <c r="I189" s="237"/>
      <c r="J189" s="240" t="s">
        <v>50</v>
      </c>
      <c r="K189" s="237" t="s">
        <v>762</v>
      </c>
      <c r="L189" s="248">
        <v>44551</v>
      </c>
      <c r="M189" s="249">
        <v>254545</v>
      </c>
      <c r="N189" s="237">
        <v>6</v>
      </c>
      <c r="O189" s="250">
        <f t="shared" ref="O189:O195" si="9">N189*M189</f>
        <v>1527270</v>
      </c>
      <c r="P189" s="250">
        <v>275000</v>
      </c>
      <c r="Q189" s="250">
        <f t="shared" si="8"/>
        <v>1650000</v>
      </c>
    </row>
    <row r="190" spans="2:17">
      <c r="B190" s="200">
        <v>187</v>
      </c>
      <c r="C190" s="237" t="s">
        <v>763</v>
      </c>
      <c r="D190" s="238" t="s">
        <v>764</v>
      </c>
      <c r="E190" s="239" t="s">
        <v>9</v>
      </c>
      <c r="F190" s="240" t="s">
        <v>765</v>
      </c>
      <c r="G190" s="237"/>
      <c r="H190" s="237" t="s">
        <v>766</v>
      </c>
      <c r="I190" s="237"/>
      <c r="J190" s="240" t="s">
        <v>50</v>
      </c>
      <c r="K190" s="237" t="s">
        <v>767</v>
      </c>
      <c r="L190" s="248">
        <v>44553</v>
      </c>
      <c r="M190" s="249">
        <v>254545</v>
      </c>
      <c r="N190" s="237">
        <v>1</v>
      </c>
      <c r="O190" s="250">
        <f t="shared" si="9"/>
        <v>254545</v>
      </c>
      <c r="P190" s="250">
        <v>275000</v>
      </c>
      <c r="Q190" s="250">
        <f t="shared" si="8"/>
        <v>275000</v>
      </c>
    </row>
    <row r="191" spans="2:17">
      <c r="B191" s="200">
        <v>188</v>
      </c>
      <c r="C191" s="237" t="s">
        <v>768</v>
      </c>
      <c r="D191" s="238" t="s">
        <v>769</v>
      </c>
      <c r="E191" s="239" t="s">
        <v>9</v>
      </c>
      <c r="F191" s="240" t="s">
        <v>770</v>
      </c>
      <c r="G191" s="237"/>
      <c r="H191" s="237" t="s">
        <v>771</v>
      </c>
      <c r="I191" s="237"/>
      <c r="J191" s="240" t="s">
        <v>50</v>
      </c>
      <c r="K191" s="237" t="s">
        <v>772</v>
      </c>
      <c r="L191" s="248">
        <v>44559</v>
      </c>
      <c r="M191" s="249">
        <v>254545</v>
      </c>
      <c r="N191" s="237">
        <v>5</v>
      </c>
      <c r="O191" s="250">
        <f t="shared" si="9"/>
        <v>1272725</v>
      </c>
      <c r="P191" s="250">
        <v>275000</v>
      </c>
      <c r="Q191" s="250">
        <f t="shared" si="8"/>
        <v>1375000</v>
      </c>
    </row>
    <row r="192" spans="2:17">
      <c r="B192" s="200">
        <v>189</v>
      </c>
      <c r="C192" s="237" t="s">
        <v>773</v>
      </c>
      <c r="D192" s="238" t="s">
        <v>774</v>
      </c>
      <c r="E192" s="239" t="s">
        <v>9</v>
      </c>
      <c r="F192" s="240" t="s">
        <v>775</v>
      </c>
      <c r="G192" s="237"/>
      <c r="H192" s="237" t="s">
        <v>776</v>
      </c>
      <c r="I192" s="237"/>
      <c r="J192" s="240" t="s">
        <v>50</v>
      </c>
      <c r="K192" s="237" t="s">
        <v>777</v>
      </c>
      <c r="L192" s="248">
        <v>44561</v>
      </c>
      <c r="M192" s="249">
        <v>254545</v>
      </c>
      <c r="N192" s="237">
        <v>1</v>
      </c>
      <c r="O192" s="250">
        <f t="shared" si="9"/>
        <v>254545</v>
      </c>
      <c r="P192" s="250">
        <v>275000</v>
      </c>
      <c r="Q192" s="250">
        <f t="shared" si="8"/>
        <v>275000</v>
      </c>
    </row>
    <row r="193" spans="2:17">
      <c r="B193" s="200">
        <v>190</v>
      </c>
      <c r="C193" s="237" t="s">
        <v>778</v>
      </c>
      <c r="D193" s="238" t="s">
        <v>779</v>
      </c>
      <c r="E193" s="239" t="s">
        <v>9</v>
      </c>
      <c r="F193" s="240" t="s">
        <v>780</v>
      </c>
      <c r="G193" s="237"/>
      <c r="H193" s="237" t="s">
        <v>776</v>
      </c>
      <c r="I193" s="237"/>
      <c r="J193" s="240" t="s">
        <v>50</v>
      </c>
      <c r="K193" s="237" t="s">
        <v>781</v>
      </c>
      <c r="L193" s="248">
        <v>44554</v>
      </c>
      <c r="M193" s="249">
        <v>254545</v>
      </c>
      <c r="N193" s="237">
        <v>5</v>
      </c>
      <c r="O193" s="250">
        <f t="shared" si="9"/>
        <v>1272725</v>
      </c>
      <c r="P193" s="250">
        <v>275000</v>
      </c>
      <c r="Q193" s="250">
        <f t="shared" si="8"/>
        <v>1375000</v>
      </c>
    </row>
    <row r="194" spans="2:17">
      <c r="B194" s="200">
        <v>191</v>
      </c>
      <c r="C194" s="237" t="s">
        <v>782</v>
      </c>
      <c r="D194" s="238" t="s">
        <v>779</v>
      </c>
      <c r="E194" s="239" t="s">
        <v>9</v>
      </c>
      <c r="F194" s="240" t="s">
        <v>349</v>
      </c>
      <c r="G194" s="237"/>
      <c r="H194" s="237" t="s">
        <v>783</v>
      </c>
      <c r="I194" s="237"/>
      <c r="J194" s="240" t="s">
        <v>50</v>
      </c>
      <c r="K194" s="237" t="s">
        <v>784</v>
      </c>
      <c r="L194" s="248">
        <v>44554</v>
      </c>
      <c r="M194" s="249">
        <v>254545</v>
      </c>
      <c r="N194" s="237">
        <v>3</v>
      </c>
      <c r="O194" s="250">
        <f t="shared" si="9"/>
        <v>763635</v>
      </c>
      <c r="P194" s="250">
        <v>275000</v>
      </c>
      <c r="Q194" s="250">
        <f t="shared" si="8"/>
        <v>825000</v>
      </c>
    </row>
    <row r="195" spans="2:17">
      <c r="B195" s="200">
        <v>192</v>
      </c>
      <c r="C195" s="237" t="s">
        <v>785</v>
      </c>
      <c r="D195" s="238" t="s">
        <v>779</v>
      </c>
      <c r="E195" s="239" t="s">
        <v>9</v>
      </c>
      <c r="F195" s="240" t="s">
        <v>786</v>
      </c>
      <c r="G195" s="237"/>
      <c r="H195" s="237" t="s">
        <v>776</v>
      </c>
      <c r="I195" s="237"/>
      <c r="J195" s="240" t="s">
        <v>50</v>
      </c>
      <c r="K195" s="237" t="s">
        <v>787</v>
      </c>
      <c r="L195" s="248">
        <v>44554</v>
      </c>
      <c r="M195" s="249">
        <v>254545</v>
      </c>
      <c r="N195" s="237">
        <v>8</v>
      </c>
      <c r="O195" s="250">
        <f t="shared" si="9"/>
        <v>2036360</v>
      </c>
      <c r="P195" s="250">
        <v>275000</v>
      </c>
      <c r="Q195" s="250">
        <f t="shared" si="8"/>
        <v>2200000</v>
      </c>
    </row>
    <row r="196" spans="2:17">
      <c r="B196" s="200">
        <v>193</v>
      </c>
      <c r="C196" s="237" t="s">
        <v>788</v>
      </c>
      <c r="D196" s="238">
        <v>80942</v>
      </c>
      <c r="E196" s="255" t="s">
        <v>17</v>
      </c>
      <c r="F196" s="255" t="s">
        <v>88</v>
      </c>
      <c r="G196" s="256"/>
      <c r="H196" s="256" t="s">
        <v>789</v>
      </c>
      <c r="I196" s="256"/>
      <c r="J196" s="255" t="s">
        <v>85</v>
      </c>
      <c r="K196" s="256" t="s">
        <v>90</v>
      </c>
      <c r="L196" s="248">
        <v>44557</v>
      </c>
      <c r="M196" s="257">
        <v>222727</v>
      </c>
      <c r="N196" s="258">
        <v>49</v>
      </c>
      <c r="O196" s="257">
        <f t="shared" ref="O196:O197" si="10">SUM(M196*N196)</f>
        <v>10913623</v>
      </c>
      <c r="P196" s="258">
        <v>279090.90999999997</v>
      </c>
      <c r="Q196" s="258">
        <f t="shared" si="8"/>
        <v>13675454.589999998</v>
      </c>
    </row>
    <row r="197" spans="2:17">
      <c r="B197" s="200">
        <v>194</v>
      </c>
      <c r="C197" s="237" t="s">
        <v>790</v>
      </c>
      <c r="D197" s="238">
        <v>80942</v>
      </c>
      <c r="E197" s="255" t="s">
        <v>17</v>
      </c>
      <c r="F197" s="255" t="s">
        <v>88</v>
      </c>
      <c r="G197" s="256"/>
      <c r="H197" s="256" t="s">
        <v>789</v>
      </c>
      <c r="I197" s="256"/>
      <c r="J197" s="255" t="s">
        <v>92</v>
      </c>
      <c r="K197" s="256" t="s">
        <v>93</v>
      </c>
      <c r="L197" s="248">
        <v>44557</v>
      </c>
      <c r="M197" s="257">
        <v>46364</v>
      </c>
      <c r="N197" s="258">
        <v>49</v>
      </c>
      <c r="O197" s="257">
        <f t="shared" si="10"/>
        <v>2271836</v>
      </c>
      <c r="P197" s="258">
        <v>58181.82</v>
      </c>
      <c r="Q197" s="258">
        <f t="shared" si="8"/>
        <v>2850909.18</v>
      </c>
    </row>
    <row r="198" spans="2:17">
      <c r="B198" s="200">
        <v>195</v>
      </c>
      <c r="C198" s="237" t="s">
        <v>791</v>
      </c>
      <c r="D198" s="238">
        <v>4800439628</v>
      </c>
      <c r="E198" s="239" t="s">
        <v>12</v>
      </c>
      <c r="F198" s="240" t="s">
        <v>466</v>
      </c>
      <c r="G198" s="237"/>
      <c r="H198" s="237" t="s">
        <v>792</v>
      </c>
      <c r="I198" s="237"/>
      <c r="J198" s="240" t="s">
        <v>85</v>
      </c>
      <c r="K198" s="237" t="s">
        <v>793</v>
      </c>
      <c r="L198" s="248">
        <v>44559</v>
      </c>
      <c r="M198" s="249">
        <v>222727</v>
      </c>
      <c r="N198" s="237">
        <v>50</v>
      </c>
      <c r="O198" s="257">
        <f t="shared" ref="O198" si="11">SUM(M198*N198)</f>
        <v>11136350</v>
      </c>
      <c r="P198" s="258">
        <v>265136</v>
      </c>
      <c r="Q198" s="258">
        <f t="shared" si="8"/>
        <v>13256800</v>
      </c>
    </row>
    <row r="199" spans="2:17">
      <c r="B199" s="200">
        <v>196</v>
      </c>
      <c r="C199" s="237" t="s">
        <v>794</v>
      </c>
      <c r="D199" s="238" t="s">
        <v>795</v>
      </c>
      <c r="E199" s="239" t="s">
        <v>9</v>
      </c>
      <c r="F199" s="240" t="s">
        <v>796</v>
      </c>
      <c r="G199" s="237"/>
      <c r="H199" s="237" t="s">
        <v>797</v>
      </c>
      <c r="I199" s="237"/>
      <c r="J199" s="240" t="s">
        <v>50</v>
      </c>
      <c r="K199" s="237" t="s">
        <v>798</v>
      </c>
      <c r="L199" s="248">
        <v>44561</v>
      </c>
      <c r="M199" s="249">
        <v>254545</v>
      </c>
      <c r="N199" s="237">
        <v>1</v>
      </c>
      <c r="O199" s="250">
        <f t="shared" ref="O199:O200" si="12">N199*M199</f>
        <v>254545</v>
      </c>
      <c r="P199" s="250">
        <v>275000</v>
      </c>
      <c r="Q199" s="250">
        <f t="shared" si="8"/>
        <v>275000</v>
      </c>
    </row>
    <row r="200" spans="2:17">
      <c r="B200" s="200">
        <v>197</v>
      </c>
      <c r="C200" s="237" t="s">
        <v>799</v>
      </c>
      <c r="D200" s="238" t="s">
        <v>795</v>
      </c>
      <c r="E200" s="239" t="s">
        <v>9</v>
      </c>
      <c r="F200" s="240" t="s">
        <v>800</v>
      </c>
      <c r="G200" s="237"/>
      <c r="H200" s="237" t="s">
        <v>801</v>
      </c>
      <c r="I200" s="237"/>
      <c r="J200" s="240" t="s">
        <v>50</v>
      </c>
      <c r="K200" s="237" t="s">
        <v>802</v>
      </c>
      <c r="L200" s="248">
        <v>44561</v>
      </c>
      <c r="M200" s="249">
        <v>254545</v>
      </c>
      <c r="N200" s="237">
        <v>1</v>
      </c>
      <c r="O200" s="250">
        <f t="shared" si="12"/>
        <v>254545</v>
      </c>
      <c r="P200" s="250">
        <v>275000</v>
      </c>
      <c r="Q200" s="250">
        <f t="shared" si="8"/>
        <v>275000</v>
      </c>
    </row>
    <row r="201" spans="2:17">
      <c r="B201" s="200">
        <v>198</v>
      </c>
      <c r="C201" s="241" t="s">
        <v>803</v>
      </c>
      <c r="D201" s="242" t="s">
        <v>804</v>
      </c>
      <c r="E201" s="243" t="s">
        <v>9</v>
      </c>
      <c r="F201" s="244" t="s">
        <v>805</v>
      </c>
      <c r="G201" s="241"/>
      <c r="H201" s="241" t="s">
        <v>806</v>
      </c>
      <c r="I201" s="241"/>
      <c r="J201" s="244" t="s">
        <v>50</v>
      </c>
      <c r="K201" s="241" t="s">
        <v>807</v>
      </c>
      <c r="L201" s="251">
        <v>44564</v>
      </c>
      <c r="M201" s="252">
        <v>254545</v>
      </c>
      <c r="N201" s="241">
        <v>2</v>
      </c>
      <c r="O201" s="253">
        <f>M201*N201</f>
        <v>509090</v>
      </c>
      <c r="P201" s="253">
        <v>275000</v>
      </c>
      <c r="Q201" s="253">
        <f t="shared" si="8"/>
        <v>550000</v>
      </c>
    </row>
    <row r="202" spans="2:17">
      <c r="B202" s="200">
        <v>199</v>
      </c>
      <c r="C202" s="241" t="s">
        <v>808</v>
      </c>
      <c r="D202" s="242" t="s">
        <v>804</v>
      </c>
      <c r="E202" s="243" t="s">
        <v>9</v>
      </c>
      <c r="F202" s="244" t="s">
        <v>809</v>
      </c>
      <c r="G202" s="241"/>
      <c r="H202" s="241" t="s">
        <v>810</v>
      </c>
      <c r="I202" s="241"/>
      <c r="J202" s="244" t="s">
        <v>50</v>
      </c>
      <c r="K202" s="241" t="s">
        <v>811</v>
      </c>
      <c r="L202" s="251">
        <v>44564</v>
      </c>
      <c r="M202" s="252">
        <v>254545</v>
      </c>
      <c r="N202" s="241">
        <v>3</v>
      </c>
      <c r="O202" s="253">
        <f>M202*N202</f>
        <v>763635</v>
      </c>
      <c r="P202" s="253">
        <v>275001</v>
      </c>
      <c r="Q202" s="253">
        <f t="shared" si="8"/>
        <v>825003</v>
      </c>
    </row>
    <row r="203" spans="2:17">
      <c r="B203" s="200">
        <v>200</v>
      </c>
      <c r="C203" s="241" t="s">
        <v>812</v>
      </c>
      <c r="D203" s="242" t="s">
        <v>813</v>
      </c>
      <c r="E203" s="243" t="s">
        <v>10</v>
      </c>
      <c r="F203" s="244" t="s">
        <v>814</v>
      </c>
      <c r="G203" s="241" t="s">
        <v>815</v>
      </c>
      <c r="H203" s="241" t="s">
        <v>2</v>
      </c>
      <c r="I203" s="241"/>
      <c r="J203" s="244" t="s">
        <v>816</v>
      </c>
      <c r="K203" s="241" t="s">
        <v>817</v>
      </c>
      <c r="L203" s="251">
        <v>44568</v>
      </c>
      <c r="M203" s="252">
        <v>22727</v>
      </c>
      <c r="N203" s="241">
        <v>150</v>
      </c>
      <c r="O203" s="253">
        <f t="shared" ref="O203:O352" si="13">M203*N203</f>
        <v>3409050</v>
      </c>
      <c r="P203" s="253">
        <v>29090.91</v>
      </c>
      <c r="Q203" s="253">
        <f t="shared" ref="Q203:Q356" si="14">P203*N203</f>
        <v>4363636.5</v>
      </c>
    </row>
    <row r="204" spans="2:17">
      <c r="B204" s="200">
        <v>201</v>
      </c>
      <c r="C204" s="241" t="s">
        <v>818</v>
      </c>
      <c r="D204" s="242" t="s">
        <v>819</v>
      </c>
      <c r="E204" s="243" t="s">
        <v>9</v>
      </c>
      <c r="F204" s="244" t="s">
        <v>820</v>
      </c>
      <c r="G204" s="241"/>
      <c r="H204" s="241" t="s">
        <v>821</v>
      </c>
      <c r="I204" s="241"/>
      <c r="J204" s="244" t="s">
        <v>50</v>
      </c>
      <c r="K204" s="241" t="s">
        <v>822</v>
      </c>
      <c r="L204" s="251">
        <v>44567</v>
      </c>
      <c r="M204" s="252">
        <v>254545</v>
      </c>
      <c r="N204" s="241">
        <v>7</v>
      </c>
      <c r="O204" s="253">
        <f t="shared" si="13"/>
        <v>1781815</v>
      </c>
      <c r="P204" s="253">
        <v>275000</v>
      </c>
      <c r="Q204" s="253">
        <f t="shared" si="14"/>
        <v>1925000</v>
      </c>
    </row>
    <row r="205" spans="2:17">
      <c r="B205" s="200">
        <v>202</v>
      </c>
      <c r="C205" s="241" t="s">
        <v>823</v>
      </c>
      <c r="D205" s="242" t="s">
        <v>824</v>
      </c>
      <c r="E205" s="243" t="s">
        <v>9</v>
      </c>
      <c r="F205" s="244" t="s">
        <v>825</v>
      </c>
      <c r="G205" s="241"/>
      <c r="H205" s="241" t="s">
        <v>826</v>
      </c>
      <c r="I205" s="241"/>
      <c r="J205" s="244" t="s">
        <v>50</v>
      </c>
      <c r="K205" s="241" t="s">
        <v>827</v>
      </c>
      <c r="L205" s="251">
        <v>44568</v>
      </c>
      <c r="M205" s="252">
        <v>254545</v>
      </c>
      <c r="N205" s="241">
        <v>3</v>
      </c>
      <c r="O205" s="253">
        <f t="shared" si="13"/>
        <v>763635</v>
      </c>
      <c r="P205" s="253">
        <v>275000</v>
      </c>
      <c r="Q205" s="253">
        <f t="shared" si="14"/>
        <v>825000</v>
      </c>
    </row>
    <row r="206" spans="2:17">
      <c r="B206" s="200">
        <v>203</v>
      </c>
      <c r="C206" s="241" t="s">
        <v>828</v>
      </c>
      <c r="D206" s="242" t="s">
        <v>824</v>
      </c>
      <c r="E206" s="243" t="s">
        <v>9</v>
      </c>
      <c r="F206" s="244" t="s">
        <v>829</v>
      </c>
      <c r="G206" s="241"/>
      <c r="H206" s="241" t="s">
        <v>826</v>
      </c>
      <c r="I206" s="241"/>
      <c r="J206" s="244" t="s">
        <v>50</v>
      </c>
      <c r="K206" s="241" t="s">
        <v>830</v>
      </c>
      <c r="L206" s="251">
        <v>44568</v>
      </c>
      <c r="M206" s="252">
        <v>254545</v>
      </c>
      <c r="N206" s="241">
        <v>3</v>
      </c>
      <c r="O206" s="253">
        <f t="shared" si="13"/>
        <v>763635</v>
      </c>
      <c r="P206" s="253">
        <v>275000</v>
      </c>
      <c r="Q206" s="253">
        <f t="shared" si="14"/>
        <v>825000</v>
      </c>
    </row>
    <row r="207" spans="2:17">
      <c r="B207" s="200">
        <v>204</v>
      </c>
      <c r="C207" s="241" t="s">
        <v>831</v>
      </c>
      <c r="D207" s="242" t="s">
        <v>824</v>
      </c>
      <c r="E207" s="243" t="s">
        <v>9</v>
      </c>
      <c r="F207" s="244" t="s">
        <v>832</v>
      </c>
      <c r="G207" s="241"/>
      <c r="H207" s="241" t="s">
        <v>826</v>
      </c>
      <c r="I207" s="241"/>
      <c r="J207" s="244" t="s">
        <v>50</v>
      </c>
      <c r="K207" s="241" t="s">
        <v>833</v>
      </c>
      <c r="L207" s="251">
        <v>44568</v>
      </c>
      <c r="M207" s="252">
        <v>254545</v>
      </c>
      <c r="N207" s="241">
        <v>5</v>
      </c>
      <c r="O207" s="253">
        <f t="shared" si="13"/>
        <v>1272725</v>
      </c>
      <c r="P207" s="253">
        <v>275000</v>
      </c>
      <c r="Q207" s="253">
        <f t="shared" si="14"/>
        <v>1375000</v>
      </c>
    </row>
    <row r="208" spans="2:17">
      <c r="B208" s="200">
        <v>205</v>
      </c>
      <c r="C208" s="241" t="s">
        <v>834</v>
      </c>
      <c r="D208" s="242" t="s">
        <v>835</v>
      </c>
      <c r="E208" s="243" t="s">
        <v>9</v>
      </c>
      <c r="F208" s="244" t="s">
        <v>836</v>
      </c>
      <c r="G208" s="241"/>
      <c r="H208" s="241" t="s">
        <v>837</v>
      </c>
      <c r="I208" s="241"/>
      <c r="J208" s="244" t="s">
        <v>50</v>
      </c>
      <c r="K208" s="241" t="s">
        <v>838</v>
      </c>
      <c r="L208" s="251">
        <v>44572</v>
      </c>
      <c r="M208" s="252">
        <v>254545</v>
      </c>
      <c r="N208" s="241">
        <v>2</v>
      </c>
      <c r="O208" s="253">
        <f t="shared" si="13"/>
        <v>509090</v>
      </c>
      <c r="P208" s="253">
        <v>275000</v>
      </c>
      <c r="Q208" s="253">
        <f t="shared" si="14"/>
        <v>550000</v>
      </c>
    </row>
    <row r="209" spans="2:17">
      <c r="B209" s="200">
        <v>206</v>
      </c>
      <c r="C209" s="241" t="s">
        <v>839</v>
      </c>
      <c r="D209" s="242" t="s">
        <v>835</v>
      </c>
      <c r="E209" s="243" t="s">
        <v>9</v>
      </c>
      <c r="F209" s="244" t="s">
        <v>840</v>
      </c>
      <c r="G209" s="241"/>
      <c r="H209" s="241" t="s">
        <v>837</v>
      </c>
      <c r="I209" s="241"/>
      <c r="J209" s="244" t="s">
        <v>50</v>
      </c>
      <c r="K209" s="241" t="s">
        <v>841</v>
      </c>
      <c r="L209" s="251">
        <v>44572</v>
      </c>
      <c r="M209" s="252">
        <v>254545</v>
      </c>
      <c r="N209" s="241">
        <v>1</v>
      </c>
      <c r="O209" s="253">
        <f t="shared" si="13"/>
        <v>254545</v>
      </c>
      <c r="P209" s="253">
        <v>275000</v>
      </c>
      <c r="Q209" s="253">
        <f t="shared" si="14"/>
        <v>275000</v>
      </c>
    </row>
    <row r="210" spans="2:17">
      <c r="B210" s="200">
        <v>207</v>
      </c>
      <c r="C210" s="241" t="s">
        <v>842</v>
      </c>
      <c r="D210" s="242" t="s">
        <v>835</v>
      </c>
      <c r="E210" s="243" t="s">
        <v>9</v>
      </c>
      <c r="F210" s="244" t="s">
        <v>843</v>
      </c>
      <c r="G210" s="241"/>
      <c r="H210" s="241" t="s">
        <v>837</v>
      </c>
      <c r="I210" s="241"/>
      <c r="J210" s="244" t="s">
        <v>50</v>
      </c>
      <c r="K210" s="241" t="s">
        <v>844</v>
      </c>
      <c r="L210" s="251">
        <v>44572</v>
      </c>
      <c r="M210" s="252">
        <v>254545</v>
      </c>
      <c r="N210" s="241">
        <v>1</v>
      </c>
      <c r="O210" s="253">
        <f t="shared" si="13"/>
        <v>254545</v>
      </c>
      <c r="P210" s="253">
        <v>275000</v>
      </c>
      <c r="Q210" s="253">
        <f t="shared" si="14"/>
        <v>275000</v>
      </c>
    </row>
    <row r="211" spans="2:17">
      <c r="B211" s="200">
        <v>208</v>
      </c>
      <c r="C211" s="241" t="s">
        <v>845</v>
      </c>
      <c r="D211" s="242" t="s">
        <v>835</v>
      </c>
      <c r="E211" s="243" t="s">
        <v>9</v>
      </c>
      <c r="F211" s="244" t="s">
        <v>846</v>
      </c>
      <c r="G211" s="241"/>
      <c r="H211" s="241" t="s">
        <v>847</v>
      </c>
      <c r="I211" s="241"/>
      <c r="J211" s="244" t="s">
        <v>50</v>
      </c>
      <c r="K211" s="241" t="s">
        <v>848</v>
      </c>
      <c r="L211" s="251">
        <v>44572</v>
      </c>
      <c r="M211" s="252">
        <v>254545</v>
      </c>
      <c r="N211" s="241">
        <v>2</v>
      </c>
      <c r="O211" s="253">
        <f t="shared" si="13"/>
        <v>509090</v>
      </c>
      <c r="P211" s="253">
        <v>275000</v>
      </c>
      <c r="Q211" s="253">
        <f t="shared" si="14"/>
        <v>550000</v>
      </c>
    </row>
    <row r="212" spans="2:17">
      <c r="B212" s="200">
        <v>209</v>
      </c>
      <c r="C212" s="241" t="s">
        <v>849</v>
      </c>
      <c r="D212" s="242" t="s">
        <v>835</v>
      </c>
      <c r="E212" s="243" t="s">
        <v>9</v>
      </c>
      <c r="F212" s="244" t="s">
        <v>549</v>
      </c>
      <c r="G212" s="241"/>
      <c r="H212" s="241" t="s">
        <v>837</v>
      </c>
      <c r="I212" s="241"/>
      <c r="J212" s="244" t="s">
        <v>50</v>
      </c>
      <c r="K212" s="241" t="s">
        <v>850</v>
      </c>
      <c r="L212" s="251">
        <v>44572</v>
      </c>
      <c r="M212" s="252">
        <v>254545</v>
      </c>
      <c r="N212" s="241">
        <v>1</v>
      </c>
      <c r="O212" s="253">
        <f t="shared" si="13"/>
        <v>254545</v>
      </c>
      <c r="P212" s="253">
        <v>275000</v>
      </c>
      <c r="Q212" s="253">
        <f t="shared" si="14"/>
        <v>275000</v>
      </c>
    </row>
    <row r="213" spans="2:17">
      <c r="B213" s="200">
        <v>210</v>
      </c>
      <c r="C213" s="241" t="s">
        <v>851</v>
      </c>
      <c r="D213" s="242" t="s">
        <v>835</v>
      </c>
      <c r="E213" s="243" t="s">
        <v>9</v>
      </c>
      <c r="F213" s="244" t="s">
        <v>141</v>
      </c>
      <c r="G213" s="241"/>
      <c r="H213" s="241" t="s">
        <v>837</v>
      </c>
      <c r="I213" s="241"/>
      <c r="J213" s="244" t="s">
        <v>50</v>
      </c>
      <c r="K213" s="241" t="s">
        <v>852</v>
      </c>
      <c r="L213" s="251">
        <v>44572</v>
      </c>
      <c r="M213" s="252">
        <v>254545</v>
      </c>
      <c r="N213" s="241">
        <v>1</v>
      </c>
      <c r="O213" s="253">
        <f t="shared" si="13"/>
        <v>254545</v>
      </c>
      <c r="P213" s="253">
        <v>275000</v>
      </c>
      <c r="Q213" s="253">
        <f t="shared" si="14"/>
        <v>275000</v>
      </c>
    </row>
    <row r="214" spans="2:17">
      <c r="B214" s="200">
        <v>211</v>
      </c>
      <c r="C214" s="241" t="s">
        <v>853</v>
      </c>
      <c r="D214" s="242">
        <v>4800440725</v>
      </c>
      <c r="E214" s="243" t="s">
        <v>12</v>
      </c>
      <c r="F214" s="244" t="s">
        <v>466</v>
      </c>
      <c r="G214" s="241"/>
      <c r="H214" s="241" t="s">
        <v>854</v>
      </c>
      <c r="I214" s="241"/>
      <c r="J214" s="244" t="s">
        <v>85</v>
      </c>
      <c r="K214" s="241" t="s">
        <v>855</v>
      </c>
      <c r="L214" s="251">
        <v>44574</v>
      </c>
      <c r="M214" s="252">
        <v>222727</v>
      </c>
      <c r="N214" s="241">
        <v>60</v>
      </c>
      <c r="O214" s="253">
        <f t="shared" si="13"/>
        <v>13363620</v>
      </c>
      <c r="P214" s="253">
        <v>265136</v>
      </c>
      <c r="Q214" s="253">
        <f t="shared" si="14"/>
        <v>15908160</v>
      </c>
    </row>
    <row r="215" spans="2:17">
      <c r="B215" s="200">
        <v>212</v>
      </c>
      <c r="C215" s="241" t="s">
        <v>856</v>
      </c>
      <c r="D215" s="242" t="s">
        <v>857</v>
      </c>
      <c r="E215" s="243" t="s">
        <v>9</v>
      </c>
      <c r="F215" s="244" t="s">
        <v>858</v>
      </c>
      <c r="G215" s="241"/>
      <c r="H215" s="241" t="s">
        <v>859</v>
      </c>
      <c r="I215" s="241"/>
      <c r="J215" s="244" t="s">
        <v>50</v>
      </c>
      <c r="K215" s="241" t="s">
        <v>860</v>
      </c>
      <c r="L215" s="251">
        <v>44579</v>
      </c>
      <c r="M215" s="252">
        <v>254545</v>
      </c>
      <c r="N215" s="241">
        <v>4</v>
      </c>
      <c r="O215" s="253">
        <f t="shared" si="13"/>
        <v>1018180</v>
      </c>
      <c r="P215" s="253">
        <v>275000</v>
      </c>
      <c r="Q215" s="253">
        <f t="shared" si="14"/>
        <v>1100000</v>
      </c>
    </row>
    <row r="216" spans="2:17">
      <c r="B216" s="200">
        <v>213</v>
      </c>
      <c r="C216" s="241" t="s">
        <v>861</v>
      </c>
      <c r="D216" s="242" t="s">
        <v>857</v>
      </c>
      <c r="E216" s="243" t="s">
        <v>9</v>
      </c>
      <c r="F216" s="244" t="s">
        <v>862</v>
      </c>
      <c r="G216" s="241"/>
      <c r="H216" s="241" t="s">
        <v>863</v>
      </c>
      <c r="I216" s="241"/>
      <c r="J216" s="244" t="s">
        <v>50</v>
      </c>
      <c r="K216" s="241" t="s">
        <v>864</v>
      </c>
      <c r="L216" s="251">
        <v>44579</v>
      </c>
      <c r="M216" s="252">
        <v>254545</v>
      </c>
      <c r="N216" s="241">
        <v>3</v>
      </c>
      <c r="O216" s="253">
        <f t="shared" si="13"/>
        <v>763635</v>
      </c>
      <c r="P216" s="253">
        <v>275000</v>
      </c>
      <c r="Q216" s="253">
        <f t="shared" si="14"/>
        <v>825000</v>
      </c>
    </row>
    <row r="217" spans="2:17">
      <c r="B217" s="200">
        <v>214</v>
      </c>
      <c r="C217" s="241" t="s">
        <v>865</v>
      </c>
      <c r="D217" s="242" t="s">
        <v>857</v>
      </c>
      <c r="E217" s="243" t="s">
        <v>9</v>
      </c>
      <c r="F217" s="244" t="s">
        <v>866</v>
      </c>
      <c r="G217" s="241"/>
      <c r="H217" s="241" t="s">
        <v>837</v>
      </c>
      <c r="I217" s="241"/>
      <c r="J217" s="244" t="s">
        <v>50</v>
      </c>
      <c r="K217" s="241" t="s">
        <v>867</v>
      </c>
      <c r="L217" s="251">
        <v>44579</v>
      </c>
      <c r="M217" s="252">
        <v>254545</v>
      </c>
      <c r="N217" s="241">
        <v>2</v>
      </c>
      <c r="O217" s="253">
        <f t="shared" si="13"/>
        <v>509090</v>
      </c>
      <c r="P217" s="253">
        <v>275000</v>
      </c>
      <c r="Q217" s="253">
        <f t="shared" si="14"/>
        <v>550000</v>
      </c>
    </row>
    <row r="218" spans="2:17">
      <c r="B218" s="200">
        <v>215</v>
      </c>
      <c r="C218" s="241" t="s">
        <v>868</v>
      </c>
      <c r="D218" s="242" t="s">
        <v>869</v>
      </c>
      <c r="E218" s="243" t="s">
        <v>9</v>
      </c>
      <c r="F218" s="244" t="s">
        <v>870</v>
      </c>
      <c r="G218" s="241"/>
      <c r="H218" s="241" t="s">
        <v>871</v>
      </c>
      <c r="I218" s="241"/>
      <c r="J218" s="244" t="s">
        <v>50</v>
      </c>
      <c r="K218" s="241" t="s">
        <v>872</v>
      </c>
      <c r="L218" s="251">
        <v>44579</v>
      </c>
      <c r="M218" s="252">
        <v>254545</v>
      </c>
      <c r="N218" s="241">
        <v>1</v>
      </c>
      <c r="O218" s="253">
        <f t="shared" si="13"/>
        <v>254545</v>
      </c>
      <c r="P218" s="253">
        <v>275000</v>
      </c>
      <c r="Q218" s="253">
        <f t="shared" si="14"/>
        <v>275000</v>
      </c>
    </row>
    <row r="219" spans="2:17">
      <c r="B219" s="200">
        <v>216</v>
      </c>
      <c r="C219" s="241" t="s">
        <v>873</v>
      </c>
      <c r="D219" s="242" t="s">
        <v>874</v>
      </c>
      <c r="E219" s="243" t="s">
        <v>9</v>
      </c>
      <c r="F219" s="244" t="s">
        <v>875</v>
      </c>
      <c r="G219" s="241"/>
      <c r="H219" s="241" t="s">
        <v>876</v>
      </c>
      <c r="I219" s="241"/>
      <c r="J219" s="244" t="s">
        <v>50</v>
      </c>
      <c r="K219" s="241" t="s">
        <v>877</v>
      </c>
      <c r="L219" s="251">
        <v>44580</v>
      </c>
      <c r="M219" s="252">
        <v>254545</v>
      </c>
      <c r="N219" s="241">
        <v>140</v>
      </c>
      <c r="O219" s="253">
        <f t="shared" si="13"/>
        <v>35636300</v>
      </c>
      <c r="P219" s="253">
        <v>275000</v>
      </c>
      <c r="Q219" s="253">
        <f t="shared" si="14"/>
        <v>38500000</v>
      </c>
    </row>
    <row r="220" spans="2:17">
      <c r="B220" s="200">
        <v>217</v>
      </c>
      <c r="C220" s="241" t="s">
        <v>878</v>
      </c>
      <c r="D220" s="242" t="s">
        <v>879</v>
      </c>
      <c r="E220" s="243" t="s">
        <v>11</v>
      </c>
      <c r="F220" s="244" t="s">
        <v>880</v>
      </c>
      <c r="G220" s="241"/>
      <c r="H220" s="241" t="s">
        <v>881</v>
      </c>
      <c r="I220" s="241"/>
      <c r="J220" s="244" t="s">
        <v>882</v>
      </c>
      <c r="K220" s="241" t="s">
        <v>883</v>
      </c>
      <c r="L220" s="251">
        <v>44585</v>
      </c>
      <c r="M220" s="252">
        <v>213150</v>
      </c>
      <c r="N220" s="241">
        <v>6</v>
      </c>
      <c r="O220" s="253">
        <f t="shared" si="13"/>
        <v>1278900</v>
      </c>
      <c r="P220" s="253">
        <v>232527</v>
      </c>
      <c r="Q220" s="253">
        <f t="shared" si="14"/>
        <v>1395162</v>
      </c>
    </row>
    <row r="221" spans="2:17">
      <c r="B221" s="200">
        <v>218</v>
      </c>
      <c r="C221" s="241" t="s">
        <v>884</v>
      </c>
      <c r="D221" s="242" t="s">
        <v>885</v>
      </c>
      <c r="E221" s="243" t="s">
        <v>11</v>
      </c>
      <c r="F221" s="244" t="s">
        <v>880</v>
      </c>
      <c r="G221" s="241"/>
      <c r="H221" s="241" t="s">
        <v>881</v>
      </c>
      <c r="I221" s="241"/>
      <c r="J221" s="244" t="s">
        <v>886</v>
      </c>
      <c r="K221" s="241" t="s">
        <v>887</v>
      </c>
      <c r="L221" s="251">
        <v>44585</v>
      </c>
      <c r="M221" s="252">
        <v>184875</v>
      </c>
      <c r="N221" s="241">
        <v>6</v>
      </c>
      <c r="O221" s="253">
        <f t="shared" si="13"/>
        <v>1109250</v>
      </c>
      <c r="P221" s="253">
        <v>201682</v>
      </c>
      <c r="Q221" s="253">
        <f t="shared" si="14"/>
        <v>1210092</v>
      </c>
    </row>
    <row r="222" spans="2:17">
      <c r="B222" s="200">
        <v>219</v>
      </c>
      <c r="C222" s="241" t="s">
        <v>888</v>
      </c>
      <c r="D222" s="242" t="s">
        <v>889</v>
      </c>
      <c r="E222" s="243" t="s">
        <v>19</v>
      </c>
      <c r="F222" s="244" t="s">
        <v>462</v>
      </c>
      <c r="G222" s="241"/>
      <c r="H222" s="241" t="s">
        <v>890</v>
      </c>
      <c r="I222" s="241"/>
      <c r="J222" s="244" t="s">
        <v>85</v>
      </c>
      <c r="K222" s="241" t="s">
        <v>891</v>
      </c>
      <c r="L222" s="251">
        <v>44586</v>
      </c>
      <c r="M222" s="252">
        <v>222727</v>
      </c>
      <c r="N222" s="241">
        <v>1</v>
      </c>
      <c r="O222" s="253">
        <f t="shared" si="13"/>
        <v>222727</v>
      </c>
      <c r="P222" s="253">
        <v>279090.90999999997</v>
      </c>
      <c r="Q222" s="253">
        <f t="shared" si="14"/>
        <v>279090.90999999997</v>
      </c>
    </row>
    <row r="223" spans="2:17">
      <c r="B223" s="200">
        <v>220</v>
      </c>
      <c r="C223" s="241" t="s">
        <v>892</v>
      </c>
      <c r="D223" s="242" t="s">
        <v>893</v>
      </c>
      <c r="E223" s="243" t="s">
        <v>9</v>
      </c>
      <c r="F223" s="244" t="s">
        <v>894</v>
      </c>
      <c r="G223" s="241"/>
      <c r="H223" s="241" t="s">
        <v>895</v>
      </c>
      <c r="I223" s="241"/>
      <c r="J223" s="244" t="s">
        <v>50</v>
      </c>
      <c r="K223" s="241" t="s">
        <v>896</v>
      </c>
      <c r="L223" s="251">
        <v>44579</v>
      </c>
      <c r="M223" s="252">
        <v>254545</v>
      </c>
      <c r="N223" s="241">
        <v>7</v>
      </c>
      <c r="O223" s="253">
        <f t="shared" si="13"/>
        <v>1781815</v>
      </c>
      <c r="P223" s="253">
        <v>275000</v>
      </c>
      <c r="Q223" s="253">
        <f t="shared" si="14"/>
        <v>1925000</v>
      </c>
    </row>
    <row r="224" spans="2:17">
      <c r="B224" s="200">
        <v>221</v>
      </c>
      <c r="C224" s="241" t="s">
        <v>897</v>
      </c>
      <c r="D224" s="242" t="s">
        <v>898</v>
      </c>
      <c r="E224" s="243" t="s">
        <v>11</v>
      </c>
      <c r="F224" s="244" t="s">
        <v>733</v>
      </c>
      <c r="G224" s="241"/>
      <c r="H224" s="241" t="s">
        <v>899</v>
      </c>
      <c r="I224" s="241"/>
      <c r="J224" s="244" t="s">
        <v>85</v>
      </c>
      <c r="K224" s="241" t="s">
        <v>735</v>
      </c>
      <c r="L224" s="251">
        <v>44587</v>
      </c>
      <c r="M224" s="252">
        <v>222727</v>
      </c>
      <c r="N224" s="241">
        <v>13</v>
      </c>
      <c r="O224" s="253">
        <f t="shared" si="13"/>
        <v>2895451</v>
      </c>
      <c r="P224" s="253">
        <v>297091</v>
      </c>
      <c r="Q224" s="253">
        <f t="shared" si="14"/>
        <v>3862183</v>
      </c>
    </row>
    <row r="225" spans="2:17">
      <c r="B225" s="200">
        <v>222</v>
      </c>
      <c r="C225" s="241" t="s">
        <v>900</v>
      </c>
      <c r="D225" s="242" t="s">
        <v>901</v>
      </c>
      <c r="E225" s="243" t="s">
        <v>9</v>
      </c>
      <c r="F225" s="243" t="s">
        <v>902</v>
      </c>
      <c r="G225" s="241"/>
      <c r="H225" s="241" t="s">
        <v>903</v>
      </c>
      <c r="I225" s="241"/>
      <c r="J225" s="244" t="s">
        <v>50</v>
      </c>
      <c r="K225" s="241" t="s">
        <v>904</v>
      </c>
      <c r="L225" s="251">
        <v>44588</v>
      </c>
      <c r="M225" s="252">
        <v>254545</v>
      </c>
      <c r="N225" s="241">
        <v>1</v>
      </c>
      <c r="O225" s="253">
        <f t="shared" si="13"/>
        <v>254545</v>
      </c>
      <c r="P225" s="253">
        <v>275000</v>
      </c>
      <c r="Q225" s="253">
        <f t="shared" si="14"/>
        <v>275000</v>
      </c>
    </row>
    <row r="226" spans="2:17">
      <c r="B226" s="200">
        <v>223</v>
      </c>
      <c r="C226" s="241" t="s">
        <v>905</v>
      </c>
      <c r="D226" s="242" t="s">
        <v>901</v>
      </c>
      <c r="E226" s="243" t="s">
        <v>9</v>
      </c>
      <c r="F226" s="243" t="s">
        <v>906</v>
      </c>
      <c r="G226" s="241"/>
      <c r="H226" s="241" t="s">
        <v>903</v>
      </c>
      <c r="I226" s="241"/>
      <c r="J226" s="244" t="s">
        <v>50</v>
      </c>
      <c r="K226" s="241" t="s">
        <v>907</v>
      </c>
      <c r="L226" s="251">
        <v>44588</v>
      </c>
      <c r="M226" s="252">
        <v>254545</v>
      </c>
      <c r="N226" s="241">
        <v>3</v>
      </c>
      <c r="O226" s="253">
        <f t="shared" si="13"/>
        <v>763635</v>
      </c>
      <c r="P226" s="253">
        <v>275000</v>
      </c>
      <c r="Q226" s="253">
        <f t="shared" si="14"/>
        <v>825000</v>
      </c>
    </row>
    <row r="227" spans="2:17">
      <c r="B227" s="200">
        <v>224</v>
      </c>
      <c r="C227" s="241" t="s">
        <v>908</v>
      </c>
      <c r="D227" s="242" t="s">
        <v>909</v>
      </c>
      <c r="E227" s="243" t="s">
        <v>10</v>
      </c>
      <c r="F227" s="244" t="s">
        <v>814</v>
      </c>
      <c r="G227" s="241" t="s">
        <v>910</v>
      </c>
      <c r="H227" s="241" t="s">
        <v>2</v>
      </c>
      <c r="I227" s="241"/>
      <c r="J227" s="244" t="s">
        <v>816</v>
      </c>
      <c r="K227" s="241" t="s">
        <v>817</v>
      </c>
      <c r="L227" s="251">
        <v>44588</v>
      </c>
      <c r="M227" s="252">
        <v>22727</v>
      </c>
      <c r="N227" s="241">
        <v>150</v>
      </c>
      <c r="O227" s="253">
        <f t="shared" si="13"/>
        <v>3409050</v>
      </c>
      <c r="P227" s="253">
        <v>29090.91</v>
      </c>
      <c r="Q227" s="253">
        <f t="shared" si="14"/>
        <v>4363636.5</v>
      </c>
    </row>
    <row r="228" spans="2:17">
      <c r="B228" s="200">
        <v>225</v>
      </c>
      <c r="C228" s="241" t="s">
        <v>911</v>
      </c>
      <c r="D228" s="242" t="s">
        <v>912</v>
      </c>
      <c r="E228" s="243" t="s">
        <v>11</v>
      </c>
      <c r="F228" s="244" t="s">
        <v>733</v>
      </c>
      <c r="G228" s="241"/>
      <c r="H228" s="241" t="s">
        <v>913</v>
      </c>
      <c r="I228" s="241"/>
      <c r="J228" s="244" t="s">
        <v>85</v>
      </c>
      <c r="K228" s="241" t="s">
        <v>914</v>
      </c>
      <c r="L228" s="251">
        <v>44588</v>
      </c>
      <c r="M228" s="252">
        <v>222727</v>
      </c>
      <c r="N228" s="241">
        <v>15</v>
      </c>
      <c r="O228" s="253">
        <f t="shared" si="13"/>
        <v>3340905</v>
      </c>
      <c r="P228" s="253">
        <v>297091</v>
      </c>
      <c r="Q228" s="253">
        <f t="shared" si="14"/>
        <v>4456365</v>
      </c>
    </row>
    <row r="229" spans="2:17">
      <c r="B229" s="200">
        <v>226</v>
      </c>
      <c r="C229" s="237" t="s">
        <v>915</v>
      </c>
      <c r="D229" s="238" t="s">
        <v>916</v>
      </c>
      <c r="E229" s="239" t="s">
        <v>9</v>
      </c>
      <c r="F229" s="240" t="s">
        <v>917</v>
      </c>
      <c r="G229" s="237"/>
      <c r="H229" s="237" t="s">
        <v>918</v>
      </c>
      <c r="I229" s="237"/>
      <c r="J229" s="240" t="s">
        <v>50</v>
      </c>
      <c r="K229" s="237" t="s">
        <v>919</v>
      </c>
      <c r="L229" s="248">
        <v>44594</v>
      </c>
      <c r="M229" s="249">
        <v>254545</v>
      </c>
      <c r="N229" s="237">
        <v>1</v>
      </c>
      <c r="O229" s="250">
        <f t="shared" si="13"/>
        <v>254545</v>
      </c>
      <c r="P229" s="250">
        <v>275000</v>
      </c>
      <c r="Q229" s="250">
        <f t="shared" si="14"/>
        <v>275000</v>
      </c>
    </row>
    <row r="230" spans="2:17">
      <c r="B230" s="200">
        <v>227</v>
      </c>
      <c r="C230" s="237" t="s">
        <v>920</v>
      </c>
      <c r="D230" s="238" t="s">
        <v>916</v>
      </c>
      <c r="E230" s="239" t="s">
        <v>9</v>
      </c>
      <c r="F230" s="240" t="s">
        <v>921</v>
      </c>
      <c r="G230" s="237"/>
      <c r="H230" s="237" t="s">
        <v>922</v>
      </c>
      <c r="I230" s="237"/>
      <c r="J230" s="240" t="s">
        <v>50</v>
      </c>
      <c r="K230" s="237" t="s">
        <v>923</v>
      </c>
      <c r="L230" s="248">
        <v>44594</v>
      </c>
      <c r="M230" s="249">
        <v>254545</v>
      </c>
      <c r="N230" s="237">
        <v>1</v>
      </c>
      <c r="O230" s="250">
        <f t="shared" si="13"/>
        <v>254545</v>
      </c>
      <c r="P230" s="250">
        <v>275000</v>
      </c>
      <c r="Q230" s="250">
        <f t="shared" si="14"/>
        <v>275000</v>
      </c>
    </row>
    <row r="231" spans="2:17">
      <c r="B231" s="200">
        <v>228</v>
      </c>
      <c r="C231" s="237" t="s">
        <v>924</v>
      </c>
      <c r="D231" s="238" t="s">
        <v>916</v>
      </c>
      <c r="E231" s="239" t="s">
        <v>9</v>
      </c>
      <c r="F231" s="240" t="s">
        <v>925</v>
      </c>
      <c r="G231" s="237"/>
      <c r="H231" s="237" t="s">
        <v>926</v>
      </c>
      <c r="I231" s="237"/>
      <c r="J231" s="240" t="s">
        <v>50</v>
      </c>
      <c r="K231" s="237" t="s">
        <v>927</v>
      </c>
      <c r="L231" s="248">
        <v>44594</v>
      </c>
      <c r="M231" s="249">
        <v>254545</v>
      </c>
      <c r="N231" s="237">
        <v>2</v>
      </c>
      <c r="O231" s="250">
        <f t="shared" si="13"/>
        <v>509090</v>
      </c>
      <c r="P231" s="250">
        <v>275000</v>
      </c>
      <c r="Q231" s="250">
        <f t="shared" si="14"/>
        <v>550000</v>
      </c>
    </row>
    <row r="232" spans="2:17">
      <c r="B232" s="200">
        <v>229</v>
      </c>
      <c r="C232" s="237" t="s">
        <v>928</v>
      </c>
      <c r="D232" s="238" t="s">
        <v>929</v>
      </c>
      <c r="E232" s="239" t="s">
        <v>9</v>
      </c>
      <c r="F232" s="240" t="s">
        <v>930</v>
      </c>
      <c r="G232" s="237"/>
      <c r="H232" s="237" t="s">
        <v>931</v>
      </c>
      <c r="I232" s="237"/>
      <c r="J232" s="240" t="s">
        <v>50</v>
      </c>
      <c r="K232" s="237" t="s">
        <v>932</v>
      </c>
      <c r="L232" s="248">
        <v>44594</v>
      </c>
      <c r="M232" s="249">
        <v>254545</v>
      </c>
      <c r="N232" s="237">
        <v>3</v>
      </c>
      <c r="O232" s="250">
        <f t="shared" si="13"/>
        <v>763635</v>
      </c>
      <c r="P232" s="250">
        <v>275000</v>
      </c>
      <c r="Q232" s="250">
        <f t="shared" si="14"/>
        <v>825000</v>
      </c>
    </row>
    <row r="233" spans="2:17">
      <c r="B233" s="200">
        <v>230</v>
      </c>
      <c r="C233" s="237" t="s">
        <v>933</v>
      </c>
      <c r="D233" s="238" t="s">
        <v>929</v>
      </c>
      <c r="E233" s="239" t="s">
        <v>9</v>
      </c>
      <c r="F233" s="240" t="s">
        <v>934</v>
      </c>
      <c r="G233" s="237"/>
      <c r="H233" s="237" t="s">
        <v>931</v>
      </c>
      <c r="I233" s="237"/>
      <c r="J233" s="240" t="s">
        <v>50</v>
      </c>
      <c r="K233" s="237" t="s">
        <v>935</v>
      </c>
      <c r="L233" s="248">
        <v>44594</v>
      </c>
      <c r="M233" s="249">
        <v>254545</v>
      </c>
      <c r="N233" s="237">
        <v>5</v>
      </c>
      <c r="O233" s="250">
        <f t="shared" si="13"/>
        <v>1272725</v>
      </c>
      <c r="P233" s="250">
        <v>275000</v>
      </c>
      <c r="Q233" s="250">
        <f t="shared" si="14"/>
        <v>1375000</v>
      </c>
    </row>
    <row r="234" spans="2:17">
      <c r="B234" s="200">
        <v>231</v>
      </c>
      <c r="C234" s="237" t="s">
        <v>936</v>
      </c>
      <c r="D234" s="238" t="s">
        <v>937</v>
      </c>
      <c r="E234" s="239" t="s">
        <v>10</v>
      </c>
      <c r="F234" s="240" t="s">
        <v>733</v>
      </c>
      <c r="G234" s="237"/>
      <c r="H234" s="237" t="s">
        <v>938</v>
      </c>
      <c r="I234" s="237"/>
      <c r="J234" s="240" t="s">
        <v>85</v>
      </c>
      <c r="K234" s="237" t="s">
        <v>939</v>
      </c>
      <c r="L234" s="248">
        <v>44599</v>
      </c>
      <c r="M234" s="249">
        <v>222727</v>
      </c>
      <c r="N234" s="237">
        <v>12</v>
      </c>
      <c r="O234" s="250">
        <f t="shared" si="13"/>
        <v>2672724</v>
      </c>
      <c r="P234" s="250">
        <v>279091</v>
      </c>
      <c r="Q234" s="250">
        <f t="shared" si="14"/>
        <v>3349092</v>
      </c>
    </row>
    <row r="235" spans="2:17">
      <c r="B235" s="200">
        <v>232</v>
      </c>
      <c r="C235" s="237" t="s">
        <v>940</v>
      </c>
      <c r="D235" s="238">
        <v>4800443057</v>
      </c>
      <c r="E235" s="239" t="s">
        <v>12</v>
      </c>
      <c r="F235" s="240" t="s">
        <v>941</v>
      </c>
      <c r="G235" s="237"/>
      <c r="H235" s="237" t="s">
        <v>942</v>
      </c>
      <c r="I235" s="237"/>
      <c r="J235" s="240" t="s">
        <v>85</v>
      </c>
      <c r="K235" s="237" t="s">
        <v>943</v>
      </c>
      <c r="L235" s="248">
        <v>44599</v>
      </c>
      <c r="M235" s="249">
        <v>222727</v>
      </c>
      <c r="N235" s="237">
        <v>40</v>
      </c>
      <c r="O235" s="250">
        <f t="shared" si="13"/>
        <v>8909080</v>
      </c>
      <c r="P235" s="250">
        <v>265136</v>
      </c>
      <c r="Q235" s="250">
        <f t="shared" si="14"/>
        <v>10605440</v>
      </c>
    </row>
    <row r="236" spans="2:17">
      <c r="B236" s="200">
        <v>233</v>
      </c>
      <c r="C236" s="237" t="s">
        <v>944</v>
      </c>
      <c r="D236" s="238" t="s">
        <v>945</v>
      </c>
      <c r="E236" s="239" t="s">
        <v>82</v>
      </c>
      <c r="F236" s="240" t="s">
        <v>83</v>
      </c>
      <c r="G236" s="237"/>
      <c r="H236" s="237" t="s">
        <v>946</v>
      </c>
      <c r="I236" s="237"/>
      <c r="J236" s="240" t="s">
        <v>85</v>
      </c>
      <c r="K236" s="237" t="s">
        <v>947</v>
      </c>
      <c r="L236" s="248">
        <v>44601</v>
      </c>
      <c r="M236" s="249">
        <v>222727</v>
      </c>
      <c r="N236" s="237">
        <v>250</v>
      </c>
      <c r="O236" s="250">
        <f t="shared" si="13"/>
        <v>55681750</v>
      </c>
      <c r="P236" s="250">
        <v>279090.90999999997</v>
      </c>
      <c r="Q236" s="250">
        <f t="shared" si="14"/>
        <v>69772727.5</v>
      </c>
    </row>
    <row r="237" spans="2:17">
      <c r="B237" s="200">
        <v>234</v>
      </c>
      <c r="C237" s="237" t="s">
        <v>948</v>
      </c>
      <c r="D237" s="238" t="s">
        <v>949</v>
      </c>
      <c r="E237" s="239" t="s">
        <v>9</v>
      </c>
      <c r="F237" s="240" t="s">
        <v>950</v>
      </c>
      <c r="G237" s="237"/>
      <c r="H237" s="237" t="s">
        <v>951</v>
      </c>
      <c r="I237" s="237"/>
      <c r="J237" s="240" t="s">
        <v>50</v>
      </c>
      <c r="K237" s="237" t="s">
        <v>952</v>
      </c>
      <c r="L237" s="248">
        <v>44601</v>
      </c>
      <c r="M237" s="249">
        <v>254545</v>
      </c>
      <c r="N237" s="237">
        <v>3</v>
      </c>
      <c r="O237" s="250">
        <f t="shared" si="13"/>
        <v>763635</v>
      </c>
      <c r="P237" s="250">
        <v>275000</v>
      </c>
      <c r="Q237" s="250">
        <f t="shared" si="14"/>
        <v>825000</v>
      </c>
    </row>
    <row r="238" spans="2:17">
      <c r="B238" s="200">
        <v>235</v>
      </c>
      <c r="C238" s="237" t="s">
        <v>953</v>
      </c>
      <c r="D238" s="238" t="s">
        <v>949</v>
      </c>
      <c r="E238" s="239" t="s">
        <v>9</v>
      </c>
      <c r="F238" s="240" t="s">
        <v>684</v>
      </c>
      <c r="G238" s="237"/>
      <c r="H238" s="237" t="s">
        <v>954</v>
      </c>
      <c r="I238" s="237"/>
      <c r="J238" s="240" t="s">
        <v>50</v>
      </c>
      <c r="K238" s="237" t="s">
        <v>955</v>
      </c>
      <c r="L238" s="248">
        <v>44601</v>
      </c>
      <c r="M238" s="249">
        <v>254545</v>
      </c>
      <c r="N238" s="237">
        <v>1</v>
      </c>
      <c r="O238" s="250">
        <f t="shared" si="13"/>
        <v>254545</v>
      </c>
      <c r="P238" s="250">
        <v>275000</v>
      </c>
      <c r="Q238" s="250">
        <f t="shared" si="14"/>
        <v>275000</v>
      </c>
    </row>
    <row r="239" spans="2:17">
      <c r="B239" s="200">
        <v>236</v>
      </c>
      <c r="C239" s="237" t="s">
        <v>956</v>
      </c>
      <c r="D239" s="238" t="s">
        <v>949</v>
      </c>
      <c r="E239" s="239" t="s">
        <v>9</v>
      </c>
      <c r="F239" s="240" t="s">
        <v>957</v>
      </c>
      <c r="G239" s="237"/>
      <c r="H239" s="237" t="s">
        <v>958</v>
      </c>
      <c r="I239" s="237"/>
      <c r="J239" s="240" t="s">
        <v>50</v>
      </c>
      <c r="K239" s="237" t="s">
        <v>959</v>
      </c>
      <c r="L239" s="248">
        <v>44601</v>
      </c>
      <c r="M239" s="249">
        <v>254545</v>
      </c>
      <c r="N239" s="237">
        <v>9</v>
      </c>
      <c r="O239" s="250">
        <f t="shared" si="13"/>
        <v>2290905</v>
      </c>
      <c r="P239" s="250">
        <v>275000</v>
      </c>
      <c r="Q239" s="250">
        <f t="shared" si="14"/>
        <v>2475000</v>
      </c>
    </row>
    <row r="240" spans="2:17">
      <c r="B240" s="200">
        <v>237</v>
      </c>
      <c r="C240" s="237" t="s">
        <v>960</v>
      </c>
      <c r="D240" s="238" t="s">
        <v>949</v>
      </c>
      <c r="E240" s="239" t="s">
        <v>9</v>
      </c>
      <c r="F240" s="240" t="s">
        <v>961</v>
      </c>
      <c r="G240" s="237"/>
      <c r="H240" s="237" t="s">
        <v>951</v>
      </c>
      <c r="I240" s="237"/>
      <c r="J240" s="240" t="s">
        <v>50</v>
      </c>
      <c r="K240" s="237" t="s">
        <v>962</v>
      </c>
      <c r="L240" s="248">
        <v>44601</v>
      </c>
      <c r="M240" s="249">
        <v>254545</v>
      </c>
      <c r="N240" s="237">
        <v>2</v>
      </c>
      <c r="O240" s="250">
        <f t="shared" si="13"/>
        <v>509090</v>
      </c>
      <c r="P240" s="250">
        <v>275000</v>
      </c>
      <c r="Q240" s="250">
        <f t="shared" si="14"/>
        <v>550000</v>
      </c>
    </row>
    <row r="241" spans="2:17">
      <c r="B241" s="200">
        <v>238</v>
      </c>
      <c r="C241" s="237" t="s">
        <v>963</v>
      </c>
      <c r="D241" s="238">
        <v>4800443987</v>
      </c>
      <c r="E241" s="239" t="s">
        <v>12</v>
      </c>
      <c r="F241" s="240" t="s">
        <v>466</v>
      </c>
      <c r="G241" s="237"/>
      <c r="H241" s="237" t="s">
        <v>964</v>
      </c>
      <c r="I241" s="237"/>
      <c r="J241" s="240" t="s">
        <v>85</v>
      </c>
      <c r="K241" s="237" t="s">
        <v>965</v>
      </c>
      <c r="L241" s="248">
        <v>44607</v>
      </c>
      <c r="M241" s="249">
        <v>222727</v>
      </c>
      <c r="N241" s="237">
        <v>8</v>
      </c>
      <c r="O241" s="250">
        <f t="shared" si="13"/>
        <v>1781816</v>
      </c>
      <c r="P241" s="250">
        <v>265136</v>
      </c>
      <c r="Q241" s="250">
        <f t="shared" si="14"/>
        <v>2121088</v>
      </c>
    </row>
    <row r="242" spans="2:17">
      <c r="B242" s="200">
        <v>239</v>
      </c>
      <c r="C242" s="237" t="s">
        <v>966</v>
      </c>
      <c r="D242" s="238" t="s">
        <v>967</v>
      </c>
      <c r="E242" s="239" t="s">
        <v>11</v>
      </c>
      <c r="F242" s="240" t="s">
        <v>880</v>
      </c>
      <c r="G242" s="237"/>
      <c r="H242" s="237" t="s">
        <v>968</v>
      </c>
      <c r="I242" s="237"/>
      <c r="J242" s="240" t="s">
        <v>886</v>
      </c>
      <c r="K242" s="237" t="s">
        <v>969</v>
      </c>
      <c r="L242" s="248">
        <v>44607</v>
      </c>
      <c r="M242" s="249">
        <v>184875</v>
      </c>
      <c r="N242" s="237">
        <v>25</v>
      </c>
      <c r="O242" s="250">
        <f t="shared" si="13"/>
        <v>4621875</v>
      </c>
      <c r="P242" s="250">
        <v>201682</v>
      </c>
      <c r="Q242" s="250">
        <f t="shared" si="14"/>
        <v>5042050</v>
      </c>
    </row>
    <row r="243" spans="2:17">
      <c r="B243" s="200">
        <v>240</v>
      </c>
      <c r="C243" s="237" t="s">
        <v>970</v>
      </c>
      <c r="D243" s="238" t="s">
        <v>971</v>
      </c>
      <c r="E243" s="239" t="s">
        <v>10</v>
      </c>
      <c r="F243" s="240" t="s">
        <v>814</v>
      </c>
      <c r="G243" s="237" t="s">
        <v>972</v>
      </c>
      <c r="H243" s="237" t="s">
        <v>2</v>
      </c>
      <c r="I243" s="237"/>
      <c r="J243" s="240" t="s">
        <v>816</v>
      </c>
      <c r="K243" s="237" t="s">
        <v>973</v>
      </c>
      <c r="L243" s="248">
        <v>44607</v>
      </c>
      <c r="M243" s="249">
        <v>22727</v>
      </c>
      <c r="N243" s="237">
        <v>120</v>
      </c>
      <c r="O243" s="250">
        <f t="shared" si="13"/>
        <v>2727240</v>
      </c>
      <c r="P243" s="250">
        <v>29090.91</v>
      </c>
      <c r="Q243" s="250">
        <f t="shared" si="14"/>
        <v>3490909.2</v>
      </c>
    </row>
    <row r="244" spans="2:17">
      <c r="B244" s="200">
        <v>241</v>
      </c>
      <c r="C244" s="237" t="s">
        <v>974</v>
      </c>
      <c r="D244" s="238">
        <v>81314</v>
      </c>
      <c r="E244" s="239" t="s">
        <v>17</v>
      </c>
      <c r="F244" s="240" t="s">
        <v>114</v>
      </c>
      <c r="G244" s="237"/>
      <c r="H244" s="237" t="s">
        <v>975</v>
      </c>
      <c r="I244" s="237"/>
      <c r="J244" s="240" t="s">
        <v>85</v>
      </c>
      <c r="K244" s="237" t="s">
        <v>116</v>
      </c>
      <c r="L244" s="248">
        <v>44609</v>
      </c>
      <c r="M244" s="249">
        <v>171818</v>
      </c>
      <c r="N244" s="237">
        <v>20</v>
      </c>
      <c r="O244" s="250">
        <f t="shared" si="13"/>
        <v>3436360</v>
      </c>
      <c r="P244" s="250">
        <v>279090.90999999997</v>
      </c>
      <c r="Q244" s="250">
        <f t="shared" si="14"/>
        <v>5581818.1999999993</v>
      </c>
    </row>
    <row r="245" spans="2:17">
      <c r="B245" s="200">
        <v>242</v>
      </c>
      <c r="C245" s="237" t="s">
        <v>976</v>
      </c>
      <c r="D245" s="238">
        <v>81314</v>
      </c>
      <c r="E245" s="239" t="s">
        <v>17</v>
      </c>
      <c r="F245" s="240" t="s">
        <v>114</v>
      </c>
      <c r="G245" s="237"/>
      <c r="H245" s="237" t="s">
        <v>975</v>
      </c>
      <c r="I245" s="237"/>
      <c r="J245" s="240" t="s">
        <v>92</v>
      </c>
      <c r="K245" s="237" t="s">
        <v>118</v>
      </c>
      <c r="L245" s="248">
        <v>44609</v>
      </c>
      <c r="M245" s="249">
        <v>40909</v>
      </c>
      <c r="N245" s="237">
        <v>20</v>
      </c>
      <c r="O245" s="250">
        <f t="shared" si="13"/>
        <v>818180</v>
      </c>
      <c r="P245" s="250">
        <v>58181.82</v>
      </c>
      <c r="Q245" s="250">
        <f t="shared" si="14"/>
        <v>1163636.3999999999</v>
      </c>
    </row>
    <row r="246" spans="2:17">
      <c r="B246" s="200">
        <v>243</v>
      </c>
      <c r="C246" s="237" t="s">
        <v>977</v>
      </c>
      <c r="D246" s="238" t="s">
        <v>978</v>
      </c>
      <c r="E246" s="239" t="s">
        <v>9</v>
      </c>
      <c r="F246" s="240" t="s">
        <v>979</v>
      </c>
      <c r="G246" s="237"/>
      <c r="H246" s="237" t="s">
        <v>801</v>
      </c>
      <c r="I246" s="237"/>
      <c r="J246" s="240" t="s">
        <v>50</v>
      </c>
      <c r="K246" s="237" t="s">
        <v>980</v>
      </c>
      <c r="L246" s="248">
        <v>44609</v>
      </c>
      <c r="M246" s="249">
        <v>254545</v>
      </c>
      <c r="N246" s="237">
        <v>1</v>
      </c>
      <c r="O246" s="250">
        <f t="shared" si="13"/>
        <v>254545</v>
      </c>
      <c r="P246" s="250">
        <v>275000</v>
      </c>
      <c r="Q246" s="250">
        <f t="shared" si="14"/>
        <v>275000</v>
      </c>
    </row>
    <row r="247" spans="2:17">
      <c r="B247" s="200">
        <v>244</v>
      </c>
      <c r="C247" s="237" t="s">
        <v>981</v>
      </c>
      <c r="D247" s="238" t="s">
        <v>978</v>
      </c>
      <c r="E247" s="239" t="s">
        <v>9</v>
      </c>
      <c r="F247" s="240" t="s">
        <v>982</v>
      </c>
      <c r="G247" s="237"/>
      <c r="H247" s="237" t="s">
        <v>983</v>
      </c>
      <c r="I247" s="237"/>
      <c r="J247" s="240" t="s">
        <v>50</v>
      </c>
      <c r="K247" s="237" t="s">
        <v>984</v>
      </c>
      <c r="L247" s="248">
        <v>44609</v>
      </c>
      <c r="M247" s="249">
        <v>254545</v>
      </c>
      <c r="N247" s="237">
        <v>1</v>
      </c>
      <c r="O247" s="250">
        <f t="shared" si="13"/>
        <v>254545</v>
      </c>
      <c r="P247" s="250">
        <v>275000</v>
      </c>
      <c r="Q247" s="250">
        <f t="shared" si="14"/>
        <v>275000</v>
      </c>
    </row>
    <row r="248" spans="2:17">
      <c r="B248" s="200">
        <v>245</v>
      </c>
      <c r="C248" s="237" t="s">
        <v>985</v>
      </c>
      <c r="D248" s="238" t="s">
        <v>978</v>
      </c>
      <c r="E248" s="239" t="s">
        <v>9</v>
      </c>
      <c r="F248" s="240" t="s">
        <v>986</v>
      </c>
      <c r="G248" s="237"/>
      <c r="H248" s="237" t="s">
        <v>983</v>
      </c>
      <c r="I248" s="237"/>
      <c r="J248" s="240" t="s">
        <v>50</v>
      </c>
      <c r="K248" s="237" t="s">
        <v>987</v>
      </c>
      <c r="L248" s="248">
        <v>44609</v>
      </c>
      <c r="M248" s="249">
        <v>254545</v>
      </c>
      <c r="N248" s="237">
        <v>4</v>
      </c>
      <c r="O248" s="250">
        <f t="shared" si="13"/>
        <v>1018180</v>
      </c>
      <c r="P248" s="250">
        <v>275000</v>
      </c>
      <c r="Q248" s="250">
        <f t="shared" si="14"/>
        <v>1100000</v>
      </c>
    </row>
    <row r="249" spans="2:17">
      <c r="B249" s="200">
        <v>246</v>
      </c>
      <c r="C249" s="237" t="s">
        <v>988</v>
      </c>
      <c r="D249" s="238" t="s">
        <v>989</v>
      </c>
      <c r="E249" s="239" t="s">
        <v>16</v>
      </c>
      <c r="F249" s="240" t="s">
        <v>165</v>
      </c>
      <c r="G249" s="237"/>
      <c r="H249" s="237" t="s">
        <v>990</v>
      </c>
      <c r="I249" s="237"/>
      <c r="J249" s="240" t="s">
        <v>85</v>
      </c>
      <c r="K249" s="237" t="s">
        <v>991</v>
      </c>
      <c r="L249" s="248">
        <v>44613</v>
      </c>
      <c r="M249" s="249">
        <v>222727</v>
      </c>
      <c r="N249" s="237">
        <v>160</v>
      </c>
      <c r="O249" s="250">
        <f t="shared" si="13"/>
        <v>35636320</v>
      </c>
      <c r="P249" s="250">
        <v>279090.90999999997</v>
      </c>
      <c r="Q249" s="250">
        <f t="shared" si="14"/>
        <v>44654545.599999994</v>
      </c>
    </row>
    <row r="250" spans="2:17">
      <c r="B250" s="200">
        <v>247</v>
      </c>
      <c r="C250" s="237" t="s">
        <v>992</v>
      </c>
      <c r="D250" s="238" t="s">
        <v>978</v>
      </c>
      <c r="E250" s="239" t="s">
        <v>9</v>
      </c>
      <c r="F250" s="240" t="s">
        <v>445</v>
      </c>
      <c r="G250" s="237"/>
      <c r="H250" s="237" t="s">
        <v>993</v>
      </c>
      <c r="I250" s="237"/>
      <c r="J250" s="240" t="s">
        <v>50</v>
      </c>
      <c r="K250" s="237" t="s">
        <v>994</v>
      </c>
      <c r="L250" s="248">
        <v>44613</v>
      </c>
      <c r="M250" s="249">
        <v>254545</v>
      </c>
      <c r="N250" s="237">
        <v>3</v>
      </c>
      <c r="O250" s="250">
        <f t="shared" si="13"/>
        <v>763635</v>
      </c>
      <c r="P250" s="250">
        <v>275000</v>
      </c>
      <c r="Q250" s="250">
        <f t="shared" si="14"/>
        <v>825000</v>
      </c>
    </row>
    <row r="251" spans="2:17">
      <c r="B251" s="200">
        <v>248</v>
      </c>
      <c r="C251" s="237" t="s">
        <v>995</v>
      </c>
      <c r="D251" s="238" t="s">
        <v>978</v>
      </c>
      <c r="E251" s="239" t="s">
        <v>9</v>
      </c>
      <c r="F251" s="240" t="s">
        <v>445</v>
      </c>
      <c r="G251" s="237"/>
      <c r="H251" s="237" t="s">
        <v>996</v>
      </c>
      <c r="I251" s="237"/>
      <c r="J251" s="240" t="s">
        <v>50</v>
      </c>
      <c r="K251" s="237" t="s">
        <v>997</v>
      </c>
      <c r="L251" s="248">
        <v>44613</v>
      </c>
      <c r="M251" s="249">
        <v>254545</v>
      </c>
      <c r="N251" s="237">
        <v>3</v>
      </c>
      <c r="O251" s="250">
        <f t="shared" si="13"/>
        <v>763635</v>
      </c>
      <c r="P251" s="250">
        <v>275000</v>
      </c>
      <c r="Q251" s="250">
        <f t="shared" si="14"/>
        <v>825000</v>
      </c>
    </row>
    <row r="252" spans="2:17">
      <c r="B252" s="200">
        <v>249</v>
      </c>
      <c r="C252" s="237" t="s">
        <v>998</v>
      </c>
      <c r="D252" s="238" t="s">
        <v>978</v>
      </c>
      <c r="E252" s="239" t="s">
        <v>9</v>
      </c>
      <c r="F252" s="240" t="s">
        <v>999</v>
      </c>
      <c r="G252" s="237"/>
      <c r="H252" s="237" t="s">
        <v>1000</v>
      </c>
      <c r="I252" s="237"/>
      <c r="J252" s="240" t="s">
        <v>50</v>
      </c>
      <c r="K252" s="237" t="s">
        <v>1001</v>
      </c>
      <c r="L252" s="248">
        <v>44613</v>
      </c>
      <c r="M252" s="249">
        <v>254545</v>
      </c>
      <c r="N252" s="237">
        <v>2</v>
      </c>
      <c r="O252" s="250">
        <f t="shared" si="13"/>
        <v>509090</v>
      </c>
      <c r="P252" s="250">
        <v>275000</v>
      </c>
      <c r="Q252" s="250">
        <f t="shared" si="14"/>
        <v>550000</v>
      </c>
    </row>
    <row r="253" spans="2:17">
      <c r="B253" s="200">
        <v>250</v>
      </c>
      <c r="C253" s="237" t="s">
        <v>1002</v>
      </c>
      <c r="D253" s="238" t="s">
        <v>978</v>
      </c>
      <c r="E253" s="239" t="s">
        <v>9</v>
      </c>
      <c r="F253" s="240" t="s">
        <v>1003</v>
      </c>
      <c r="G253" s="237"/>
      <c r="H253" s="237" t="s">
        <v>996</v>
      </c>
      <c r="I253" s="237"/>
      <c r="J253" s="240" t="s">
        <v>50</v>
      </c>
      <c r="K253" s="237" t="s">
        <v>1004</v>
      </c>
      <c r="L253" s="248">
        <v>44613</v>
      </c>
      <c r="M253" s="249">
        <v>254545</v>
      </c>
      <c r="N253" s="237">
        <v>8</v>
      </c>
      <c r="O253" s="250">
        <f t="shared" si="13"/>
        <v>2036360</v>
      </c>
      <c r="P253" s="250">
        <v>275000</v>
      </c>
      <c r="Q253" s="250">
        <f t="shared" si="14"/>
        <v>2200000</v>
      </c>
    </row>
    <row r="254" spans="2:17">
      <c r="B254" s="200">
        <v>251</v>
      </c>
      <c r="C254" s="237" t="s">
        <v>1005</v>
      </c>
      <c r="D254" s="238" t="s">
        <v>978</v>
      </c>
      <c r="E254" s="239" t="s">
        <v>9</v>
      </c>
      <c r="F254" s="240" t="s">
        <v>1006</v>
      </c>
      <c r="G254" s="237"/>
      <c r="H254" s="237" t="s">
        <v>1000</v>
      </c>
      <c r="I254" s="237"/>
      <c r="J254" s="240" t="s">
        <v>50</v>
      </c>
      <c r="K254" s="237" t="s">
        <v>1007</v>
      </c>
      <c r="L254" s="248">
        <v>44613</v>
      </c>
      <c r="M254" s="249">
        <v>254545</v>
      </c>
      <c r="N254" s="237">
        <v>1</v>
      </c>
      <c r="O254" s="250">
        <f t="shared" si="13"/>
        <v>254545</v>
      </c>
      <c r="P254" s="250">
        <v>275000</v>
      </c>
      <c r="Q254" s="250">
        <f t="shared" si="14"/>
        <v>275000</v>
      </c>
    </row>
    <row r="255" spans="2:17">
      <c r="B255" s="200">
        <v>252</v>
      </c>
      <c r="C255" s="237" t="s">
        <v>1008</v>
      </c>
      <c r="D255" s="238" t="s">
        <v>1009</v>
      </c>
      <c r="E255" s="239" t="s">
        <v>9</v>
      </c>
      <c r="F255" s="240" t="s">
        <v>925</v>
      </c>
      <c r="G255" s="237"/>
      <c r="H255" s="237" t="s">
        <v>1010</v>
      </c>
      <c r="I255" s="237"/>
      <c r="J255" s="240" t="s">
        <v>50</v>
      </c>
      <c r="K255" s="237" t="s">
        <v>1011</v>
      </c>
      <c r="L255" s="248">
        <v>44617</v>
      </c>
      <c r="M255" s="249">
        <v>254545</v>
      </c>
      <c r="N255" s="237">
        <v>3</v>
      </c>
      <c r="O255" s="250">
        <f t="shared" si="13"/>
        <v>763635</v>
      </c>
      <c r="P255" s="250">
        <v>275000</v>
      </c>
      <c r="Q255" s="250">
        <f t="shared" si="14"/>
        <v>825000</v>
      </c>
    </row>
    <row r="256" spans="2:17">
      <c r="B256" s="200">
        <v>253</v>
      </c>
      <c r="C256" s="237" t="s">
        <v>1012</v>
      </c>
      <c r="D256" s="238" t="s">
        <v>1009</v>
      </c>
      <c r="E256" s="239" t="s">
        <v>9</v>
      </c>
      <c r="F256" s="240" t="s">
        <v>1013</v>
      </c>
      <c r="G256" s="237"/>
      <c r="H256" s="237" t="s">
        <v>1010</v>
      </c>
      <c r="I256" s="237"/>
      <c r="J256" s="240" t="s">
        <v>50</v>
      </c>
      <c r="K256" s="237" t="s">
        <v>1014</v>
      </c>
      <c r="L256" s="248">
        <v>44617</v>
      </c>
      <c r="M256" s="249">
        <v>254545</v>
      </c>
      <c r="N256" s="237">
        <v>2</v>
      </c>
      <c r="O256" s="250">
        <f t="shared" si="13"/>
        <v>509090</v>
      </c>
      <c r="P256" s="250">
        <v>275000</v>
      </c>
      <c r="Q256" s="250">
        <f t="shared" si="14"/>
        <v>550000</v>
      </c>
    </row>
    <row r="257" spans="2:17">
      <c r="B257" s="200">
        <v>254</v>
      </c>
      <c r="C257" s="237" t="s">
        <v>1015</v>
      </c>
      <c r="D257" s="238" t="s">
        <v>1016</v>
      </c>
      <c r="E257" s="239" t="s">
        <v>10</v>
      </c>
      <c r="F257" s="240" t="s">
        <v>814</v>
      </c>
      <c r="G257" s="237"/>
      <c r="H257" s="237" t="s">
        <v>1017</v>
      </c>
      <c r="I257" s="237"/>
      <c r="J257" s="240" t="s">
        <v>85</v>
      </c>
      <c r="K257" s="237" t="s">
        <v>1018</v>
      </c>
      <c r="L257" s="248">
        <v>44617</v>
      </c>
      <c r="M257" s="249">
        <v>222727</v>
      </c>
      <c r="N257" s="237">
        <v>297</v>
      </c>
      <c r="O257" s="250">
        <f t="shared" si="13"/>
        <v>66149919</v>
      </c>
      <c r="P257" s="250">
        <v>279090.90999999997</v>
      </c>
      <c r="Q257" s="250">
        <f t="shared" si="14"/>
        <v>82890000.269999996</v>
      </c>
    </row>
    <row r="258" spans="2:17">
      <c r="B258" s="200">
        <v>255</v>
      </c>
      <c r="C258" s="241" t="s">
        <v>1019</v>
      </c>
      <c r="D258" s="242" t="s">
        <v>1020</v>
      </c>
      <c r="E258" s="243" t="s">
        <v>9</v>
      </c>
      <c r="F258" s="244" t="s">
        <v>1021</v>
      </c>
      <c r="G258" s="241"/>
      <c r="H258" s="241" t="s">
        <v>1022</v>
      </c>
      <c r="I258" s="241"/>
      <c r="J258" s="244" t="s">
        <v>50</v>
      </c>
      <c r="K258" s="241" t="s">
        <v>1023</v>
      </c>
      <c r="L258" s="251">
        <v>44628</v>
      </c>
      <c r="M258" s="252">
        <v>254545</v>
      </c>
      <c r="N258" s="241">
        <v>1</v>
      </c>
      <c r="O258" s="253">
        <f t="shared" si="13"/>
        <v>254545</v>
      </c>
      <c r="P258" s="253">
        <v>275000</v>
      </c>
      <c r="Q258" s="253">
        <f t="shared" si="14"/>
        <v>275000</v>
      </c>
    </row>
    <row r="259" spans="2:17">
      <c r="B259" s="200">
        <v>256</v>
      </c>
      <c r="C259" s="241" t="s">
        <v>1024</v>
      </c>
      <c r="D259" s="242" t="s">
        <v>1020</v>
      </c>
      <c r="E259" s="243" t="s">
        <v>9</v>
      </c>
      <c r="F259" s="244" t="s">
        <v>1025</v>
      </c>
      <c r="G259" s="241"/>
      <c r="H259" s="241" t="s">
        <v>1026</v>
      </c>
      <c r="I259" s="241"/>
      <c r="J259" s="244" t="s">
        <v>50</v>
      </c>
      <c r="K259" s="241" t="s">
        <v>1027</v>
      </c>
      <c r="L259" s="251">
        <v>44628</v>
      </c>
      <c r="M259" s="252">
        <v>254545</v>
      </c>
      <c r="N259" s="241">
        <v>1</v>
      </c>
      <c r="O259" s="253">
        <f t="shared" si="13"/>
        <v>254545</v>
      </c>
      <c r="P259" s="253">
        <v>275000</v>
      </c>
      <c r="Q259" s="253">
        <f t="shared" si="14"/>
        <v>275000</v>
      </c>
    </row>
    <row r="260" spans="2:17">
      <c r="B260" s="200">
        <v>257</v>
      </c>
      <c r="C260" s="241" t="s">
        <v>1028</v>
      </c>
      <c r="D260" s="242" t="s">
        <v>1020</v>
      </c>
      <c r="E260" s="243" t="s">
        <v>9</v>
      </c>
      <c r="F260" s="244" t="s">
        <v>1029</v>
      </c>
      <c r="G260" s="241"/>
      <c r="H260" s="241" t="s">
        <v>1030</v>
      </c>
      <c r="I260" s="241"/>
      <c r="J260" s="244" t="s">
        <v>50</v>
      </c>
      <c r="K260" s="241" t="s">
        <v>1031</v>
      </c>
      <c r="L260" s="251">
        <v>44628</v>
      </c>
      <c r="M260" s="252">
        <v>254545</v>
      </c>
      <c r="N260" s="241">
        <v>2</v>
      </c>
      <c r="O260" s="253">
        <f t="shared" si="13"/>
        <v>509090</v>
      </c>
      <c r="P260" s="253">
        <v>275000</v>
      </c>
      <c r="Q260" s="253">
        <f t="shared" si="14"/>
        <v>550000</v>
      </c>
    </row>
    <row r="261" spans="2:17">
      <c r="B261" s="200">
        <v>258</v>
      </c>
      <c r="C261" s="241" t="s">
        <v>1032</v>
      </c>
      <c r="D261" s="242" t="s">
        <v>1020</v>
      </c>
      <c r="E261" s="243" t="s">
        <v>9</v>
      </c>
      <c r="F261" s="244" t="s">
        <v>1033</v>
      </c>
      <c r="G261" s="241"/>
      <c r="H261" s="241" t="s">
        <v>1030</v>
      </c>
      <c r="I261" s="241"/>
      <c r="J261" s="244" t="s">
        <v>50</v>
      </c>
      <c r="K261" s="241" t="s">
        <v>1034</v>
      </c>
      <c r="L261" s="251">
        <v>44628</v>
      </c>
      <c r="M261" s="252">
        <v>254545</v>
      </c>
      <c r="N261" s="241">
        <v>1</v>
      </c>
      <c r="O261" s="253">
        <f t="shared" si="13"/>
        <v>254545</v>
      </c>
      <c r="P261" s="253">
        <v>275000</v>
      </c>
      <c r="Q261" s="253">
        <f t="shared" si="14"/>
        <v>275000</v>
      </c>
    </row>
    <row r="262" spans="2:17">
      <c r="B262" s="200">
        <v>259</v>
      </c>
      <c r="C262" s="241" t="s">
        <v>1035</v>
      </c>
      <c r="D262" s="242" t="s">
        <v>1036</v>
      </c>
      <c r="E262" s="243" t="s">
        <v>11</v>
      </c>
      <c r="F262" s="244" t="s">
        <v>880</v>
      </c>
      <c r="G262" s="241"/>
      <c r="H262" s="241" t="s">
        <v>1037</v>
      </c>
      <c r="I262" s="241"/>
      <c r="J262" s="244" t="s">
        <v>1038</v>
      </c>
      <c r="K262" s="241" t="s">
        <v>1039</v>
      </c>
      <c r="L262" s="251">
        <v>44629</v>
      </c>
      <c r="M262" s="252">
        <v>184875</v>
      </c>
      <c r="N262" s="241">
        <v>15</v>
      </c>
      <c r="O262" s="253">
        <f t="shared" si="13"/>
        <v>2773125</v>
      </c>
      <c r="P262" s="253">
        <v>201682</v>
      </c>
      <c r="Q262" s="253">
        <f t="shared" si="14"/>
        <v>3025230</v>
      </c>
    </row>
    <row r="263" spans="2:17">
      <c r="B263" s="200">
        <v>260</v>
      </c>
      <c r="C263" s="241" t="s">
        <v>1040</v>
      </c>
      <c r="D263" s="242" t="s">
        <v>1041</v>
      </c>
      <c r="E263" s="243" t="s">
        <v>9</v>
      </c>
      <c r="F263" s="244" t="s">
        <v>1042</v>
      </c>
      <c r="G263" s="241"/>
      <c r="H263" s="241" t="s">
        <v>1043</v>
      </c>
      <c r="I263" s="241"/>
      <c r="J263" s="244" t="s">
        <v>50</v>
      </c>
      <c r="K263" s="241" t="s">
        <v>1044</v>
      </c>
      <c r="L263" s="251">
        <v>44631</v>
      </c>
      <c r="M263" s="252">
        <v>254545</v>
      </c>
      <c r="N263" s="241">
        <v>1</v>
      </c>
      <c r="O263" s="253">
        <f t="shared" si="13"/>
        <v>254545</v>
      </c>
      <c r="P263" s="253">
        <v>275000</v>
      </c>
      <c r="Q263" s="253">
        <f t="shared" si="14"/>
        <v>275000</v>
      </c>
    </row>
    <row r="264" spans="2:17">
      <c r="B264" s="200">
        <v>261</v>
      </c>
      <c r="C264" s="241" t="s">
        <v>1045</v>
      </c>
      <c r="D264" s="242" t="s">
        <v>1046</v>
      </c>
      <c r="E264" s="243" t="s">
        <v>9</v>
      </c>
      <c r="F264" s="244" t="s">
        <v>1047</v>
      </c>
      <c r="G264" s="241"/>
      <c r="H264" s="241" t="s">
        <v>1048</v>
      </c>
      <c r="I264" s="241"/>
      <c r="J264" s="244" t="s">
        <v>50</v>
      </c>
      <c r="K264" s="241" t="s">
        <v>1049</v>
      </c>
      <c r="L264" s="251">
        <v>44635</v>
      </c>
      <c r="M264" s="252">
        <v>254545</v>
      </c>
      <c r="N264" s="241">
        <v>1</v>
      </c>
      <c r="O264" s="253">
        <f t="shared" si="13"/>
        <v>254545</v>
      </c>
      <c r="P264" s="253">
        <v>275000</v>
      </c>
      <c r="Q264" s="253">
        <f t="shared" si="14"/>
        <v>275000</v>
      </c>
    </row>
    <row r="265" spans="2:17">
      <c r="B265" s="200">
        <v>262</v>
      </c>
      <c r="C265" s="241" t="s">
        <v>1050</v>
      </c>
      <c r="D265" s="242" t="s">
        <v>1046</v>
      </c>
      <c r="E265" s="243" t="s">
        <v>9</v>
      </c>
      <c r="F265" s="244" t="s">
        <v>1051</v>
      </c>
      <c r="G265" s="241"/>
      <c r="H265" s="241" t="s">
        <v>1048</v>
      </c>
      <c r="I265" s="241"/>
      <c r="J265" s="244" t="s">
        <v>50</v>
      </c>
      <c r="K265" s="241" t="s">
        <v>1052</v>
      </c>
      <c r="L265" s="251">
        <v>44635</v>
      </c>
      <c r="M265" s="252">
        <v>254545</v>
      </c>
      <c r="N265" s="241">
        <v>1</v>
      </c>
      <c r="O265" s="253">
        <f t="shared" si="13"/>
        <v>254545</v>
      </c>
      <c r="P265" s="253">
        <v>275000</v>
      </c>
      <c r="Q265" s="253">
        <f t="shared" si="14"/>
        <v>275000</v>
      </c>
    </row>
    <row r="266" spans="2:17">
      <c r="B266" s="200">
        <v>263</v>
      </c>
      <c r="C266" s="241" t="s">
        <v>1053</v>
      </c>
      <c r="D266" s="242" t="s">
        <v>1054</v>
      </c>
      <c r="E266" s="243" t="s">
        <v>6</v>
      </c>
      <c r="F266" s="244" t="s">
        <v>509</v>
      </c>
      <c r="G266" s="241"/>
      <c r="H266" s="241" t="s">
        <v>1055</v>
      </c>
      <c r="I266" s="241"/>
      <c r="J266" s="244" t="s">
        <v>50</v>
      </c>
      <c r="K266" s="241" t="s">
        <v>1056</v>
      </c>
      <c r="L266" s="251">
        <v>44637</v>
      </c>
      <c r="M266" s="252">
        <v>444545</v>
      </c>
      <c r="N266" s="241">
        <v>116</v>
      </c>
      <c r="O266" s="253">
        <f t="shared" si="13"/>
        <v>51567220</v>
      </c>
      <c r="P266" s="253">
        <v>556363.64</v>
      </c>
      <c r="Q266" s="253">
        <f t="shared" si="14"/>
        <v>64538182.240000002</v>
      </c>
    </row>
    <row r="267" spans="2:17">
      <c r="B267" s="200">
        <v>264</v>
      </c>
      <c r="C267" s="241" t="s">
        <v>1057</v>
      </c>
      <c r="D267" s="242" t="s">
        <v>1058</v>
      </c>
      <c r="E267" s="243" t="s">
        <v>9</v>
      </c>
      <c r="F267" s="244" t="s">
        <v>1059</v>
      </c>
      <c r="G267" s="241"/>
      <c r="H267" s="241" t="s">
        <v>1060</v>
      </c>
      <c r="I267" s="241"/>
      <c r="J267" s="244" t="s">
        <v>50</v>
      </c>
      <c r="K267" s="241" t="s">
        <v>1061</v>
      </c>
      <c r="L267" s="251">
        <v>44641</v>
      </c>
      <c r="M267" s="252">
        <v>254545</v>
      </c>
      <c r="N267" s="241">
        <v>7</v>
      </c>
      <c r="O267" s="253">
        <f t="shared" si="13"/>
        <v>1781815</v>
      </c>
      <c r="P267" s="253">
        <v>275000</v>
      </c>
      <c r="Q267" s="253">
        <f t="shared" si="14"/>
        <v>1925000</v>
      </c>
    </row>
    <row r="268" spans="2:17">
      <c r="B268" s="200">
        <v>265</v>
      </c>
      <c r="C268" s="241" t="s">
        <v>1062</v>
      </c>
      <c r="D268" s="242" t="s">
        <v>1058</v>
      </c>
      <c r="E268" s="243" t="s">
        <v>9</v>
      </c>
      <c r="F268" s="244" t="s">
        <v>1063</v>
      </c>
      <c r="G268" s="241"/>
      <c r="H268" s="241" t="s">
        <v>1060</v>
      </c>
      <c r="I268" s="241"/>
      <c r="J268" s="244" t="s">
        <v>50</v>
      </c>
      <c r="K268" s="241" t="s">
        <v>1064</v>
      </c>
      <c r="L268" s="251">
        <v>44641</v>
      </c>
      <c r="M268" s="252">
        <v>254545</v>
      </c>
      <c r="N268" s="241">
        <v>2</v>
      </c>
      <c r="O268" s="253">
        <f t="shared" si="13"/>
        <v>509090</v>
      </c>
      <c r="P268" s="253">
        <v>275000</v>
      </c>
      <c r="Q268" s="253">
        <f t="shared" si="14"/>
        <v>550000</v>
      </c>
    </row>
    <row r="269" spans="2:17">
      <c r="B269" s="200">
        <v>266</v>
      </c>
      <c r="C269" s="241" t="s">
        <v>1065</v>
      </c>
      <c r="D269" s="242" t="s">
        <v>1058</v>
      </c>
      <c r="E269" s="243" t="s">
        <v>9</v>
      </c>
      <c r="F269" s="244" t="s">
        <v>832</v>
      </c>
      <c r="G269" s="241"/>
      <c r="H269" s="241" t="s">
        <v>1060</v>
      </c>
      <c r="I269" s="241"/>
      <c r="J269" s="244" t="s">
        <v>50</v>
      </c>
      <c r="K269" s="241" t="s">
        <v>1066</v>
      </c>
      <c r="L269" s="251">
        <v>44641</v>
      </c>
      <c r="M269" s="252">
        <v>254545</v>
      </c>
      <c r="N269" s="241">
        <v>3</v>
      </c>
      <c r="O269" s="253">
        <f t="shared" si="13"/>
        <v>763635</v>
      </c>
      <c r="P269" s="253">
        <v>275000</v>
      </c>
      <c r="Q269" s="253">
        <f t="shared" si="14"/>
        <v>825000</v>
      </c>
    </row>
    <row r="270" spans="2:17">
      <c r="B270" s="200">
        <v>267</v>
      </c>
      <c r="C270" s="241" t="s">
        <v>1067</v>
      </c>
      <c r="D270" s="242" t="s">
        <v>1068</v>
      </c>
      <c r="E270" s="243" t="s">
        <v>9</v>
      </c>
      <c r="F270" s="244" t="s">
        <v>1069</v>
      </c>
      <c r="G270" s="241"/>
      <c r="H270" s="241" t="s">
        <v>1070</v>
      </c>
      <c r="I270" s="241"/>
      <c r="J270" s="244" t="s">
        <v>50</v>
      </c>
      <c r="K270" s="241" t="s">
        <v>1071</v>
      </c>
      <c r="L270" s="251">
        <v>44644</v>
      </c>
      <c r="M270" s="252">
        <v>254545</v>
      </c>
      <c r="N270" s="241">
        <v>1</v>
      </c>
      <c r="O270" s="253">
        <f t="shared" si="13"/>
        <v>254545</v>
      </c>
      <c r="P270" s="253">
        <v>275000</v>
      </c>
      <c r="Q270" s="253">
        <f t="shared" si="14"/>
        <v>275000</v>
      </c>
    </row>
    <row r="271" spans="2:17">
      <c r="B271" s="200">
        <v>268</v>
      </c>
      <c r="C271" s="241" t="s">
        <v>1072</v>
      </c>
      <c r="D271" s="242" t="s">
        <v>1068</v>
      </c>
      <c r="E271" s="243" t="s">
        <v>9</v>
      </c>
      <c r="F271" s="244" t="s">
        <v>1073</v>
      </c>
      <c r="G271" s="241"/>
      <c r="H271" s="241" t="s">
        <v>1070</v>
      </c>
      <c r="I271" s="241"/>
      <c r="J271" s="244" t="s">
        <v>50</v>
      </c>
      <c r="K271" s="241" t="s">
        <v>1074</v>
      </c>
      <c r="L271" s="251">
        <v>44644</v>
      </c>
      <c r="M271" s="252">
        <v>254545</v>
      </c>
      <c r="N271" s="241">
        <v>1</v>
      </c>
      <c r="O271" s="253">
        <f t="shared" si="13"/>
        <v>254545</v>
      </c>
      <c r="P271" s="253">
        <v>275000</v>
      </c>
      <c r="Q271" s="253">
        <f t="shared" si="14"/>
        <v>275000</v>
      </c>
    </row>
    <row r="272" spans="2:17">
      <c r="B272" s="200">
        <v>269</v>
      </c>
      <c r="C272" s="241" t="s">
        <v>1075</v>
      </c>
      <c r="D272" s="242" t="s">
        <v>1068</v>
      </c>
      <c r="E272" s="243" t="s">
        <v>9</v>
      </c>
      <c r="F272" s="244" t="s">
        <v>206</v>
      </c>
      <c r="G272" s="241"/>
      <c r="H272" s="241" t="s">
        <v>1070</v>
      </c>
      <c r="I272" s="241"/>
      <c r="J272" s="244" t="s">
        <v>50</v>
      </c>
      <c r="K272" s="241" t="s">
        <v>1076</v>
      </c>
      <c r="L272" s="251">
        <v>44644</v>
      </c>
      <c r="M272" s="252">
        <v>254545</v>
      </c>
      <c r="N272" s="241">
        <v>2</v>
      </c>
      <c r="O272" s="253">
        <f t="shared" si="13"/>
        <v>509090</v>
      </c>
      <c r="P272" s="253">
        <v>275000</v>
      </c>
      <c r="Q272" s="253">
        <f t="shared" si="14"/>
        <v>550000</v>
      </c>
    </row>
    <row r="273" spans="2:17">
      <c r="B273" s="200">
        <v>270</v>
      </c>
      <c r="C273" s="241" t="s">
        <v>1077</v>
      </c>
      <c r="D273" s="242" t="s">
        <v>1078</v>
      </c>
      <c r="E273" s="243" t="s">
        <v>9</v>
      </c>
      <c r="F273" s="244" t="s">
        <v>645</v>
      </c>
      <c r="G273" s="241"/>
      <c r="H273" s="241" t="s">
        <v>1079</v>
      </c>
      <c r="I273" s="241"/>
      <c r="J273" s="244" t="s">
        <v>50</v>
      </c>
      <c r="K273" s="241" t="s">
        <v>1080</v>
      </c>
      <c r="L273" s="251">
        <v>44645</v>
      </c>
      <c r="M273" s="252">
        <v>254545</v>
      </c>
      <c r="N273" s="241">
        <v>2</v>
      </c>
      <c r="O273" s="253">
        <f t="shared" si="13"/>
        <v>509090</v>
      </c>
      <c r="P273" s="253">
        <v>275000</v>
      </c>
      <c r="Q273" s="253">
        <f t="shared" si="14"/>
        <v>550000</v>
      </c>
    </row>
    <row r="274" spans="2:17">
      <c r="B274" s="200">
        <v>271</v>
      </c>
      <c r="C274" s="241" t="s">
        <v>1081</v>
      </c>
      <c r="D274" s="242" t="s">
        <v>1078</v>
      </c>
      <c r="E274" s="243" t="s">
        <v>9</v>
      </c>
      <c r="F274" s="244" t="s">
        <v>1082</v>
      </c>
      <c r="G274" s="241"/>
      <c r="H274" s="241" t="s">
        <v>1070</v>
      </c>
      <c r="I274" s="241"/>
      <c r="J274" s="244" t="s">
        <v>50</v>
      </c>
      <c r="K274" s="241" t="s">
        <v>1083</v>
      </c>
      <c r="L274" s="251">
        <v>44645</v>
      </c>
      <c r="M274" s="252">
        <v>254545</v>
      </c>
      <c r="N274" s="241">
        <v>3</v>
      </c>
      <c r="O274" s="253">
        <f t="shared" si="13"/>
        <v>763635</v>
      </c>
      <c r="P274" s="253">
        <v>275000</v>
      </c>
      <c r="Q274" s="253">
        <f t="shared" si="14"/>
        <v>825000</v>
      </c>
    </row>
    <row r="275" spans="2:17">
      <c r="B275" s="200">
        <v>272</v>
      </c>
      <c r="C275" s="241" t="s">
        <v>1084</v>
      </c>
      <c r="D275" s="242" t="s">
        <v>1078</v>
      </c>
      <c r="E275" s="243" t="s">
        <v>9</v>
      </c>
      <c r="F275" s="244" t="s">
        <v>1082</v>
      </c>
      <c r="G275" s="241"/>
      <c r="H275" s="241" t="s">
        <v>1070</v>
      </c>
      <c r="I275" s="241"/>
      <c r="J275" s="244" t="s">
        <v>50</v>
      </c>
      <c r="K275" s="241" t="s">
        <v>1085</v>
      </c>
      <c r="L275" s="251">
        <v>44645</v>
      </c>
      <c r="M275" s="252">
        <v>254545</v>
      </c>
      <c r="N275" s="241">
        <v>1</v>
      </c>
      <c r="O275" s="253">
        <f t="shared" si="13"/>
        <v>254545</v>
      </c>
      <c r="P275" s="253">
        <v>275000</v>
      </c>
      <c r="Q275" s="253">
        <f t="shared" si="14"/>
        <v>275000</v>
      </c>
    </row>
    <row r="276" spans="2:17">
      <c r="B276" s="200">
        <v>273</v>
      </c>
      <c r="C276" s="241" t="s">
        <v>1086</v>
      </c>
      <c r="D276" s="242" t="s">
        <v>1087</v>
      </c>
      <c r="E276" s="243" t="s">
        <v>9</v>
      </c>
      <c r="F276" s="244" t="s">
        <v>1003</v>
      </c>
      <c r="G276" s="241"/>
      <c r="H276" s="241" t="s">
        <v>1088</v>
      </c>
      <c r="I276" s="241"/>
      <c r="J276" s="244" t="s">
        <v>50</v>
      </c>
      <c r="K276" s="241" t="s">
        <v>1089</v>
      </c>
      <c r="L276" s="251">
        <v>44649</v>
      </c>
      <c r="M276" s="252">
        <v>254545</v>
      </c>
      <c r="N276" s="241">
        <v>5</v>
      </c>
      <c r="O276" s="253">
        <f t="shared" si="13"/>
        <v>1272725</v>
      </c>
      <c r="P276" s="253">
        <v>275000</v>
      </c>
      <c r="Q276" s="253">
        <f t="shared" si="14"/>
        <v>1375000</v>
      </c>
    </row>
    <row r="277" spans="2:17">
      <c r="B277" s="200">
        <v>274</v>
      </c>
      <c r="C277" s="241" t="s">
        <v>1090</v>
      </c>
      <c r="D277" s="242" t="s">
        <v>1087</v>
      </c>
      <c r="E277" s="243" t="s">
        <v>9</v>
      </c>
      <c r="F277" s="244" t="s">
        <v>1091</v>
      </c>
      <c r="G277" s="241"/>
      <c r="H277" s="241" t="s">
        <v>1088</v>
      </c>
      <c r="I277" s="241"/>
      <c r="J277" s="244" t="s">
        <v>50</v>
      </c>
      <c r="K277" s="241" t="s">
        <v>1092</v>
      </c>
      <c r="L277" s="251">
        <v>44649</v>
      </c>
      <c r="M277" s="252">
        <v>254545</v>
      </c>
      <c r="N277" s="241">
        <v>1</v>
      </c>
      <c r="O277" s="253">
        <f t="shared" si="13"/>
        <v>254545</v>
      </c>
      <c r="P277" s="253">
        <v>275000</v>
      </c>
      <c r="Q277" s="253">
        <f t="shared" si="14"/>
        <v>275000</v>
      </c>
    </row>
    <row r="278" spans="2:17">
      <c r="B278" s="200">
        <v>275</v>
      </c>
      <c r="C278" s="241" t="s">
        <v>1093</v>
      </c>
      <c r="D278" s="242" t="s">
        <v>1087</v>
      </c>
      <c r="E278" s="243" t="s">
        <v>9</v>
      </c>
      <c r="F278" s="244" t="s">
        <v>1094</v>
      </c>
      <c r="G278" s="241"/>
      <c r="H278" s="241" t="s">
        <v>1088</v>
      </c>
      <c r="I278" s="241"/>
      <c r="J278" s="244" t="s">
        <v>50</v>
      </c>
      <c r="K278" s="241" t="s">
        <v>1095</v>
      </c>
      <c r="L278" s="251">
        <v>44649</v>
      </c>
      <c r="M278" s="252">
        <v>254545</v>
      </c>
      <c r="N278" s="241">
        <v>1</v>
      </c>
      <c r="O278" s="253">
        <f t="shared" si="13"/>
        <v>254545</v>
      </c>
      <c r="P278" s="253">
        <v>275000</v>
      </c>
      <c r="Q278" s="253">
        <f t="shared" si="14"/>
        <v>275000</v>
      </c>
    </row>
    <row r="279" spans="2:17">
      <c r="B279" s="200">
        <v>276</v>
      </c>
      <c r="C279" s="241" t="s">
        <v>1096</v>
      </c>
      <c r="D279" s="242" t="s">
        <v>1087</v>
      </c>
      <c r="E279" s="243" t="s">
        <v>9</v>
      </c>
      <c r="F279" s="244" t="s">
        <v>1091</v>
      </c>
      <c r="G279" s="241"/>
      <c r="H279" s="241" t="s">
        <v>1088</v>
      </c>
      <c r="I279" s="241"/>
      <c r="J279" s="244" t="s">
        <v>50</v>
      </c>
      <c r="K279" s="241" t="s">
        <v>1097</v>
      </c>
      <c r="L279" s="251">
        <v>44649</v>
      </c>
      <c r="M279" s="252">
        <v>254545</v>
      </c>
      <c r="N279" s="241">
        <v>1</v>
      </c>
      <c r="O279" s="253">
        <f t="shared" si="13"/>
        <v>254545</v>
      </c>
      <c r="P279" s="253">
        <v>275000</v>
      </c>
      <c r="Q279" s="253">
        <f t="shared" si="14"/>
        <v>275000</v>
      </c>
    </row>
    <row r="280" spans="2:17">
      <c r="B280" s="200">
        <v>277</v>
      </c>
      <c r="C280" s="241" t="s">
        <v>1098</v>
      </c>
      <c r="D280" s="242" t="s">
        <v>1087</v>
      </c>
      <c r="E280" s="243" t="s">
        <v>9</v>
      </c>
      <c r="F280" s="244" t="s">
        <v>1094</v>
      </c>
      <c r="G280" s="241"/>
      <c r="H280" s="241" t="s">
        <v>1088</v>
      </c>
      <c r="I280" s="241"/>
      <c r="J280" s="244" t="s">
        <v>50</v>
      </c>
      <c r="K280" s="241" t="s">
        <v>1099</v>
      </c>
      <c r="L280" s="251">
        <v>44649</v>
      </c>
      <c r="M280" s="252">
        <v>254545</v>
      </c>
      <c r="N280" s="241">
        <v>2</v>
      </c>
      <c r="O280" s="253">
        <f t="shared" si="13"/>
        <v>509090</v>
      </c>
      <c r="P280" s="253">
        <v>275000</v>
      </c>
      <c r="Q280" s="253">
        <f t="shared" si="14"/>
        <v>550000</v>
      </c>
    </row>
    <row r="281" spans="2:17">
      <c r="B281" s="200">
        <v>278</v>
      </c>
      <c r="C281" s="241" t="s">
        <v>1100</v>
      </c>
      <c r="D281" s="242" t="s">
        <v>1087</v>
      </c>
      <c r="E281" s="243" t="s">
        <v>9</v>
      </c>
      <c r="F281" s="244" t="s">
        <v>1101</v>
      </c>
      <c r="G281" s="241"/>
      <c r="H281" s="241" t="s">
        <v>1088</v>
      </c>
      <c r="I281" s="241"/>
      <c r="J281" s="244" t="s">
        <v>50</v>
      </c>
      <c r="K281" s="241" t="s">
        <v>1102</v>
      </c>
      <c r="L281" s="251">
        <v>44649</v>
      </c>
      <c r="M281" s="252">
        <v>254545</v>
      </c>
      <c r="N281" s="241">
        <v>1</v>
      </c>
      <c r="O281" s="253">
        <f t="shared" si="13"/>
        <v>254545</v>
      </c>
      <c r="P281" s="253">
        <v>275000</v>
      </c>
      <c r="Q281" s="253">
        <f t="shared" si="14"/>
        <v>275000</v>
      </c>
    </row>
    <row r="282" spans="2:17">
      <c r="B282" s="200">
        <v>279</v>
      </c>
      <c r="C282" s="241" t="s">
        <v>1103</v>
      </c>
      <c r="D282" s="242" t="s">
        <v>1087</v>
      </c>
      <c r="E282" s="243" t="s">
        <v>9</v>
      </c>
      <c r="F282" s="244" t="s">
        <v>1104</v>
      </c>
      <c r="G282" s="241"/>
      <c r="H282" s="241" t="s">
        <v>1088</v>
      </c>
      <c r="I282" s="241"/>
      <c r="J282" s="244" t="s">
        <v>50</v>
      </c>
      <c r="K282" s="241" t="s">
        <v>1105</v>
      </c>
      <c r="L282" s="251">
        <v>44649</v>
      </c>
      <c r="M282" s="252">
        <v>254545</v>
      </c>
      <c r="N282" s="241">
        <v>6</v>
      </c>
      <c r="O282" s="253">
        <f t="shared" si="13"/>
        <v>1527270</v>
      </c>
      <c r="P282" s="253">
        <v>275000</v>
      </c>
      <c r="Q282" s="253">
        <f t="shared" si="14"/>
        <v>1650000</v>
      </c>
    </row>
    <row r="283" spans="2:17">
      <c r="B283" s="200">
        <v>280</v>
      </c>
      <c r="C283" s="241" t="s">
        <v>1106</v>
      </c>
      <c r="D283" s="242" t="s">
        <v>1087</v>
      </c>
      <c r="E283" s="243" t="s">
        <v>9</v>
      </c>
      <c r="F283" s="244" t="s">
        <v>1107</v>
      </c>
      <c r="G283" s="241"/>
      <c r="H283" s="241" t="s">
        <v>1088</v>
      </c>
      <c r="I283" s="241"/>
      <c r="J283" s="244" t="s">
        <v>50</v>
      </c>
      <c r="K283" s="241" t="s">
        <v>1108</v>
      </c>
      <c r="L283" s="251">
        <v>44649</v>
      </c>
      <c r="M283" s="252">
        <v>254545</v>
      </c>
      <c r="N283" s="241">
        <v>1</v>
      </c>
      <c r="O283" s="253">
        <f t="shared" si="13"/>
        <v>254545</v>
      </c>
      <c r="P283" s="253">
        <v>275000</v>
      </c>
      <c r="Q283" s="253">
        <f t="shared" si="14"/>
        <v>275000</v>
      </c>
    </row>
    <row r="284" spans="2:17">
      <c r="B284" s="200">
        <v>281</v>
      </c>
      <c r="C284" s="241" t="s">
        <v>1109</v>
      </c>
      <c r="D284" s="242" t="s">
        <v>1087</v>
      </c>
      <c r="E284" s="243" t="s">
        <v>9</v>
      </c>
      <c r="F284" s="244" t="s">
        <v>1110</v>
      </c>
      <c r="G284" s="241"/>
      <c r="H284" s="241" t="s">
        <v>1088</v>
      </c>
      <c r="I284" s="241"/>
      <c r="J284" s="244" t="s">
        <v>50</v>
      </c>
      <c r="K284" s="241" t="s">
        <v>1111</v>
      </c>
      <c r="L284" s="251">
        <v>44649</v>
      </c>
      <c r="M284" s="252">
        <v>254545</v>
      </c>
      <c r="N284" s="241">
        <v>1</v>
      </c>
      <c r="O284" s="253">
        <f t="shared" si="13"/>
        <v>254545</v>
      </c>
      <c r="P284" s="253">
        <v>275000</v>
      </c>
      <c r="Q284" s="253">
        <f t="shared" si="14"/>
        <v>275000</v>
      </c>
    </row>
    <row r="285" spans="2:17">
      <c r="B285" s="200">
        <v>282</v>
      </c>
      <c r="C285" s="241" t="s">
        <v>1112</v>
      </c>
      <c r="D285" s="242" t="s">
        <v>1113</v>
      </c>
      <c r="E285" s="243" t="s">
        <v>9</v>
      </c>
      <c r="F285" s="244" t="s">
        <v>222</v>
      </c>
      <c r="G285" s="241"/>
      <c r="H285" s="241" t="s">
        <v>1114</v>
      </c>
      <c r="I285" s="241"/>
      <c r="J285" s="244" t="s">
        <v>50</v>
      </c>
      <c r="K285" s="241" t="s">
        <v>1115</v>
      </c>
      <c r="L285" s="251">
        <v>44651</v>
      </c>
      <c r="M285" s="252">
        <v>254545</v>
      </c>
      <c r="N285" s="241">
        <v>1</v>
      </c>
      <c r="O285" s="253">
        <f t="shared" si="13"/>
        <v>254545</v>
      </c>
      <c r="P285" s="253">
        <v>275000</v>
      </c>
      <c r="Q285" s="253">
        <f t="shared" si="14"/>
        <v>275000</v>
      </c>
    </row>
    <row r="286" spans="2:17">
      <c r="B286" s="200">
        <v>283</v>
      </c>
      <c r="C286" s="241" t="s">
        <v>1116</v>
      </c>
      <c r="D286" s="242" t="s">
        <v>1113</v>
      </c>
      <c r="E286" s="243" t="s">
        <v>9</v>
      </c>
      <c r="F286" s="244" t="s">
        <v>1117</v>
      </c>
      <c r="G286" s="241"/>
      <c r="H286" s="241" t="s">
        <v>1114</v>
      </c>
      <c r="I286" s="241"/>
      <c r="J286" s="244" t="s">
        <v>50</v>
      </c>
      <c r="K286" s="241" t="s">
        <v>1118</v>
      </c>
      <c r="L286" s="251">
        <v>44651</v>
      </c>
      <c r="M286" s="252">
        <v>254545</v>
      </c>
      <c r="N286" s="241">
        <v>2</v>
      </c>
      <c r="O286" s="253">
        <f t="shared" si="13"/>
        <v>509090</v>
      </c>
      <c r="P286" s="253">
        <v>275000</v>
      </c>
      <c r="Q286" s="253">
        <f t="shared" si="14"/>
        <v>550000</v>
      </c>
    </row>
    <row r="287" spans="2:17">
      <c r="B287" s="200">
        <v>284</v>
      </c>
      <c r="C287" s="237" t="s">
        <v>1119</v>
      </c>
      <c r="D287" s="238" t="s">
        <v>1120</v>
      </c>
      <c r="E287" s="239" t="s">
        <v>9</v>
      </c>
      <c r="F287" s="240" t="s">
        <v>1121</v>
      </c>
      <c r="G287" s="237"/>
      <c r="H287" s="237" t="s">
        <v>1114</v>
      </c>
      <c r="I287" s="237"/>
      <c r="J287" s="240" t="s">
        <v>50</v>
      </c>
      <c r="K287" s="237" t="s">
        <v>1122</v>
      </c>
      <c r="L287" s="248">
        <v>44652</v>
      </c>
      <c r="M287" s="249">
        <v>254545</v>
      </c>
      <c r="N287" s="237">
        <v>2</v>
      </c>
      <c r="O287" s="250">
        <f t="shared" si="13"/>
        <v>509090</v>
      </c>
      <c r="P287" s="250">
        <v>275000</v>
      </c>
      <c r="Q287" s="250">
        <f t="shared" si="14"/>
        <v>550000</v>
      </c>
    </row>
    <row r="288" spans="2:17">
      <c r="B288" s="200">
        <v>285</v>
      </c>
      <c r="C288" s="237" t="s">
        <v>1123</v>
      </c>
      <c r="D288" s="238" t="s">
        <v>1120</v>
      </c>
      <c r="E288" s="239" t="s">
        <v>9</v>
      </c>
      <c r="F288" s="240" t="s">
        <v>1124</v>
      </c>
      <c r="G288" s="237"/>
      <c r="H288" s="237" t="s">
        <v>1114</v>
      </c>
      <c r="I288" s="237"/>
      <c r="J288" s="240" t="s">
        <v>50</v>
      </c>
      <c r="K288" s="237" t="s">
        <v>1125</v>
      </c>
      <c r="L288" s="248">
        <v>44652</v>
      </c>
      <c r="M288" s="249">
        <v>254545</v>
      </c>
      <c r="N288" s="237">
        <v>9</v>
      </c>
      <c r="O288" s="250">
        <f t="shared" si="13"/>
        <v>2290905</v>
      </c>
      <c r="P288" s="250">
        <v>275000</v>
      </c>
      <c r="Q288" s="250">
        <f t="shared" si="14"/>
        <v>2475000</v>
      </c>
    </row>
    <row r="289" spans="2:17">
      <c r="B289" s="200">
        <v>286</v>
      </c>
      <c r="C289" s="237" t="s">
        <v>1126</v>
      </c>
      <c r="D289" s="238" t="s">
        <v>1120</v>
      </c>
      <c r="E289" s="239" t="s">
        <v>9</v>
      </c>
      <c r="F289" s="240" t="s">
        <v>1127</v>
      </c>
      <c r="G289" s="237"/>
      <c r="H289" s="237" t="s">
        <v>1114</v>
      </c>
      <c r="I289" s="237"/>
      <c r="J289" s="240" t="s">
        <v>50</v>
      </c>
      <c r="K289" s="237" t="s">
        <v>1128</v>
      </c>
      <c r="L289" s="248">
        <v>44652</v>
      </c>
      <c r="M289" s="249">
        <v>254545</v>
      </c>
      <c r="N289" s="237">
        <v>3</v>
      </c>
      <c r="O289" s="250">
        <f t="shared" si="13"/>
        <v>763635</v>
      </c>
      <c r="P289" s="250">
        <v>275000</v>
      </c>
      <c r="Q289" s="250">
        <f t="shared" si="14"/>
        <v>825000</v>
      </c>
    </row>
    <row r="290" spans="2:17">
      <c r="B290" s="200">
        <v>287</v>
      </c>
      <c r="C290" s="237" t="s">
        <v>1129</v>
      </c>
      <c r="D290" s="238" t="s">
        <v>1120</v>
      </c>
      <c r="E290" s="239" t="s">
        <v>9</v>
      </c>
      <c r="F290" s="240" t="s">
        <v>1130</v>
      </c>
      <c r="G290" s="237"/>
      <c r="H290" s="237" t="s">
        <v>1114</v>
      </c>
      <c r="I290" s="237"/>
      <c r="J290" s="240" t="s">
        <v>50</v>
      </c>
      <c r="K290" s="237" t="s">
        <v>1131</v>
      </c>
      <c r="L290" s="248">
        <v>44652</v>
      </c>
      <c r="M290" s="249">
        <v>254545</v>
      </c>
      <c r="N290" s="237">
        <v>2</v>
      </c>
      <c r="O290" s="250">
        <f t="shared" si="13"/>
        <v>509090</v>
      </c>
      <c r="P290" s="250">
        <v>275000</v>
      </c>
      <c r="Q290" s="250">
        <f t="shared" si="14"/>
        <v>550000</v>
      </c>
    </row>
    <row r="291" spans="2:17">
      <c r="B291" s="200">
        <v>288</v>
      </c>
      <c r="C291" s="237" t="s">
        <v>1132</v>
      </c>
      <c r="D291" s="238" t="s">
        <v>1120</v>
      </c>
      <c r="E291" s="239" t="s">
        <v>9</v>
      </c>
      <c r="F291" s="240" t="s">
        <v>1133</v>
      </c>
      <c r="G291" s="237"/>
      <c r="H291" s="237" t="s">
        <v>1114</v>
      </c>
      <c r="I291" s="237"/>
      <c r="J291" s="240" t="s">
        <v>50</v>
      </c>
      <c r="K291" s="237" t="s">
        <v>1134</v>
      </c>
      <c r="L291" s="248">
        <v>44652</v>
      </c>
      <c r="M291" s="249">
        <v>254545</v>
      </c>
      <c r="N291" s="237">
        <v>4</v>
      </c>
      <c r="O291" s="250">
        <f t="shared" si="13"/>
        <v>1018180</v>
      </c>
      <c r="P291" s="250">
        <v>275000</v>
      </c>
      <c r="Q291" s="250">
        <f t="shared" si="14"/>
        <v>1100000</v>
      </c>
    </row>
    <row r="292" spans="2:17">
      <c r="B292" s="200">
        <v>289</v>
      </c>
      <c r="C292" s="237" t="s">
        <v>1135</v>
      </c>
      <c r="D292" s="238" t="s">
        <v>1120</v>
      </c>
      <c r="E292" s="239" t="s">
        <v>9</v>
      </c>
      <c r="F292" s="240" t="s">
        <v>1136</v>
      </c>
      <c r="G292" s="237"/>
      <c r="H292" s="237" t="s">
        <v>1114</v>
      </c>
      <c r="I292" s="237"/>
      <c r="J292" s="240" t="s">
        <v>50</v>
      </c>
      <c r="K292" s="237" t="s">
        <v>1137</v>
      </c>
      <c r="L292" s="248">
        <v>44652</v>
      </c>
      <c r="M292" s="249">
        <v>254545</v>
      </c>
      <c r="N292" s="237">
        <v>4</v>
      </c>
      <c r="O292" s="250">
        <f t="shared" si="13"/>
        <v>1018180</v>
      </c>
      <c r="P292" s="250">
        <v>275000</v>
      </c>
      <c r="Q292" s="250">
        <f t="shared" si="14"/>
        <v>1100000</v>
      </c>
    </row>
    <row r="293" spans="2:17">
      <c r="B293" s="200">
        <v>290</v>
      </c>
      <c r="C293" s="237" t="s">
        <v>1138</v>
      </c>
      <c r="D293" s="238" t="s">
        <v>1139</v>
      </c>
      <c r="E293" s="239" t="s">
        <v>9</v>
      </c>
      <c r="F293" s="240" t="s">
        <v>1140</v>
      </c>
      <c r="G293" s="237"/>
      <c r="H293" s="237" t="s">
        <v>1141</v>
      </c>
      <c r="I293" s="237"/>
      <c r="J293" s="240" t="s">
        <v>50</v>
      </c>
      <c r="K293" s="237" t="s">
        <v>1142</v>
      </c>
      <c r="L293" s="248">
        <v>44657</v>
      </c>
      <c r="M293" s="249">
        <v>254545</v>
      </c>
      <c r="N293" s="237">
        <v>4</v>
      </c>
      <c r="O293" s="250">
        <f t="shared" si="13"/>
        <v>1018180</v>
      </c>
      <c r="P293" s="250">
        <v>275000</v>
      </c>
      <c r="Q293" s="250">
        <f t="shared" si="14"/>
        <v>1100000</v>
      </c>
    </row>
    <row r="294" spans="2:17">
      <c r="B294" s="200">
        <v>291</v>
      </c>
      <c r="C294" s="237" t="s">
        <v>1143</v>
      </c>
      <c r="D294" s="238" t="s">
        <v>1139</v>
      </c>
      <c r="E294" s="239" t="s">
        <v>9</v>
      </c>
      <c r="F294" s="240" t="s">
        <v>1144</v>
      </c>
      <c r="G294" s="237"/>
      <c r="H294" s="237" t="s">
        <v>1141</v>
      </c>
      <c r="I294" s="237"/>
      <c r="J294" s="240" t="s">
        <v>50</v>
      </c>
      <c r="K294" s="237" t="s">
        <v>1145</v>
      </c>
      <c r="L294" s="248">
        <v>44657</v>
      </c>
      <c r="M294" s="249">
        <v>254545</v>
      </c>
      <c r="N294" s="237">
        <v>2</v>
      </c>
      <c r="O294" s="250">
        <f t="shared" si="13"/>
        <v>509090</v>
      </c>
      <c r="P294" s="250">
        <v>275000</v>
      </c>
      <c r="Q294" s="250">
        <f t="shared" si="14"/>
        <v>550000</v>
      </c>
    </row>
    <row r="295" spans="2:17">
      <c r="B295" s="200">
        <v>292</v>
      </c>
      <c r="C295" s="237" t="s">
        <v>1146</v>
      </c>
      <c r="D295" s="238" t="s">
        <v>1139</v>
      </c>
      <c r="E295" s="239" t="s">
        <v>9</v>
      </c>
      <c r="F295" s="240" t="s">
        <v>1147</v>
      </c>
      <c r="G295" s="237"/>
      <c r="H295" s="237" t="s">
        <v>1141</v>
      </c>
      <c r="I295" s="237"/>
      <c r="J295" s="240" t="s">
        <v>50</v>
      </c>
      <c r="K295" s="237" t="s">
        <v>1148</v>
      </c>
      <c r="L295" s="248">
        <v>44657</v>
      </c>
      <c r="M295" s="249">
        <v>254545</v>
      </c>
      <c r="N295" s="237">
        <v>12</v>
      </c>
      <c r="O295" s="250">
        <f t="shared" si="13"/>
        <v>3054540</v>
      </c>
      <c r="P295" s="250">
        <v>275000</v>
      </c>
      <c r="Q295" s="250">
        <f t="shared" si="14"/>
        <v>3300000</v>
      </c>
    </row>
    <row r="296" spans="2:17">
      <c r="B296" s="200">
        <v>293</v>
      </c>
      <c r="C296" s="237" t="s">
        <v>1149</v>
      </c>
      <c r="D296" s="238" t="s">
        <v>1139</v>
      </c>
      <c r="E296" s="239" t="s">
        <v>9</v>
      </c>
      <c r="F296" s="240" t="s">
        <v>1150</v>
      </c>
      <c r="G296" s="237"/>
      <c r="H296" s="237" t="s">
        <v>1141</v>
      </c>
      <c r="I296" s="237"/>
      <c r="J296" s="240" t="s">
        <v>50</v>
      </c>
      <c r="K296" s="237" t="s">
        <v>1151</v>
      </c>
      <c r="L296" s="248">
        <v>44657</v>
      </c>
      <c r="M296" s="249">
        <v>254545</v>
      </c>
      <c r="N296" s="237">
        <v>3</v>
      </c>
      <c r="O296" s="250">
        <f t="shared" si="13"/>
        <v>763635</v>
      </c>
      <c r="P296" s="250">
        <v>275000</v>
      </c>
      <c r="Q296" s="250">
        <f t="shared" si="14"/>
        <v>825000</v>
      </c>
    </row>
    <row r="297" spans="2:17">
      <c r="B297" s="200">
        <v>294</v>
      </c>
      <c r="C297" s="237" t="s">
        <v>1152</v>
      </c>
      <c r="D297" s="238" t="s">
        <v>1139</v>
      </c>
      <c r="E297" s="239" t="s">
        <v>9</v>
      </c>
      <c r="F297" s="240" t="s">
        <v>1153</v>
      </c>
      <c r="G297" s="237"/>
      <c r="H297" s="237" t="s">
        <v>1141</v>
      </c>
      <c r="I297" s="237"/>
      <c r="J297" s="240" t="s">
        <v>50</v>
      </c>
      <c r="K297" s="237" t="s">
        <v>1154</v>
      </c>
      <c r="L297" s="248">
        <v>44657</v>
      </c>
      <c r="M297" s="249">
        <v>254545</v>
      </c>
      <c r="N297" s="237">
        <v>8</v>
      </c>
      <c r="O297" s="250">
        <f t="shared" si="13"/>
        <v>2036360</v>
      </c>
      <c r="P297" s="250">
        <v>275000</v>
      </c>
      <c r="Q297" s="250">
        <f t="shared" si="14"/>
        <v>2200000</v>
      </c>
    </row>
    <row r="298" spans="2:17">
      <c r="B298" s="200">
        <v>295</v>
      </c>
      <c r="C298" s="237" t="s">
        <v>1155</v>
      </c>
      <c r="D298" s="238" t="s">
        <v>1139</v>
      </c>
      <c r="E298" s="239" t="s">
        <v>9</v>
      </c>
      <c r="F298" s="240" t="s">
        <v>1156</v>
      </c>
      <c r="G298" s="237"/>
      <c r="H298" s="237" t="s">
        <v>1141</v>
      </c>
      <c r="I298" s="237"/>
      <c r="J298" s="240" t="s">
        <v>50</v>
      </c>
      <c r="K298" s="237" t="s">
        <v>1157</v>
      </c>
      <c r="L298" s="248">
        <v>44657</v>
      </c>
      <c r="M298" s="249">
        <v>254545</v>
      </c>
      <c r="N298" s="237">
        <v>1</v>
      </c>
      <c r="O298" s="250">
        <f t="shared" si="13"/>
        <v>254545</v>
      </c>
      <c r="P298" s="250">
        <v>275000</v>
      </c>
      <c r="Q298" s="250">
        <f t="shared" si="14"/>
        <v>275000</v>
      </c>
    </row>
    <row r="299" spans="2:17">
      <c r="B299" s="200">
        <v>296</v>
      </c>
      <c r="C299" s="237" t="s">
        <v>1158</v>
      </c>
      <c r="D299" s="238" t="s">
        <v>1139</v>
      </c>
      <c r="E299" s="239" t="s">
        <v>9</v>
      </c>
      <c r="F299" s="240" t="s">
        <v>1159</v>
      </c>
      <c r="G299" s="237"/>
      <c r="H299" s="237" t="s">
        <v>1141</v>
      </c>
      <c r="I299" s="237"/>
      <c r="J299" s="240" t="s">
        <v>50</v>
      </c>
      <c r="K299" s="237" t="s">
        <v>1160</v>
      </c>
      <c r="L299" s="248">
        <v>44657</v>
      </c>
      <c r="M299" s="249">
        <v>254545</v>
      </c>
      <c r="N299" s="237">
        <v>1</v>
      </c>
      <c r="O299" s="250">
        <f t="shared" si="13"/>
        <v>254545</v>
      </c>
      <c r="P299" s="250">
        <v>275000</v>
      </c>
      <c r="Q299" s="250">
        <f t="shared" si="14"/>
        <v>275000</v>
      </c>
    </row>
    <row r="300" spans="2:17">
      <c r="B300" s="200">
        <v>297</v>
      </c>
      <c r="C300" s="237" t="s">
        <v>1161</v>
      </c>
      <c r="D300" s="238" t="s">
        <v>1139</v>
      </c>
      <c r="E300" s="239" t="s">
        <v>9</v>
      </c>
      <c r="F300" s="240" t="s">
        <v>1162</v>
      </c>
      <c r="G300" s="237"/>
      <c r="H300" s="237" t="s">
        <v>1141</v>
      </c>
      <c r="I300" s="237"/>
      <c r="J300" s="240" t="s">
        <v>50</v>
      </c>
      <c r="K300" s="237" t="s">
        <v>1163</v>
      </c>
      <c r="L300" s="248">
        <v>44657</v>
      </c>
      <c r="M300" s="249">
        <v>254545</v>
      </c>
      <c r="N300" s="237">
        <v>1</v>
      </c>
      <c r="O300" s="250">
        <f t="shared" si="13"/>
        <v>254545</v>
      </c>
      <c r="P300" s="250">
        <v>275000</v>
      </c>
      <c r="Q300" s="250">
        <f t="shared" si="14"/>
        <v>275000</v>
      </c>
    </row>
    <row r="301" spans="2:17">
      <c r="B301" s="200">
        <v>298</v>
      </c>
      <c r="C301" s="237" t="s">
        <v>1164</v>
      </c>
      <c r="D301" s="238" t="s">
        <v>1165</v>
      </c>
      <c r="E301" s="239" t="s">
        <v>11</v>
      </c>
      <c r="F301" s="240" t="s">
        <v>733</v>
      </c>
      <c r="G301" s="237"/>
      <c r="H301" s="237" t="s">
        <v>1166</v>
      </c>
      <c r="I301" s="237"/>
      <c r="J301" s="240" t="s">
        <v>85</v>
      </c>
      <c r="K301" s="237" t="s">
        <v>1167</v>
      </c>
      <c r="L301" s="248">
        <v>44657</v>
      </c>
      <c r="M301" s="249">
        <v>222727</v>
      </c>
      <c r="N301" s="237">
        <v>5</v>
      </c>
      <c r="O301" s="250">
        <f t="shared" si="13"/>
        <v>1113635</v>
      </c>
      <c r="P301" s="250">
        <v>279091</v>
      </c>
      <c r="Q301" s="250">
        <f t="shared" si="14"/>
        <v>1395455</v>
      </c>
    </row>
    <row r="302" spans="2:17">
      <c r="B302" s="200">
        <v>299</v>
      </c>
      <c r="C302" s="237" t="s">
        <v>1168</v>
      </c>
      <c r="D302" s="238" t="s">
        <v>1169</v>
      </c>
      <c r="E302" s="239" t="s">
        <v>9</v>
      </c>
      <c r="F302" s="240" t="s">
        <v>1170</v>
      </c>
      <c r="G302" s="237"/>
      <c r="H302" s="237" t="s">
        <v>801</v>
      </c>
      <c r="I302" s="237"/>
      <c r="J302" s="240" t="s">
        <v>50</v>
      </c>
      <c r="K302" s="237" t="s">
        <v>1171</v>
      </c>
      <c r="L302" s="248">
        <v>44659</v>
      </c>
      <c r="M302" s="249">
        <v>254545</v>
      </c>
      <c r="N302" s="237">
        <v>4</v>
      </c>
      <c r="O302" s="250">
        <f t="shared" si="13"/>
        <v>1018180</v>
      </c>
      <c r="P302" s="250">
        <v>275000</v>
      </c>
      <c r="Q302" s="250">
        <f t="shared" si="14"/>
        <v>1100000</v>
      </c>
    </row>
    <row r="303" spans="2:17">
      <c r="B303" s="200">
        <v>300</v>
      </c>
      <c r="C303" s="237" t="s">
        <v>1172</v>
      </c>
      <c r="D303" s="238" t="s">
        <v>1169</v>
      </c>
      <c r="E303" s="239" t="s">
        <v>9</v>
      </c>
      <c r="F303" s="240" t="s">
        <v>1173</v>
      </c>
      <c r="G303" s="237"/>
      <c r="H303" s="237" t="s">
        <v>801</v>
      </c>
      <c r="I303" s="237"/>
      <c r="J303" s="240" t="s">
        <v>50</v>
      </c>
      <c r="K303" s="237" t="s">
        <v>1174</v>
      </c>
      <c r="L303" s="248">
        <v>44659</v>
      </c>
      <c r="M303" s="249">
        <v>254545</v>
      </c>
      <c r="N303" s="237">
        <v>4</v>
      </c>
      <c r="O303" s="250">
        <f t="shared" si="13"/>
        <v>1018180</v>
      </c>
      <c r="P303" s="250">
        <v>275000</v>
      </c>
      <c r="Q303" s="250">
        <f t="shared" si="14"/>
        <v>1100000</v>
      </c>
    </row>
    <row r="304" spans="2:17">
      <c r="B304" s="200">
        <v>301</v>
      </c>
      <c r="C304" s="237" t="s">
        <v>1175</v>
      </c>
      <c r="D304" s="238" t="s">
        <v>1169</v>
      </c>
      <c r="E304" s="239" t="s">
        <v>9</v>
      </c>
      <c r="F304" s="240" t="s">
        <v>1176</v>
      </c>
      <c r="G304" s="237"/>
      <c r="H304" s="237" t="s">
        <v>801</v>
      </c>
      <c r="I304" s="237"/>
      <c r="J304" s="240" t="s">
        <v>50</v>
      </c>
      <c r="K304" s="237" t="s">
        <v>1177</v>
      </c>
      <c r="L304" s="248">
        <v>44659</v>
      </c>
      <c r="M304" s="249">
        <v>254545</v>
      </c>
      <c r="N304" s="237">
        <v>8</v>
      </c>
      <c r="O304" s="250">
        <f t="shared" si="13"/>
        <v>2036360</v>
      </c>
      <c r="P304" s="250">
        <v>275000</v>
      </c>
      <c r="Q304" s="250">
        <f t="shared" si="14"/>
        <v>2200000</v>
      </c>
    </row>
    <row r="305" spans="2:17">
      <c r="B305" s="200">
        <v>302</v>
      </c>
      <c r="C305" s="237" t="s">
        <v>1178</v>
      </c>
      <c r="D305" s="238" t="s">
        <v>1169</v>
      </c>
      <c r="E305" s="239" t="s">
        <v>9</v>
      </c>
      <c r="F305" s="240" t="s">
        <v>1179</v>
      </c>
      <c r="G305" s="237"/>
      <c r="H305" s="237" t="s">
        <v>801</v>
      </c>
      <c r="I305" s="237"/>
      <c r="J305" s="240" t="s">
        <v>50</v>
      </c>
      <c r="K305" s="237" t="s">
        <v>1180</v>
      </c>
      <c r="L305" s="248">
        <v>44659</v>
      </c>
      <c r="M305" s="249">
        <v>254545</v>
      </c>
      <c r="N305" s="237">
        <v>5</v>
      </c>
      <c r="O305" s="250">
        <f t="shared" si="13"/>
        <v>1272725</v>
      </c>
      <c r="P305" s="250">
        <v>275000</v>
      </c>
      <c r="Q305" s="250">
        <f t="shared" si="14"/>
        <v>1375000</v>
      </c>
    </row>
    <row r="306" spans="2:17">
      <c r="B306" s="200">
        <v>303</v>
      </c>
      <c r="C306" s="237" t="s">
        <v>1181</v>
      </c>
      <c r="D306" s="238" t="s">
        <v>1169</v>
      </c>
      <c r="E306" s="239" t="s">
        <v>9</v>
      </c>
      <c r="F306" s="240" t="s">
        <v>1182</v>
      </c>
      <c r="G306" s="237"/>
      <c r="H306" s="237" t="s">
        <v>801</v>
      </c>
      <c r="I306" s="237"/>
      <c r="J306" s="240" t="s">
        <v>50</v>
      </c>
      <c r="K306" s="237" t="s">
        <v>1183</v>
      </c>
      <c r="L306" s="248">
        <v>44659</v>
      </c>
      <c r="M306" s="249">
        <v>254545</v>
      </c>
      <c r="N306" s="237">
        <v>4</v>
      </c>
      <c r="O306" s="250">
        <f t="shared" si="13"/>
        <v>1018180</v>
      </c>
      <c r="P306" s="250">
        <v>275000</v>
      </c>
      <c r="Q306" s="250">
        <f t="shared" si="14"/>
        <v>1100000</v>
      </c>
    </row>
    <row r="307" spans="2:17">
      <c r="B307" s="200">
        <v>304</v>
      </c>
      <c r="C307" s="237" t="s">
        <v>1184</v>
      </c>
      <c r="D307" s="238" t="s">
        <v>1169</v>
      </c>
      <c r="E307" s="239" t="s">
        <v>9</v>
      </c>
      <c r="F307" s="240" t="s">
        <v>999</v>
      </c>
      <c r="G307" s="237"/>
      <c r="H307" s="237" t="s">
        <v>801</v>
      </c>
      <c r="I307" s="237"/>
      <c r="J307" s="240" t="s">
        <v>50</v>
      </c>
      <c r="K307" s="237" t="s">
        <v>1185</v>
      </c>
      <c r="L307" s="248">
        <v>44659</v>
      </c>
      <c r="M307" s="249">
        <v>254545</v>
      </c>
      <c r="N307" s="237">
        <v>1</v>
      </c>
      <c r="O307" s="250">
        <f>M307*N307</f>
        <v>254545</v>
      </c>
      <c r="P307" s="250">
        <v>275000</v>
      </c>
      <c r="Q307" s="250">
        <f t="shared" si="14"/>
        <v>275000</v>
      </c>
    </row>
    <row r="308" spans="2:17">
      <c r="B308" s="200">
        <v>305</v>
      </c>
      <c r="C308" s="237" t="s">
        <v>1186</v>
      </c>
      <c r="D308" s="238" t="s">
        <v>1187</v>
      </c>
      <c r="E308" s="239" t="s">
        <v>11</v>
      </c>
      <c r="F308" s="240" t="s">
        <v>1188</v>
      </c>
      <c r="G308" s="237"/>
      <c r="H308" s="237" t="s">
        <v>801</v>
      </c>
      <c r="I308" s="237"/>
      <c r="J308" s="240" t="s">
        <v>50</v>
      </c>
      <c r="K308" s="237" t="s">
        <v>1189</v>
      </c>
      <c r="L308" s="248">
        <v>44662</v>
      </c>
      <c r="M308" s="249">
        <v>444545</v>
      </c>
      <c r="N308" s="237">
        <v>2</v>
      </c>
      <c r="O308" s="250">
        <f t="shared" ref="O308:O338" si="15">M308*N308</f>
        <v>889090</v>
      </c>
      <c r="P308" s="250">
        <v>556363.63</v>
      </c>
      <c r="Q308" s="250">
        <f t="shared" si="14"/>
        <v>1112727.26</v>
      </c>
    </row>
    <row r="309" spans="2:17">
      <c r="B309" s="200">
        <v>306</v>
      </c>
      <c r="C309" s="237" t="s">
        <v>1186</v>
      </c>
      <c r="D309" s="238" t="s">
        <v>1187</v>
      </c>
      <c r="E309" s="239" t="s">
        <v>11</v>
      </c>
      <c r="F309" s="240" t="s">
        <v>1188</v>
      </c>
      <c r="G309" s="237"/>
      <c r="H309" s="237" t="s">
        <v>1190</v>
      </c>
      <c r="I309" s="237"/>
      <c r="J309" s="240" t="s">
        <v>50</v>
      </c>
      <c r="K309" s="237" t="s">
        <v>1191</v>
      </c>
      <c r="L309" s="248">
        <v>44662</v>
      </c>
      <c r="M309" s="249">
        <v>444545</v>
      </c>
      <c r="N309" s="237">
        <v>5</v>
      </c>
      <c r="O309" s="250">
        <f t="shared" si="15"/>
        <v>2222725</v>
      </c>
      <c r="P309" s="250">
        <v>556363.63</v>
      </c>
      <c r="Q309" s="250">
        <f t="shared" si="14"/>
        <v>2781818.15</v>
      </c>
    </row>
    <row r="310" spans="2:17">
      <c r="B310" s="200">
        <v>307</v>
      </c>
      <c r="C310" s="237" t="s">
        <v>1186</v>
      </c>
      <c r="D310" s="238" t="s">
        <v>1187</v>
      </c>
      <c r="E310" s="239" t="s">
        <v>11</v>
      </c>
      <c r="F310" s="240" t="s">
        <v>1188</v>
      </c>
      <c r="G310" s="237"/>
      <c r="H310" s="237" t="s">
        <v>1192</v>
      </c>
      <c r="I310" s="237"/>
      <c r="J310" s="240" t="s">
        <v>50</v>
      </c>
      <c r="K310" s="237" t="s">
        <v>1193</v>
      </c>
      <c r="L310" s="248">
        <v>44662</v>
      </c>
      <c r="M310" s="249">
        <v>444545</v>
      </c>
      <c r="N310" s="237">
        <v>5</v>
      </c>
      <c r="O310" s="250">
        <f t="shared" si="15"/>
        <v>2222725</v>
      </c>
      <c r="P310" s="250">
        <v>556363.63</v>
      </c>
      <c r="Q310" s="250">
        <f t="shared" si="14"/>
        <v>2781818.15</v>
      </c>
    </row>
    <row r="311" spans="2:17">
      <c r="B311" s="200">
        <v>308</v>
      </c>
      <c r="C311" s="237" t="s">
        <v>1194</v>
      </c>
      <c r="D311" s="238" t="s">
        <v>1195</v>
      </c>
      <c r="E311" s="239" t="s">
        <v>9</v>
      </c>
      <c r="F311" s="240" t="s">
        <v>1196</v>
      </c>
      <c r="G311" s="237"/>
      <c r="H311" s="237" t="s">
        <v>1197</v>
      </c>
      <c r="I311" s="237"/>
      <c r="J311" s="240" t="s">
        <v>50</v>
      </c>
      <c r="K311" s="237" t="s">
        <v>1198</v>
      </c>
      <c r="L311" s="248">
        <v>44663</v>
      </c>
      <c r="M311" s="249">
        <v>254545</v>
      </c>
      <c r="N311" s="237">
        <v>1</v>
      </c>
      <c r="O311" s="250">
        <f t="shared" si="15"/>
        <v>254545</v>
      </c>
      <c r="P311" s="250">
        <v>275000</v>
      </c>
      <c r="Q311" s="250">
        <f t="shared" si="14"/>
        <v>275000</v>
      </c>
    </row>
    <row r="312" spans="2:17">
      <c r="B312" s="200">
        <v>309</v>
      </c>
      <c r="C312" s="237" t="s">
        <v>1199</v>
      </c>
      <c r="D312" s="238" t="s">
        <v>1195</v>
      </c>
      <c r="E312" s="239" t="s">
        <v>9</v>
      </c>
      <c r="F312" s="240" t="s">
        <v>1063</v>
      </c>
      <c r="G312" s="237"/>
      <c r="H312" s="237" t="s">
        <v>1197</v>
      </c>
      <c r="I312" s="237"/>
      <c r="J312" s="240" t="s">
        <v>50</v>
      </c>
      <c r="K312" s="237" t="s">
        <v>1200</v>
      </c>
      <c r="L312" s="248">
        <v>44663</v>
      </c>
      <c r="M312" s="249">
        <v>254545</v>
      </c>
      <c r="N312" s="237">
        <v>1</v>
      </c>
      <c r="O312" s="250">
        <f t="shared" si="15"/>
        <v>254545</v>
      </c>
      <c r="P312" s="250">
        <v>275000</v>
      </c>
      <c r="Q312" s="250">
        <f t="shared" si="14"/>
        <v>275000</v>
      </c>
    </row>
    <row r="313" spans="2:17">
      <c r="B313" s="200">
        <v>310</v>
      </c>
      <c r="C313" s="237" t="s">
        <v>1201</v>
      </c>
      <c r="D313" s="238" t="s">
        <v>1202</v>
      </c>
      <c r="E313" s="239" t="s">
        <v>9</v>
      </c>
      <c r="F313" s="240" t="s">
        <v>1203</v>
      </c>
      <c r="G313" s="237"/>
      <c r="H313" s="237" t="s">
        <v>1204</v>
      </c>
      <c r="I313" s="237"/>
      <c r="J313" s="240" t="s">
        <v>50</v>
      </c>
      <c r="K313" s="237" t="s">
        <v>1205</v>
      </c>
      <c r="L313" s="248">
        <v>44669</v>
      </c>
      <c r="M313" s="249">
        <v>254545</v>
      </c>
      <c r="N313" s="237">
        <v>1</v>
      </c>
      <c r="O313" s="250">
        <f t="shared" si="15"/>
        <v>254545</v>
      </c>
      <c r="P313" s="250">
        <v>275000</v>
      </c>
      <c r="Q313" s="250">
        <f t="shared" si="14"/>
        <v>275000</v>
      </c>
    </row>
    <row r="314" spans="2:17">
      <c r="B314" s="200">
        <v>311</v>
      </c>
      <c r="C314" s="237" t="s">
        <v>1206</v>
      </c>
      <c r="D314" s="238" t="s">
        <v>1202</v>
      </c>
      <c r="E314" s="239" t="s">
        <v>9</v>
      </c>
      <c r="F314" s="240" t="s">
        <v>1207</v>
      </c>
      <c r="G314" s="237"/>
      <c r="H314" s="237" t="s">
        <v>1204</v>
      </c>
      <c r="I314" s="237"/>
      <c r="J314" s="240" t="s">
        <v>50</v>
      </c>
      <c r="K314" s="237" t="s">
        <v>1208</v>
      </c>
      <c r="L314" s="248">
        <v>44669</v>
      </c>
      <c r="M314" s="249">
        <v>254545</v>
      </c>
      <c r="N314" s="237">
        <v>9</v>
      </c>
      <c r="O314" s="250">
        <f t="shared" si="15"/>
        <v>2290905</v>
      </c>
      <c r="P314" s="250">
        <v>275000</v>
      </c>
      <c r="Q314" s="250">
        <f t="shared" si="14"/>
        <v>2475000</v>
      </c>
    </row>
    <row r="315" spans="2:17">
      <c r="B315" s="200">
        <v>312</v>
      </c>
      <c r="C315" s="237" t="s">
        <v>1209</v>
      </c>
      <c r="D315" s="238" t="s">
        <v>1202</v>
      </c>
      <c r="E315" s="239" t="s">
        <v>9</v>
      </c>
      <c r="F315" s="240" t="s">
        <v>1210</v>
      </c>
      <c r="G315" s="237"/>
      <c r="H315" s="237" t="s">
        <v>1204</v>
      </c>
      <c r="I315" s="237"/>
      <c r="J315" s="240" t="s">
        <v>50</v>
      </c>
      <c r="K315" s="237" t="s">
        <v>1211</v>
      </c>
      <c r="L315" s="248">
        <v>44669</v>
      </c>
      <c r="M315" s="249">
        <v>254545</v>
      </c>
      <c r="N315" s="237">
        <v>2</v>
      </c>
      <c r="O315" s="250">
        <f t="shared" si="15"/>
        <v>509090</v>
      </c>
      <c r="P315" s="250">
        <v>275000</v>
      </c>
      <c r="Q315" s="250">
        <f t="shared" si="14"/>
        <v>550000</v>
      </c>
    </row>
    <row r="316" spans="2:17">
      <c r="B316" s="200">
        <v>313</v>
      </c>
      <c r="C316" s="237" t="s">
        <v>1212</v>
      </c>
      <c r="D316" s="238" t="s">
        <v>1213</v>
      </c>
      <c r="E316" s="239" t="s">
        <v>9</v>
      </c>
      <c r="F316" s="240" t="s">
        <v>1214</v>
      </c>
      <c r="G316" s="237"/>
      <c r="H316" s="237" t="s">
        <v>1215</v>
      </c>
      <c r="I316" s="237"/>
      <c r="J316" s="240" t="s">
        <v>50</v>
      </c>
      <c r="K316" s="237" t="s">
        <v>1216</v>
      </c>
      <c r="L316" s="248">
        <v>44676</v>
      </c>
      <c r="M316" s="249">
        <v>254545</v>
      </c>
      <c r="N316" s="237">
        <v>2</v>
      </c>
      <c r="O316" s="250">
        <f t="shared" si="15"/>
        <v>509090</v>
      </c>
      <c r="P316" s="250">
        <v>275000</v>
      </c>
      <c r="Q316" s="250">
        <f t="shared" si="14"/>
        <v>550000</v>
      </c>
    </row>
    <row r="317" spans="2:17">
      <c r="B317" s="200">
        <v>314</v>
      </c>
      <c r="C317" s="237" t="s">
        <v>1217</v>
      </c>
      <c r="D317" s="238" t="s">
        <v>1213</v>
      </c>
      <c r="E317" s="239" t="s">
        <v>9</v>
      </c>
      <c r="F317" s="240" t="s">
        <v>1218</v>
      </c>
      <c r="G317" s="237"/>
      <c r="H317" s="237" t="s">
        <v>1215</v>
      </c>
      <c r="I317" s="237"/>
      <c r="J317" s="240" t="s">
        <v>50</v>
      </c>
      <c r="K317" s="237" t="s">
        <v>1219</v>
      </c>
      <c r="L317" s="248">
        <v>44676</v>
      </c>
      <c r="M317" s="249">
        <v>254545</v>
      </c>
      <c r="N317" s="237">
        <v>2</v>
      </c>
      <c r="O317" s="250">
        <f t="shared" si="15"/>
        <v>509090</v>
      </c>
      <c r="P317" s="250">
        <v>275000</v>
      </c>
      <c r="Q317" s="250">
        <f t="shared" si="14"/>
        <v>550000</v>
      </c>
    </row>
    <row r="318" spans="2:17">
      <c r="B318" s="200">
        <v>315</v>
      </c>
      <c r="C318" s="237" t="s">
        <v>1220</v>
      </c>
      <c r="D318" s="238" t="s">
        <v>1213</v>
      </c>
      <c r="E318" s="239" t="s">
        <v>9</v>
      </c>
      <c r="F318" s="240" t="s">
        <v>445</v>
      </c>
      <c r="G318" s="237"/>
      <c r="H318" s="237" t="s">
        <v>1221</v>
      </c>
      <c r="I318" s="237"/>
      <c r="J318" s="240" t="s">
        <v>50</v>
      </c>
      <c r="K318" s="237" t="s">
        <v>1222</v>
      </c>
      <c r="L318" s="248">
        <v>44676</v>
      </c>
      <c r="M318" s="249">
        <v>254545</v>
      </c>
      <c r="N318" s="237">
        <v>1</v>
      </c>
      <c r="O318" s="250">
        <f t="shared" si="15"/>
        <v>254545</v>
      </c>
      <c r="P318" s="250">
        <v>275000</v>
      </c>
      <c r="Q318" s="250">
        <f t="shared" si="14"/>
        <v>275000</v>
      </c>
    </row>
    <row r="319" spans="2:17">
      <c r="B319" s="200">
        <v>316</v>
      </c>
      <c r="C319" s="241" t="s">
        <v>1223</v>
      </c>
      <c r="D319" s="242" t="s">
        <v>1224</v>
      </c>
      <c r="E319" s="243" t="s">
        <v>9</v>
      </c>
      <c r="F319" s="244" t="s">
        <v>665</v>
      </c>
      <c r="G319" s="241"/>
      <c r="H319" s="241" t="s">
        <v>1225</v>
      </c>
      <c r="I319" s="241"/>
      <c r="J319" s="244" t="s">
        <v>50</v>
      </c>
      <c r="K319" s="241" t="s">
        <v>1226</v>
      </c>
      <c r="L319" s="251">
        <v>44690</v>
      </c>
      <c r="M319" s="252">
        <v>254545</v>
      </c>
      <c r="N319" s="241">
        <v>2</v>
      </c>
      <c r="O319" s="253">
        <f t="shared" si="15"/>
        <v>509090</v>
      </c>
      <c r="P319" s="253">
        <v>275000</v>
      </c>
      <c r="Q319" s="253">
        <f t="shared" si="14"/>
        <v>550000</v>
      </c>
    </row>
    <row r="320" spans="2:17">
      <c r="B320" s="200">
        <v>317</v>
      </c>
      <c r="C320" s="241" t="s">
        <v>1227</v>
      </c>
      <c r="D320" s="242" t="s">
        <v>1224</v>
      </c>
      <c r="E320" s="243" t="s">
        <v>9</v>
      </c>
      <c r="F320" s="244" t="s">
        <v>1228</v>
      </c>
      <c r="G320" s="241"/>
      <c r="H320" s="241" t="s">
        <v>1225</v>
      </c>
      <c r="I320" s="241"/>
      <c r="J320" s="244" t="s">
        <v>50</v>
      </c>
      <c r="K320" s="241" t="s">
        <v>1229</v>
      </c>
      <c r="L320" s="251">
        <v>44690</v>
      </c>
      <c r="M320" s="252">
        <v>254545</v>
      </c>
      <c r="N320" s="241">
        <v>3</v>
      </c>
      <c r="O320" s="253">
        <f t="shared" si="15"/>
        <v>763635</v>
      </c>
      <c r="P320" s="253">
        <v>275000</v>
      </c>
      <c r="Q320" s="253">
        <f t="shared" si="14"/>
        <v>825000</v>
      </c>
    </row>
    <row r="321" spans="2:17">
      <c r="B321" s="200">
        <v>318</v>
      </c>
      <c r="C321" s="241" t="s">
        <v>1230</v>
      </c>
      <c r="D321" s="242" t="s">
        <v>1231</v>
      </c>
      <c r="E321" s="243" t="s">
        <v>11</v>
      </c>
      <c r="F321" s="244" t="s">
        <v>6</v>
      </c>
      <c r="G321" s="241"/>
      <c r="H321" s="241" t="s">
        <v>1232</v>
      </c>
      <c r="I321" s="241"/>
      <c r="J321" s="244" t="s">
        <v>50</v>
      </c>
      <c r="K321" s="241" t="s">
        <v>1233</v>
      </c>
      <c r="L321" s="251">
        <v>44690</v>
      </c>
      <c r="M321" s="252">
        <v>184875</v>
      </c>
      <c r="N321" s="241">
        <v>3</v>
      </c>
      <c r="O321" s="253">
        <f t="shared" si="15"/>
        <v>554625</v>
      </c>
      <c r="P321" s="253">
        <v>201682</v>
      </c>
      <c r="Q321" s="253">
        <f t="shared" si="14"/>
        <v>605046</v>
      </c>
    </row>
    <row r="322" spans="2:17">
      <c r="B322" s="200">
        <v>319</v>
      </c>
      <c r="C322" s="241" t="s">
        <v>1234</v>
      </c>
      <c r="D322" s="242" t="s">
        <v>1235</v>
      </c>
      <c r="E322" s="243" t="s">
        <v>9</v>
      </c>
      <c r="F322" s="244" t="s">
        <v>1047</v>
      </c>
      <c r="G322" s="241"/>
      <c r="H322" s="241" t="s">
        <v>1236</v>
      </c>
      <c r="I322" s="241"/>
      <c r="J322" s="244" t="s">
        <v>50</v>
      </c>
      <c r="K322" s="241" t="s">
        <v>1237</v>
      </c>
      <c r="L322" s="251">
        <v>44690</v>
      </c>
      <c r="M322" s="252">
        <v>254545</v>
      </c>
      <c r="N322" s="241">
        <v>1</v>
      </c>
      <c r="O322" s="253">
        <f t="shared" si="15"/>
        <v>254545</v>
      </c>
      <c r="P322" s="253">
        <v>275000</v>
      </c>
      <c r="Q322" s="253">
        <f t="shared" si="14"/>
        <v>275000</v>
      </c>
    </row>
    <row r="323" spans="2:17">
      <c r="B323" s="200">
        <v>320</v>
      </c>
      <c r="C323" s="241" t="s">
        <v>1238</v>
      </c>
      <c r="D323" s="242" t="s">
        <v>1235</v>
      </c>
      <c r="E323" s="243" t="s">
        <v>9</v>
      </c>
      <c r="F323" s="244" t="s">
        <v>1173</v>
      </c>
      <c r="G323" s="241"/>
      <c r="H323" s="241" t="s">
        <v>1236</v>
      </c>
      <c r="I323" s="241"/>
      <c r="J323" s="244" t="s">
        <v>50</v>
      </c>
      <c r="K323" s="241" t="s">
        <v>1239</v>
      </c>
      <c r="L323" s="251">
        <v>44690</v>
      </c>
      <c r="M323" s="252">
        <v>254545</v>
      </c>
      <c r="N323" s="241">
        <v>2</v>
      </c>
      <c r="O323" s="253">
        <f t="shared" si="15"/>
        <v>509090</v>
      </c>
      <c r="P323" s="253">
        <v>275000</v>
      </c>
      <c r="Q323" s="253">
        <f t="shared" si="14"/>
        <v>550000</v>
      </c>
    </row>
    <row r="324" spans="2:17">
      <c r="B324" s="200">
        <v>321</v>
      </c>
      <c r="C324" s="241" t="s">
        <v>1240</v>
      </c>
      <c r="D324" s="242" t="s">
        <v>1241</v>
      </c>
      <c r="E324" s="243" t="s">
        <v>9</v>
      </c>
      <c r="F324" s="244" t="s">
        <v>1242</v>
      </c>
      <c r="G324" s="241"/>
      <c r="H324" s="241" t="s">
        <v>1243</v>
      </c>
      <c r="I324" s="241"/>
      <c r="J324" s="244" t="s">
        <v>50</v>
      </c>
      <c r="K324" s="241" t="s">
        <v>1244</v>
      </c>
      <c r="L324" s="251">
        <v>44693</v>
      </c>
      <c r="M324" s="252">
        <v>254545</v>
      </c>
      <c r="N324" s="241">
        <v>1</v>
      </c>
      <c r="O324" s="253">
        <f t="shared" si="15"/>
        <v>254545</v>
      </c>
      <c r="P324" s="253">
        <v>275000</v>
      </c>
      <c r="Q324" s="253">
        <f t="shared" si="14"/>
        <v>275000</v>
      </c>
    </row>
    <row r="325" spans="2:17">
      <c r="B325" s="200">
        <v>322</v>
      </c>
      <c r="C325" s="241" t="s">
        <v>1245</v>
      </c>
      <c r="D325" s="242" t="s">
        <v>1241</v>
      </c>
      <c r="E325" s="243" t="s">
        <v>9</v>
      </c>
      <c r="F325" s="244" t="s">
        <v>1246</v>
      </c>
      <c r="G325" s="241"/>
      <c r="H325" s="241" t="s">
        <v>1247</v>
      </c>
      <c r="I325" s="241"/>
      <c r="J325" s="244" t="s">
        <v>50</v>
      </c>
      <c r="K325" s="241" t="s">
        <v>1248</v>
      </c>
      <c r="L325" s="251">
        <v>44693</v>
      </c>
      <c r="M325" s="252">
        <v>254545</v>
      </c>
      <c r="N325" s="241">
        <v>1</v>
      </c>
      <c r="O325" s="253">
        <f t="shared" si="15"/>
        <v>254545</v>
      </c>
      <c r="P325" s="253">
        <v>275000</v>
      </c>
      <c r="Q325" s="253">
        <f t="shared" si="14"/>
        <v>275000</v>
      </c>
    </row>
    <row r="326" spans="2:17">
      <c r="B326" s="200">
        <v>323</v>
      </c>
      <c r="C326" s="241" t="s">
        <v>1249</v>
      </c>
      <c r="D326" s="242" t="s">
        <v>1250</v>
      </c>
      <c r="E326" s="243" t="s">
        <v>9</v>
      </c>
      <c r="F326" s="244" t="s">
        <v>1251</v>
      </c>
      <c r="G326" s="241"/>
      <c r="H326" s="241" t="s">
        <v>1252</v>
      </c>
      <c r="I326" s="241"/>
      <c r="J326" s="244" t="s">
        <v>50</v>
      </c>
      <c r="K326" s="241" t="s">
        <v>1253</v>
      </c>
      <c r="L326" s="251">
        <v>44701</v>
      </c>
      <c r="M326" s="252">
        <v>254545</v>
      </c>
      <c r="N326" s="241">
        <v>1</v>
      </c>
      <c r="O326" s="253">
        <f t="shared" si="15"/>
        <v>254545</v>
      </c>
      <c r="P326" s="253">
        <v>275000</v>
      </c>
      <c r="Q326" s="253">
        <f t="shared" si="14"/>
        <v>275000</v>
      </c>
    </row>
    <row r="327" spans="2:17">
      <c r="B327" s="200">
        <v>324</v>
      </c>
      <c r="C327" s="241" t="s">
        <v>1254</v>
      </c>
      <c r="D327" s="242" t="s">
        <v>1250</v>
      </c>
      <c r="E327" s="243" t="s">
        <v>9</v>
      </c>
      <c r="F327" s="244" t="s">
        <v>1255</v>
      </c>
      <c r="G327" s="241"/>
      <c r="H327" s="241" t="s">
        <v>1247</v>
      </c>
      <c r="I327" s="241"/>
      <c r="J327" s="244" t="s">
        <v>50</v>
      </c>
      <c r="K327" s="241" t="s">
        <v>1256</v>
      </c>
      <c r="L327" s="251">
        <v>44701</v>
      </c>
      <c r="M327" s="252">
        <v>254545</v>
      </c>
      <c r="N327" s="241">
        <v>3</v>
      </c>
      <c r="O327" s="253">
        <f t="shared" si="15"/>
        <v>763635</v>
      </c>
      <c r="P327" s="253">
        <v>275000</v>
      </c>
      <c r="Q327" s="253">
        <f t="shared" si="14"/>
        <v>825000</v>
      </c>
    </row>
    <row r="328" spans="2:17">
      <c r="B328" s="200">
        <v>325</v>
      </c>
      <c r="C328" s="241" t="s">
        <v>1257</v>
      </c>
      <c r="D328" s="242" t="s">
        <v>1258</v>
      </c>
      <c r="E328" s="243" t="s">
        <v>82</v>
      </c>
      <c r="F328" s="243" t="s">
        <v>83</v>
      </c>
      <c r="G328" s="241"/>
      <c r="H328" s="241" t="s">
        <v>1259</v>
      </c>
      <c r="I328" s="241"/>
      <c r="J328" s="244" t="s">
        <v>85</v>
      </c>
      <c r="K328" s="241" t="s">
        <v>1260</v>
      </c>
      <c r="L328" s="251">
        <v>44705</v>
      </c>
      <c r="M328" s="252">
        <v>222727</v>
      </c>
      <c r="N328" s="241">
        <v>350</v>
      </c>
      <c r="O328" s="253">
        <f t="shared" si="15"/>
        <v>77954450</v>
      </c>
      <c r="P328" s="253">
        <v>279090.90999999997</v>
      </c>
      <c r="Q328" s="253">
        <f t="shared" si="14"/>
        <v>97681818.499999985</v>
      </c>
    </row>
    <row r="329" spans="2:17">
      <c r="B329" s="200">
        <v>326</v>
      </c>
      <c r="C329" s="241" t="s">
        <v>1261</v>
      </c>
      <c r="D329" s="242" t="s">
        <v>1262</v>
      </c>
      <c r="E329" s="243" t="s">
        <v>9</v>
      </c>
      <c r="F329" s="244" t="s">
        <v>1263</v>
      </c>
      <c r="G329" s="241"/>
      <c r="H329" s="241" t="s">
        <v>1264</v>
      </c>
      <c r="I329" s="241"/>
      <c r="J329" s="244" t="s">
        <v>50</v>
      </c>
      <c r="K329" s="241" t="s">
        <v>1265</v>
      </c>
      <c r="L329" s="251">
        <v>44706</v>
      </c>
      <c r="M329" s="252">
        <v>254545</v>
      </c>
      <c r="N329" s="241">
        <v>6</v>
      </c>
      <c r="O329" s="253">
        <f t="shared" si="15"/>
        <v>1527270</v>
      </c>
      <c r="P329" s="253">
        <v>275000</v>
      </c>
      <c r="Q329" s="253">
        <f t="shared" si="14"/>
        <v>1650000</v>
      </c>
    </row>
    <row r="330" spans="2:17">
      <c r="B330" s="200">
        <v>327</v>
      </c>
      <c r="C330" s="237" t="s">
        <v>1266</v>
      </c>
      <c r="D330" s="238" t="s">
        <v>1267</v>
      </c>
      <c r="E330" s="239" t="s">
        <v>9</v>
      </c>
      <c r="F330" s="239" t="s">
        <v>660</v>
      </c>
      <c r="G330" s="237"/>
      <c r="H330" s="237" t="s">
        <v>1268</v>
      </c>
      <c r="I330" s="237"/>
      <c r="J330" s="240" t="s">
        <v>50</v>
      </c>
      <c r="K330" s="237" t="s">
        <v>1269</v>
      </c>
      <c r="L330" s="248">
        <v>44715</v>
      </c>
      <c r="M330" s="249">
        <v>254545</v>
      </c>
      <c r="N330" s="237">
        <v>1</v>
      </c>
      <c r="O330" s="250">
        <f t="shared" si="15"/>
        <v>254545</v>
      </c>
      <c r="P330" s="250">
        <v>275000</v>
      </c>
      <c r="Q330" s="250">
        <f t="shared" si="14"/>
        <v>275000</v>
      </c>
    </row>
    <row r="331" spans="2:17">
      <c r="B331" s="200">
        <v>328</v>
      </c>
      <c r="C331" s="237" t="s">
        <v>1270</v>
      </c>
      <c r="D331" s="238" t="s">
        <v>1267</v>
      </c>
      <c r="E331" s="239" t="s">
        <v>9</v>
      </c>
      <c r="F331" s="239" t="s">
        <v>1271</v>
      </c>
      <c r="G331" s="237"/>
      <c r="H331" s="237" t="s">
        <v>1272</v>
      </c>
      <c r="I331" s="237"/>
      <c r="J331" s="240" t="s">
        <v>50</v>
      </c>
      <c r="K331" s="237" t="s">
        <v>1273</v>
      </c>
      <c r="L331" s="248">
        <v>44715</v>
      </c>
      <c r="M331" s="249">
        <v>254545</v>
      </c>
      <c r="N331" s="237">
        <v>3</v>
      </c>
      <c r="O331" s="250">
        <f t="shared" si="15"/>
        <v>763635</v>
      </c>
      <c r="P331" s="250">
        <v>275000</v>
      </c>
      <c r="Q331" s="250">
        <f t="shared" si="14"/>
        <v>825000</v>
      </c>
    </row>
    <row r="332" spans="2:17">
      <c r="B332" s="200">
        <v>329</v>
      </c>
      <c r="C332" s="237" t="s">
        <v>1274</v>
      </c>
      <c r="D332" s="238" t="s">
        <v>1275</v>
      </c>
      <c r="E332" s="239" t="s">
        <v>16</v>
      </c>
      <c r="F332" s="239" t="s">
        <v>1276</v>
      </c>
      <c r="G332" s="237"/>
      <c r="H332" s="237" t="s">
        <v>1277</v>
      </c>
      <c r="I332" s="237"/>
      <c r="J332" s="240" t="s">
        <v>85</v>
      </c>
      <c r="K332" s="237" t="s">
        <v>1278</v>
      </c>
      <c r="L332" s="248">
        <v>44718</v>
      </c>
      <c r="M332" s="249">
        <v>222727</v>
      </c>
      <c r="N332" s="237">
        <v>5</v>
      </c>
      <c r="O332" s="250">
        <f t="shared" si="15"/>
        <v>1113635</v>
      </c>
      <c r="P332" s="250">
        <v>279091</v>
      </c>
      <c r="Q332" s="250">
        <f t="shared" si="14"/>
        <v>1395455</v>
      </c>
    </row>
    <row r="333" spans="2:17">
      <c r="B333" s="200">
        <v>330</v>
      </c>
      <c r="C333" s="237" t="s">
        <v>1279</v>
      </c>
      <c r="D333" s="238" t="s">
        <v>1280</v>
      </c>
      <c r="E333" s="239" t="s">
        <v>9</v>
      </c>
      <c r="F333" s="240" t="s">
        <v>1281</v>
      </c>
      <c r="G333" s="237"/>
      <c r="H333" s="237" t="s">
        <v>1282</v>
      </c>
      <c r="I333" s="237"/>
      <c r="J333" s="240" t="s">
        <v>50</v>
      </c>
      <c r="K333" s="237" t="s">
        <v>1283</v>
      </c>
      <c r="L333" s="248">
        <v>44720</v>
      </c>
      <c r="M333" s="249">
        <v>254545</v>
      </c>
      <c r="N333" s="237">
        <v>3</v>
      </c>
      <c r="O333" s="250">
        <f t="shared" si="15"/>
        <v>763635</v>
      </c>
      <c r="P333" s="250">
        <v>275000</v>
      </c>
      <c r="Q333" s="250">
        <f t="shared" si="14"/>
        <v>825000</v>
      </c>
    </row>
    <row r="334" spans="2:17">
      <c r="B334" s="200">
        <v>331</v>
      </c>
      <c r="C334" s="237" t="s">
        <v>1284</v>
      </c>
      <c r="D334" s="238" t="s">
        <v>1280</v>
      </c>
      <c r="E334" s="239" t="s">
        <v>9</v>
      </c>
      <c r="F334" s="240" t="s">
        <v>1285</v>
      </c>
      <c r="G334" s="237"/>
      <c r="H334" s="237" t="s">
        <v>1286</v>
      </c>
      <c r="I334" s="237"/>
      <c r="J334" s="240" t="s">
        <v>50</v>
      </c>
      <c r="K334" s="237" t="s">
        <v>1287</v>
      </c>
      <c r="L334" s="248">
        <v>44720</v>
      </c>
      <c r="M334" s="249">
        <v>254545</v>
      </c>
      <c r="N334" s="237">
        <v>1</v>
      </c>
      <c r="O334" s="250">
        <f t="shared" si="15"/>
        <v>254545</v>
      </c>
      <c r="P334" s="250">
        <v>275000</v>
      </c>
      <c r="Q334" s="250">
        <f t="shared" si="14"/>
        <v>275000</v>
      </c>
    </row>
    <row r="335" spans="2:17">
      <c r="B335" s="200">
        <v>332</v>
      </c>
      <c r="C335" s="237" t="s">
        <v>1288</v>
      </c>
      <c r="D335" s="238" t="s">
        <v>1289</v>
      </c>
      <c r="E335" s="239" t="s">
        <v>11</v>
      </c>
      <c r="F335" s="240" t="s">
        <v>320</v>
      </c>
      <c r="G335" s="237"/>
      <c r="H335" s="237" t="s">
        <v>1290</v>
      </c>
      <c r="I335" s="237"/>
      <c r="J335" s="240" t="s">
        <v>85</v>
      </c>
      <c r="K335" s="237" t="s">
        <v>1291</v>
      </c>
      <c r="L335" s="248">
        <v>44720</v>
      </c>
      <c r="M335" s="249">
        <v>222727</v>
      </c>
      <c r="N335" s="237">
        <v>20</v>
      </c>
      <c r="O335" s="250">
        <f t="shared" si="15"/>
        <v>4454540</v>
      </c>
      <c r="P335" s="250">
        <v>279091</v>
      </c>
      <c r="Q335" s="250">
        <f t="shared" si="14"/>
        <v>5581820</v>
      </c>
    </row>
    <row r="336" spans="2:17">
      <c r="B336" s="200">
        <v>333</v>
      </c>
      <c r="C336" s="237" t="s">
        <v>1292</v>
      </c>
      <c r="D336" s="238" t="s">
        <v>1289</v>
      </c>
      <c r="E336" s="239" t="s">
        <v>11</v>
      </c>
      <c r="F336" s="240" t="s">
        <v>320</v>
      </c>
      <c r="G336" s="237"/>
      <c r="H336" s="237" t="s">
        <v>1290</v>
      </c>
      <c r="I336" s="237"/>
      <c r="J336" s="240" t="s">
        <v>85</v>
      </c>
      <c r="K336" s="237" t="s">
        <v>1293</v>
      </c>
      <c r="L336" s="248">
        <v>44720</v>
      </c>
      <c r="M336" s="249">
        <v>222727</v>
      </c>
      <c r="N336" s="237">
        <v>5</v>
      </c>
      <c r="O336" s="250">
        <f t="shared" si="15"/>
        <v>1113635</v>
      </c>
      <c r="P336" s="250">
        <v>279091</v>
      </c>
      <c r="Q336" s="250">
        <f t="shared" si="14"/>
        <v>1395455</v>
      </c>
    </row>
    <row r="337" spans="2:17">
      <c r="B337" s="200">
        <v>334</v>
      </c>
      <c r="C337" s="237" t="s">
        <v>1294</v>
      </c>
      <c r="D337" s="238" t="s">
        <v>1295</v>
      </c>
      <c r="E337" s="239" t="s">
        <v>1296</v>
      </c>
      <c r="F337" s="240" t="s">
        <v>1297</v>
      </c>
      <c r="G337" s="237"/>
      <c r="H337" s="237" t="s">
        <v>1298</v>
      </c>
      <c r="I337" s="237"/>
      <c r="J337" s="240" t="s">
        <v>85</v>
      </c>
      <c r="K337" s="237" t="s">
        <v>1299</v>
      </c>
      <c r="L337" s="248">
        <v>44739</v>
      </c>
      <c r="M337" s="249">
        <v>222727</v>
      </c>
      <c r="N337" s="237">
        <v>9</v>
      </c>
      <c r="O337" s="250">
        <f t="shared" si="15"/>
        <v>2004543</v>
      </c>
      <c r="P337" s="250">
        <v>279091</v>
      </c>
      <c r="Q337" s="250">
        <f t="shared" si="14"/>
        <v>2511819</v>
      </c>
    </row>
    <row r="338" spans="2:17">
      <c r="B338" s="200">
        <v>335</v>
      </c>
      <c r="C338" s="237" t="s">
        <v>1300</v>
      </c>
      <c r="D338" s="238" t="s">
        <v>1295</v>
      </c>
      <c r="E338" s="239" t="s">
        <v>1296</v>
      </c>
      <c r="F338" s="240" t="s">
        <v>733</v>
      </c>
      <c r="G338" s="237"/>
      <c r="H338" s="237" t="s">
        <v>1298</v>
      </c>
      <c r="I338" s="237"/>
      <c r="J338" s="240" t="s">
        <v>85</v>
      </c>
      <c r="K338" s="237" t="s">
        <v>1301</v>
      </c>
      <c r="L338" s="248">
        <v>44739</v>
      </c>
      <c r="M338" s="249">
        <v>222727</v>
      </c>
      <c r="N338" s="237">
        <v>6</v>
      </c>
      <c r="O338" s="250">
        <f t="shared" si="15"/>
        <v>1336362</v>
      </c>
      <c r="P338" s="250">
        <v>279091</v>
      </c>
      <c r="Q338" s="250">
        <f t="shared" si="14"/>
        <v>1674546</v>
      </c>
    </row>
    <row r="339" spans="2:17">
      <c r="B339" s="200">
        <v>336</v>
      </c>
      <c r="C339" s="237" t="s">
        <v>1302</v>
      </c>
      <c r="D339" s="238" t="s">
        <v>1303</v>
      </c>
      <c r="E339" s="239" t="s">
        <v>11</v>
      </c>
      <c r="F339" s="240" t="s">
        <v>320</v>
      </c>
      <c r="G339" s="237"/>
      <c r="H339" s="237" t="s">
        <v>1304</v>
      </c>
      <c r="I339" s="237"/>
      <c r="J339" s="240" t="s">
        <v>50</v>
      </c>
      <c r="K339" s="237" t="s">
        <v>1305</v>
      </c>
      <c r="L339" s="248">
        <v>44736</v>
      </c>
      <c r="M339" s="249">
        <v>444545</v>
      </c>
      <c r="N339" s="237">
        <v>35</v>
      </c>
      <c r="O339" s="250">
        <f t="shared" si="13"/>
        <v>15559075</v>
      </c>
      <c r="P339" s="250">
        <v>556363.63</v>
      </c>
      <c r="Q339" s="250">
        <f t="shared" si="14"/>
        <v>19472727.050000001</v>
      </c>
    </row>
    <row r="340" spans="2:17">
      <c r="B340" s="200">
        <v>337</v>
      </c>
      <c r="C340" s="237" t="s">
        <v>1306</v>
      </c>
      <c r="D340" s="238" t="s">
        <v>1307</v>
      </c>
      <c r="E340" s="239" t="s">
        <v>9</v>
      </c>
      <c r="F340" s="240" t="s">
        <v>1308</v>
      </c>
      <c r="G340" s="237"/>
      <c r="H340" s="237" t="s">
        <v>1309</v>
      </c>
      <c r="I340" s="237"/>
      <c r="J340" s="240" t="s">
        <v>50</v>
      </c>
      <c r="K340" s="237" t="s">
        <v>1310</v>
      </c>
      <c r="L340" s="248">
        <v>44726</v>
      </c>
      <c r="M340" s="249">
        <v>254545</v>
      </c>
      <c r="N340" s="237">
        <v>1</v>
      </c>
      <c r="O340" s="250">
        <f t="shared" si="13"/>
        <v>254545</v>
      </c>
      <c r="P340" s="250">
        <v>275000</v>
      </c>
      <c r="Q340" s="250">
        <f t="shared" si="14"/>
        <v>275000</v>
      </c>
    </row>
    <row r="341" spans="2:17">
      <c r="B341" s="200">
        <v>338</v>
      </c>
      <c r="C341" s="237" t="s">
        <v>1311</v>
      </c>
      <c r="D341" s="238" t="s">
        <v>1307</v>
      </c>
      <c r="E341" s="239" t="s">
        <v>9</v>
      </c>
      <c r="F341" s="240" t="s">
        <v>1312</v>
      </c>
      <c r="G341" s="237"/>
      <c r="H341" s="237" t="s">
        <v>1309</v>
      </c>
      <c r="I341" s="237"/>
      <c r="J341" s="240" t="s">
        <v>50</v>
      </c>
      <c r="K341" s="237" t="s">
        <v>1313</v>
      </c>
      <c r="L341" s="248">
        <v>44726</v>
      </c>
      <c r="M341" s="249">
        <v>254545</v>
      </c>
      <c r="N341" s="237">
        <v>2</v>
      </c>
      <c r="O341" s="250">
        <f t="shared" si="13"/>
        <v>509090</v>
      </c>
      <c r="P341" s="250">
        <v>275000</v>
      </c>
      <c r="Q341" s="250">
        <f t="shared" si="14"/>
        <v>550000</v>
      </c>
    </row>
    <row r="342" spans="2:17">
      <c r="B342" s="200">
        <v>339</v>
      </c>
      <c r="C342" s="237" t="s">
        <v>1314</v>
      </c>
      <c r="D342" s="238" t="s">
        <v>1307</v>
      </c>
      <c r="E342" s="239" t="s">
        <v>9</v>
      </c>
      <c r="F342" s="240" t="s">
        <v>1312</v>
      </c>
      <c r="G342" s="237"/>
      <c r="H342" s="237" t="s">
        <v>1309</v>
      </c>
      <c r="I342" s="237"/>
      <c r="J342" s="240" t="s">
        <v>50</v>
      </c>
      <c r="K342" s="237" t="s">
        <v>1315</v>
      </c>
      <c r="L342" s="248">
        <v>44726</v>
      </c>
      <c r="M342" s="249">
        <v>254545</v>
      </c>
      <c r="N342" s="237">
        <v>1</v>
      </c>
      <c r="O342" s="250">
        <f t="shared" si="13"/>
        <v>254545</v>
      </c>
      <c r="P342" s="250">
        <v>275000</v>
      </c>
      <c r="Q342" s="250">
        <f t="shared" si="14"/>
        <v>275000</v>
      </c>
    </row>
    <row r="343" spans="2:17">
      <c r="B343" s="200">
        <v>340</v>
      </c>
      <c r="C343" s="237" t="s">
        <v>1316</v>
      </c>
      <c r="D343" s="238" t="s">
        <v>1317</v>
      </c>
      <c r="E343" s="239" t="s">
        <v>9</v>
      </c>
      <c r="F343" s="240" t="s">
        <v>1312</v>
      </c>
      <c r="G343" s="237"/>
      <c r="H343" s="237" t="s">
        <v>1318</v>
      </c>
      <c r="I343" s="237"/>
      <c r="J343" s="240" t="s">
        <v>50</v>
      </c>
      <c r="K343" s="237" t="s">
        <v>1319</v>
      </c>
      <c r="L343" s="248">
        <v>44728</v>
      </c>
      <c r="M343" s="249">
        <v>254545</v>
      </c>
      <c r="N343" s="237">
        <v>5</v>
      </c>
      <c r="O343" s="250">
        <f t="shared" si="13"/>
        <v>1272725</v>
      </c>
      <c r="P343" s="250">
        <v>275000</v>
      </c>
      <c r="Q343" s="250">
        <f t="shared" si="14"/>
        <v>1375000</v>
      </c>
    </row>
    <row r="344" spans="2:17">
      <c r="B344" s="200">
        <v>341</v>
      </c>
      <c r="C344" s="237" t="s">
        <v>1320</v>
      </c>
      <c r="D344" s="238">
        <v>82472</v>
      </c>
      <c r="E344" s="239" t="s">
        <v>17</v>
      </c>
      <c r="F344" s="240" t="s">
        <v>114</v>
      </c>
      <c r="G344" s="237"/>
      <c r="H344" s="237" t="s">
        <v>1321</v>
      </c>
      <c r="I344" s="237"/>
      <c r="J344" s="240" t="s">
        <v>85</v>
      </c>
      <c r="K344" s="237" t="s">
        <v>311</v>
      </c>
      <c r="L344" s="248">
        <v>44729</v>
      </c>
      <c r="M344" s="249">
        <v>222727</v>
      </c>
      <c r="N344" s="237">
        <v>4</v>
      </c>
      <c r="O344" s="250">
        <f t="shared" si="13"/>
        <v>890908</v>
      </c>
      <c r="P344" s="250">
        <v>278378.38</v>
      </c>
      <c r="Q344" s="250">
        <f t="shared" si="14"/>
        <v>1113513.52</v>
      </c>
    </row>
    <row r="345" spans="2:17">
      <c r="B345" s="200">
        <v>342</v>
      </c>
      <c r="C345" s="237" t="s">
        <v>1322</v>
      </c>
      <c r="D345" s="238">
        <v>82472</v>
      </c>
      <c r="E345" s="239" t="s">
        <v>17</v>
      </c>
      <c r="F345" s="240" t="s">
        <v>114</v>
      </c>
      <c r="G345" s="237"/>
      <c r="H345" s="237" t="s">
        <v>1321</v>
      </c>
      <c r="I345" s="237"/>
      <c r="J345" s="240" t="s">
        <v>92</v>
      </c>
      <c r="K345" s="237" t="s">
        <v>303</v>
      </c>
      <c r="L345" s="248">
        <v>44729</v>
      </c>
      <c r="M345" s="249">
        <v>46364</v>
      </c>
      <c r="N345" s="237">
        <v>4</v>
      </c>
      <c r="O345" s="250">
        <f t="shared" si="13"/>
        <v>185456</v>
      </c>
      <c r="P345" s="250">
        <v>57657.66</v>
      </c>
      <c r="Q345" s="250">
        <f t="shared" si="14"/>
        <v>230630.64</v>
      </c>
    </row>
    <row r="346" spans="2:17">
      <c r="B346" s="200">
        <v>343</v>
      </c>
      <c r="C346" s="237" t="s">
        <v>1323</v>
      </c>
      <c r="D346" s="238">
        <v>82472</v>
      </c>
      <c r="E346" s="239" t="s">
        <v>17</v>
      </c>
      <c r="F346" s="240" t="s">
        <v>114</v>
      </c>
      <c r="G346" s="237"/>
      <c r="H346" s="237" t="s">
        <v>1324</v>
      </c>
      <c r="I346" s="237"/>
      <c r="J346" s="240" t="s">
        <v>85</v>
      </c>
      <c r="K346" s="237" t="s">
        <v>386</v>
      </c>
      <c r="L346" s="248">
        <v>44729</v>
      </c>
      <c r="M346" s="249">
        <v>222727</v>
      </c>
      <c r="N346" s="237">
        <v>1</v>
      </c>
      <c r="O346" s="250">
        <f t="shared" si="13"/>
        <v>222727</v>
      </c>
      <c r="P346" s="250">
        <v>278378.38</v>
      </c>
      <c r="Q346" s="250">
        <f t="shared" si="14"/>
        <v>278378.38</v>
      </c>
    </row>
    <row r="347" spans="2:17">
      <c r="B347" s="200">
        <v>344</v>
      </c>
      <c r="C347" s="237" t="s">
        <v>1325</v>
      </c>
      <c r="D347" s="238">
        <v>82472</v>
      </c>
      <c r="E347" s="239" t="s">
        <v>17</v>
      </c>
      <c r="F347" s="240" t="s">
        <v>114</v>
      </c>
      <c r="G347" s="237"/>
      <c r="H347" s="237" t="s">
        <v>1324</v>
      </c>
      <c r="I347" s="237"/>
      <c r="J347" s="240" t="s">
        <v>92</v>
      </c>
      <c r="K347" s="237" t="s">
        <v>377</v>
      </c>
      <c r="L347" s="248">
        <v>44729</v>
      </c>
      <c r="M347" s="249">
        <v>46364</v>
      </c>
      <c r="N347" s="237">
        <v>1</v>
      </c>
      <c r="O347" s="250">
        <f t="shared" si="13"/>
        <v>46364</v>
      </c>
      <c r="P347" s="250">
        <v>57657.66</v>
      </c>
      <c r="Q347" s="250">
        <f t="shared" si="14"/>
        <v>57657.66</v>
      </c>
    </row>
    <row r="348" spans="2:17">
      <c r="B348" s="200">
        <v>345</v>
      </c>
      <c r="C348" s="237" t="s">
        <v>1326</v>
      </c>
      <c r="D348" s="238">
        <v>82472</v>
      </c>
      <c r="E348" s="239" t="s">
        <v>17</v>
      </c>
      <c r="F348" s="240" t="s">
        <v>114</v>
      </c>
      <c r="G348" s="237"/>
      <c r="H348" s="237" t="s">
        <v>1327</v>
      </c>
      <c r="I348" s="237"/>
      <c r="J348" s="240" t="s">
        <v>85</v>
      </c>
      <c r="K348" s="237" t="s">
        <v>389</v>
      </c>
      <c r="L348" s="248">
        <v>44729</v>
      </c>
      <c r="M348" s="249">
        <v>222727</v>
      </c>
      <c r="N348" s="237">
        <v>11</v>
      </c>
      <c r="O348" s="250">
        <f t="shared" si="13"/>
        <v>2449997</v>
      </c>
      <c r="P348" s="250">
        <v>278378.38</v>
      </c>
      <c r="Q348" s="250">
        <f t="shared" si="14"/>
        <v>3062162.18</v>
      </c>
    </row>
    <row r="349" spans="2:17">
      <c r="B349" s="200">
        <v>346</v>
      </c>
      <c r="C349" s="237" t="s">
        <v>1328</v>
      </c>
      <c r="D349" s="238">
        <v>82472</v>
      </c>
      <c r="E349" s="239" t="s">
        <v>17</v>
      </c>
      <c r="F349" s="240" t="s">
        <v>114</v>
      </c>
      <c r="G349" s="237"/>
      <c r="H349" s="237" t="s">
        <v>1327</v>
      </c>
      <c r="I349" s="237"/>
      <c r="J349" s="240" t="s">
        <v>92</v>
      </c>
      <c r="K349" s="237" t="s">
        <v>380</v>
      </c>
      <c r="L349" s="248">
        <v>44729</v>
      </c>
      <c r="M349" s="249">
        <v>46364</v>
      </c>
      <c r="N349" s="237">
        <v>11</v>
      </c>
      <c r="O349" s="250">
        <f t="shared" si="13"/>
        <v>510004</v>
      </c>
      <c r="P349" s="250">
        <v>57657.66</v>
      </c>
      <c r="Q349" s="250">
        <f t="shared" si="14"/>
        <v>634234.26</v>
      </c>
    </row>
    <row r="350" spans="2:17">
      <c r="B350" s="200">
        <v>347</v>
      </c>
      <c r="C350" s="237" t="s">
        <v>1329</v>
      </c>
      <c r="D350" s="238" t="s">
        <v>1330</v>
      </c>
      <c r="E350" s="239" t="s">
        <v>16</v>
      </c>
      <c r="F350" s="240" t="s">
        <v>165</v>
      </c>
      <c r="G350" s="237"/>
      <c r="H350" s="237" t="s">
        <v>1331</v>
      </c>
      <c r="I350" s="237"/>
      <c r="J350" s="240" t="s">
        <v>85</v>
      </c>
      <c r="K350" s="237" t="s">
        <v>429</v>
      </c>
      <c r="L350" s="248">
        <v>44735</v>
      </c>
      <c r="M350" s="249">
        <v>222727</v>
      </c>
      <c r="N350" s="237">
        <v>310</v>
      </c>
      <c r="O350" s="250">
        <f t="shared" si="13"/>
        <v>69045370</v>
      </c>
      <c r="P350" s="250">
        <v>279091</v>
      </c>
      <c r="Q350" s="250">
        <f t="shared" si="14"/>
        <v>86518210</v>
      </c>
    </row>
    <row r="351" spans="2:17">
      <c r="B351" s="200">
        <v>348</v>
      </c>
      <c r="C351" s="237" t="s">
        <v>1332</v>
      </c>
      <c r="D351" s="238" t="s">
        <v>1333</v>
      </c>
      <c r="E351" s="239" t="s">
        <v>9</v>
      </c>
      <c r="F351" s="240" t="s">
        <v>1334</v>
      </c>
      <c r="G351" s="237"/>
      <c r="H351" s="237" t="s">
        <v>1268</v>
      </c>
      <c r="I351" s="237"/>
      <c r="J351" s="240" t="s">
        <v>50</v>
      </c>
      <c r="K351" s="237" t="s">
        <v>1335</v>
      </c>
      <c r="L351" s="248">
        <v>44739</v>
      </c>
      <c r="M351" s="249">
        <v>254545</v>
      </c>
      <c r="N351" s="237">
        <v>4</v>
      </c>
      <c r="O351" s="250">
        <f t="shared" si="13"/>
        <v>1018180</v>
      </c>
      <c r="P351" s="250">
        <v>275000</v>
      </c>
      <c r="Q351" s="250">
        <f t="shared" si="14"/>
        <v>1100000</v>
      </c>
    </row>
    <row r="352" spans="2:17">
      <c r="B352" s="200">
        <v>349</v>
      </c>
      <c r="C352" s="237" t="s">
        <v>1336</v>
      </c>
      <c r="D352" s="238" t="s">
        <v>1337</v>
      </c>
      <c r="E352" s="239" t="s">
        <v>6</v>
      </c>
      <c r="F352" s="240" t="s">
        <v>88</v>
      </c>
      <c r="G352" s="237"/>
      <c r="H352" s="237" t="s">
        <v>1331</v>
      </c>
      <c r="I352" s="237"/>
      <c r="J352" s="240" t="s">
        <v>63</v>
      </c>
      <c r="K352" s="237" t="s">
        <v>1338</v>
      </c>
      <c r="L352" s="248">
        <v>44740</v>
      </c>
      <c r="M352" s="249">
        <v>92727</v>
      </c>
      <c r="N352" s="237">
        <v>7</v>
      </c>
      <c r="O352" s="250">
        <f t="shared" si="13"/>
        <v>649089</v>
      </c>
      <c r="P352" s="250">
        <v>116216.22</v>
      </c>
      <c r="Q352" s="250">
        <f t="shared" si="14"/>
        <v>813513.54</v>
      </c>
    </row>
    <row r="353" spans="2:17">
      <c r="B353" s="200">
        <v>350</v>
      </c>
      <c r="C353" s="237" t="s">
        <v>1339</v>
      </c>
      <c r="D353" s="238" t="s">
        <v>1340</v>
      </c>
      <c r="E353" s="239" t="s">
        <v>16</v>
      </c>
      <c r="F353" s="240" t="s">
        <v>1276</v>
      </c>
      <c r="G353" s="237"/>
      <c r="H353" s="237" t="s">
        <v>1341</v>
      </c>
      <c r="I353" s="237"/>
      <c r="J353" s="240" t="s">
        <v>85</v>
      </c>
      <c r="K353" s="237" t="s">
        <v>1278</v>
      </c>
      <c r="L353" s="248">
        <v>44742</v>
      </c>
      <c r="M353" s="249">
        <v>222727</v>
      </c>
      <c r="N353" s="237">
        <v>5</v>
      </c>
      <c r="O353" s="250">
        <f t="shared" ref="O353:O362" si="16">M353*N353</f>
        <v>1113635</v>
      </c>
      <c r="P353" s="250">
        <v>279091</v>
      </c>
      <c r="Q353" s="250">
        <f t="shared" si="14"/>
        <v>1395455</v>
      </c>
    </row>
    <row r="354" spans="2:17">
      <c r="B354" s="200">
        <v>351</v>
      </c>
      <c r="C354" s="237" t="s">
        <v>1342</v>
      </c>
      <c r="D354" s="238" t="s">
        <v>1343</v>
      </c>
      <c r="E354" s="239" t="s">
        <v>9</v>
      </c>
      <c r="F354" s="240" t="s">
        <v>1344</v>
      </c>
      <c r="G354" s="237"/>
      <c r="H354" s="237" t="s">
        <v>1345</v>
      </c>
      <c r="I354" s="237"/>
      <c r="J354" s="240" t="s">
        <v>50</v>
      </c>
      <c r="K354" s="237" t="s">
        <v>1346</v>
      </c>
      <c r="L354" s="248">
        <v>44742</v>
      </c>
      <c r="M354" s="249">
        <v>254545</v>
      </c>
      <c r="N354" s="237">
        <v>2</v>
      </c>
      <c r="O354" s="250">
        <f t="shared" si="16"/>
        <v>509090</v>
      </c>
      <c r="P354" s="250">
        <v>275000</v>
      </c>
      <c r="Q354" s="250">
        <f t="shared" si="14"/>
        <v>550000</v>
      </c>
    </row>
    <row r="355" spans="2:17">
      <c r="B355" s="200">
        <v>352</v>
      </c>
      <c r="C355" s="241" t="s">
        <v>1347</v>
      </c>
      <c r="D355" s="242" t="s">
        <v>1348</v>
      </c>
      <c r="E355" s="243" t="s">
        <v>9</v>
      </c>
      <c r="F355" s="244" t="s">
        <v>1349</v>
      </c>
      <c r="G355" s="241"/>
      <c r="H355" s="241" t="s">
        <v>1350</v>
      </c>
      <c r="I355" s="241"/>
      <c r="J355" s="244" t="s">
        <v>50</v>
      </c>
      <c r="K355" s="241" t="s">
        <v>1351</v>
      </c>
      <c r="L355" s="251">
        <v>44747</v>
      </c>
      <c r="M355" s="252">
        <v>254545</v>
      </c>
      <c r="N355" s="241">
        <v>1</v>
      </c>
      <c r="O355" s="253">
        <f t="shared" si="16"/>
        <v>254545</v>
      </c>
      <c r="P355" s="253">
        <v>275000</v>
      </c>
      <c r="Q355" s="253">
        <f t="shared" si="14"/>
        <v>275000</v>
      </c>
    </row>
    <row r="356" spans="2:17">
      <c r="B356" s="200">
        <v>353</v>
      </c>
      <c r="C356" s="241" t="s">
        <v>1352</v>
      </c>
      <c r="D356" s="242">
        <v>4010013271</v>
      </c>
      <c r="E356" s="243" t="s">
        <v>2</v>
      </c>
      <c r="F356" s="243" t="s">
        <v>1353</v>
      </c>
      <c r="G356" s="241"/>
      <c r="H356" s="241" t="s">
        <v>1354</v>
      </c>
      <c r="I356" s="241"/>
      <c r="J356" s="244" t="s">
        <v>63</v>
      </c>
      <c r="K356" s="241" t="s">
        <v>424</v>
      </c>
      <c r="L356" s="251">
        <v>44749</v>
      </c>
      <c r="M356" s="252">
        <v>92727</v>
      </c>
      <c r="N356" s="241">
        <v>250</v>
      </c>
      <c r="O356" s="253">
        <f t="shared" si="16"/>
        <v>23181750</v>
      </c>
      <c r="P356" s="253">
        <f>188700/1.11</f>
        <v>169999.99999999997</v>
      </c>
      <c r="Q356" s="253">
        <f t="shared" si="14"/>
        <v>42499999.999999993</v>
      </c>
    </row>
    <row r="357" spans="2:17">
      <c r="B357" s="200">
        <v>354</v>
      </c>
      <c r="C357" s="241" t="s">
        <v>1355</v>
      </c>
      <c r="D357" s="242">
        <v>4010013271</v>
      </c>
      <c r="E357" s="243" t="s">
        <v>2</v>
      </c>
      <c r="F357" s="243" t="s">
        <v>1353</v>
      </c>
      <c r="G357" s="241"/>
      <c r="H357" s="241" t="s">
        <v>1354</v>
      </c>
      <c r="I357" s="241"/>
      <c r="J357" s="244" t="s">
        <v>85</v>
      </c>
      <c r="K357" s="241" t="s">
        <v>422</v>
      </c>
      <c r="L357" s="251">
        <v>44749</v>
      </c>
      <c r="M357" s="252">
        <v>222727</v>
      </c>
      <c r="N357" s="241">
        <v>50</v>
      </c>
      <c r="O357" s="253">
        <f t="shared" si="16"/>
        <v>11136350</v>
      </c>
      <c r="P357" s="253">
        <f>354090/1.11</f>
        <v>319000</v>
      </c>
      <c r="Q357" s="253">
        <f t="shared" ref="Q357:Q397" si="17">P357*N357</f>
        <v>15950000</v>
      </c>
    </row>
    <row r="358" spans="2:17">
      <c r="B358" s="200">
        <v>355</v>
      </c>
      <c r="C358" s="241" t="s">
        <v>1356</v>
      </c>
      <c r="D358" s="242" t="s">
        <v>1357</v>
      </c>
      <c r="E358" s="243" t="s">
        <v>6</v>
      </c>
      <c r="F358" s="244" t="s">
        <v>218</v>
      </c>
      <c r="G358" s="241"/>
      <c r="H358" s="241" t="s">
        <v>1358</v>
      </c>
      <c r="I358" s="241"/>
      <c r="J358" s="244" t="s">
        <v>63</v>
      </c>
      <c r="K358" s="241" t="s">
        <v>1359</v>
      </c>
      <c r="L358" s="251">
        <v>44750</v>
      </c>
      <c r="M358" s="252">
        <v>92727</v>
      </c>
      <c r="N358" s="241">
        <v>4</v>
      </c>
      <c r="O358" s="253">
        <f t="shared" si="16"/>
        <v>370908</v>
      </c>
      <c r="P358" s="253">
        <v>117273</v>
      </c>
      <c r="Q358" s="253">
        <f t="shared" si="17"/>
        <v>469092</v>
      </c>
    </row>
    <row r="359" spans="2:17">
      <c r="B359" s="200">
        <v>356</v>
      </c>
      <c r="C359" s="241" t="s">
        <v>1356</v>
      </c>
      <c r="D359" s="242" t="s">
        <v>1360</v>
      </c>
      <c r="E359" s="243" t="s">
        <v>19</v>
      </c>
      <c r="F359" s="244" t="s">
        <v>462</v>
      </c>
      <c r="G359" s="241"/>
      <c r="H359" s="241" t="s">
        <v>1361</v>
      </c>
      <c r="I359" s="241"/>
      <c r="J359" s="244" t="s">
        <v>85</v>
      </c>
      <c r="K359" s="241" t="s">
        <v>1362</v>
      </c>
      <c r="L359" s="251">
        <v>44750</v>
      </c>
      <c r="M359" s="252">
        <v>222727</v>
      </c>
      <c r="N359" s="241">
        <v>16</v>
      </c>
      <c r="O359" s="253">
        <f t="shared" si="16"/>
        <v>3563632</v>
      </c>
      <c r="P359" s="253">
        <v>279091</v>
      </c>
      <c r="Q359" s="253">
        <f t="shared" si="17"/>
        <v>4465456</v>
      </c>
    </row>
    <row r="360" spans="2:17">
      <c r="B360" s="200">
        <v>357</v>
      </c>
      <c r="C360" s="241" t="s">
        <v>1363</v>
      </c>
      <c r="D360" s="242" t="s">
        <v>1364</v>
      </c>
      <c r="E360" s="243" t="s">
        <v>9</v>
      </c>
      <c r="F360" s="244" t="s">
        <v>1365</v>
      </c>
      <c r="G360" s="241"/>
      <c r="H360" s="241" t="s">
        <v>1366</v>
      </c>
      <c r="I360" s="241"/>
      <c r="J360" s="244" t="s">
        <v>50</v>
      </c>
      <c r="K360" s="241" t="s">
        <v>1367</v>
      </c>
      <c r="L360" s="251">
        <v>44757</v>
      </c>
      <c r="M360" s="252">
        <v>254545</v>
      </c>
      <c r="N360" s="241">
        <v>7</v>
      </c>
      <c r="O360" s="253">
        <f t="shared" si="16"/>
        <v>1781815</v>
      </c>
      <c r="P360" s="253">
        <v>275000</v>
      </c>
      <c r="Q360" s="253">
        <f t="shared" si="17"/>
        <v>1925000</v>
      </c>
    </row>
    <row r="361" spans="2:17">
      <c r="B361" s="200">
        <v>358</v>
      </c>
      <c r="C361" s="241" t="s">
        <v>1368</v>
      </c>
      <c r="D361" s="242" t="s">
        <v>1364</v>
      </c>
      <c r="E361" s="243" t="s">
        <v>9</v>
      </c>
      <c r="F361" s="244" t="s">
        <v>1369</v>
      </c>
      <c r="G361" s="241"/>
      <c r="H361" s="241" t="s">
        <v>1366</v>
      </c>
      <c r="I361" s="241"/>
      <c r="J361" s="244" t="s">
        <v>50</v>
      </c>
      <c r="K361" s="241" t="s">
        <v>1370</v>
      </c>
      <c r="L361" s="251">
        <v>44757</v>
      </c>
      <c r="M361" s="252">
        <v>254545</v>
      </c>
      <c r="N361" s="241">
        <v>3</v>
      </c>
      <c r="O361" s="253">
        <f t="shared" si="16"/>
        <v>763635</v>
      </c>
      <c r="P361" s="253">
        <v>275000</v>
      </c>
      <c r="Q361" s="253">
        <f t="shared" si="17"/>
        <v>825000</v>
      </c>
    </row>
    <row r="362" spans="2:17">
      <c r="B362" s="200">
        <v>359</v>
      </c>
      <c r="C362" s="241" t="s">
        <v>1371</v>
      </c>
      <c r="D362" s="242" t="s">
        <v>1372</v>
      </c>
      <c r="E362" s="243" t="s">
        <v>11</v>
      </c>
      <c r="F362" s="243" t="s">
        <v>11</v>
      </c>
      <c r="G362" s="241"/>
      <c r="H362" s="241" t="s">
        <v>1373</v>
      </c>
      <c r="I362" s="241"/>
      <c r="J362" s="244" t="s">
        <v>92</v>
      </c>
      <c r="K362" s="241" t="s">
        <v>1374</v>
      </c>
      <c r="L362" s="251">
        <v>44760</v>
      </c>
      <c r="M362" s="252">
        <v>46364</v>
      </c>
      <c r="N362" s="241">
        <v>300</v>
      </c>
      <c r="O362" s="253">
        <f t="shared" si="16"/>
        <v>13909200</v>
      </c>
      <c r="P362" s="253">
        <v>55273</v>
      </c>
      <c r="Q362" s="253">
        <f t="shared" si="17"/>
        <v>16581900</v>
      </c>
    </row>
    <row r="363" spans="2:17">
      <c r="B363" s="200">
        <v>360</v>
      </c>
      <c r="C363" s="241" t="s">
        <v>1375</v>
      </c>
      <c r="D363" s="242" t="s">
        <v>1376</v>
      </c>
      <c r="E363" s="243" t="s">
        <v>11</v>
      </c>
      <c r="F363" s="244" t="s">
        <v>320</v>
      </c>
      <c r="G363" s="241"/>
      <c r="H363" s="241" t="s">
        <v>1377</v>
      </c>
      <c r="I363" s="241"/>
      <c r="J363" s="244" t="s">
        <v>50</v>
      </c>
      <c r="K363" s="241" t="s">
        <v>1378</v>
      </c>
      <c r="L363" s="251">
        <v>44762</v>
      </c>
      <c r="M363" s="252">
        <v>444545</v>
      </c>
      <c r="N363" s="241">
        <v>28</v>
      </c>
      <c r="O363" s="253">
        <f t="shared" ref="O363:O427" si="18">M363*N363</f>
        <v>12447260</v>
      </c>
      <c r="P363" s="253">
        <v>556363.63</v>
      </c>
      <c r="Q363" s="253">
        <f t="shared" si="17"/>
        <v>15578181.640000001</v>
      </c>
    </row>
    <row r="364" spans="2:17">
      <c r="B364" s="200">
        <v>361</v>
      </c>
      <c r="C364" s="241" t="s">
        <v>1379</v>
      </c>
      <c r="D364" s="242" t="s">
        <v>1376</v>
      </c>
      <c r="E364" s="243" t="s">
        <v>11</v>
      </c>
      <c r="F364" s="244" t="s">
        <v>320</v>
      </c>
      <c r="G364" s="241"/>
      <c r="H364" s="241" t="s">
        <v>1380</v>
      </c>
      <c r="I364" s="241"/>
      <c r="J364" s="244" t="s">
        <v>50</v>
      </c>
      <c r="K364" s="241" t="s">
        <v>1381</v>
      </c>
      <c r="L364" s="251">
        <v>44762</v>
      </c>
      <c r="M364" s="252">
        <v>444545</v>
      </c>
      <c r="N364" s="241">
        <v>3</v>
      </c>
      <c r="O364" s="253">
        <f t="shared" si="18"/>
        <v>1333635</v>
      </c>
      <c r="P364" s="253">
        <v>556363.63</v>
      </c>
      <c r="Q364" s="253">
        <f t="shared" si="17"/>
        <v>1669090.8900000001</v>
      </c>
    </row>
    <row r="365" spans="2:17">
      <c r="B365" s="200">
        <v>362</v>
      </c>
      <c r="C365" s="241" t="s">
        <v>1382</v>
      </c>
      <c r="D365" s="242">
        <v>2500016606</v>
      </c>
      <c r="E365" s="243" t="s">
        <v>10</v>
      </c>
      <c r="F365" s="244" t="s">
        <v>814</v>
      </c>
      <c r="G365" s="241"/>
      <c r="H365" s="241" t="s">
        <v>1383</v>
      </c>
      <c r="I365" s="241"/>
      <c r="J365" s="244" t="s">
        <v>816</v>
      </c>
      <c r="K365" s="241" t="s">
        <v>1384</v>
      </c>
      <c r="L365" s="251">
        <v>44763</v>
      </c>
      <c r="M365" s="252">
        <v>22727</v>
      </c>
      <c r="N365" s="241">
        <v>5</v>
      </c>
      <c r="O365" s="253">
        <f t="shared" si="18"/>
        <v>113635</v>
      </c>
      <c r="P365" s="253">
        <v>29091</v>
      </c>
      <c r="Q365" s="253">
        <f t="shared" si="17"/>
        <v>145455</v>
      </c>
    </row>
    <row r="366" spans="2:17">
      <c r="B366" s="200">
        <v>363</v>
      </c>
      <c r="C366" s="241" t="s">
        <v>1385</v>
      </c>
      <c r="D366" s="242" t="s">
        <v>1386</v>
      </c>
      <c r="E366" s="243" t="s">
        <v>9</v>
      </c>
      <c r="F366" s="244" t="s">
        <v>1387</v>
      </c>
      <c r="G366" s="241"/>
      <c r="H366" s="241" t="s">
        <v>1388</v>
      </c>
      <c r="I366" s="241"/>
      <c r="J366" s="244" t="s">
        <v>50</v>
      </c>
      <c r="K366" s="241" t="s">
        <v>1389</v>
      </c>
      <c r="L366" s="251">
        <v>44767</v>
      </c>
      <c r="M366" s="252">
        <v>254545</v>
      </c>
      <c r="N366" s="241">
        <v>6</v>
      </c>
      <c r="O366" s="253">
        <f t="shared" si="18"/>
        <v>1527270</v>
      </c>
      <c r="P366" s="253">
        <v>275000</v>
      </c>
      <c r="Q366" s="253">
        <f t="shared" si="17"/>
        <v>1650000</v>
      </c>
    </row>
    <row r="367" spans="2:17">
      <c r="B367" s="200">
        <v>364</v>
      </c>
      <c r="C367" s="241" t="s">
        <v>1390</v>
      </c>
      <c r="D367" s="242" t="s">
        <v>1386</v>
      </c>
      <c r="E367" s="243" t="s">
        <v>9</v>
      </c>
      <c r="F367" s="244" t="s">
        <v>1391</v>
      </c>
      <c r="G367" s="241"/>
      <c r="H367" s="241" t="s">
        <v>1388</v>
      </c>
      <c r="I367" s="241"/>
      <c r="J367" s="244" t="s">
        <v>50</v>
      </c>
      <c r="K367" s="241" t="s">
        <v>1392</v>
      </c>
      <c r="L367" s="251">
        <v>44767</v>
      </c>
      <c r="M367" s="252">
        <v>254545</v>
      </c>
      <c r="N367" s="241">
        <v>6</v>
      </c>
      <c r="O367" s="253">
        <f t="shared" si="18"/>
        <v>1527270</v>
      </c>
      <c r="P367" s="253">
        <v>275000</v>
      </c>
      <c r="Q367" s="253">
        <f t="shared" si="17"/>
        <v>1650000</v>
      </c>
    </row>
    <row r="368" spans="2:17">
      <c r="B368" s="200">
        <v>365</v>
      </c>
      <c r="C368" s="241" t="s">
        <v>1393</v>
      </c>
      <c r="D368" s="242" t="s">
        <v>1386</v>
      </c>
      <c r="E368" s="243" t="s">
        <v>9</v>
      </c>
      <c r="F368" s="244" t="s">
        <v>1394</v>
      </c>
      <c r="G368" s="241"/>
      <c r="H368" s="241" t="s">
        <v>1395</v>
      </c>
      <c r="I368" s="241"/>
      <c r="J368" s="244" t="s">
        <v>50</v>
      </c>
      <c r="K368" s="241" t="s">
        <v>1396</v>
      </c>
      <c r="L368" s="251">
        <v>44767</v>
      </c>
      <c r="M368" s="252">
        <v>254545</v>
      </c>
      <c r="N368" s="241">
        <v>3</v>
      </c>
      <c r="O368" s="253">
        <f t="shared" si="18"/>
        <v>763635</v>
      </c>
      <c r="P368" s="253">
        <v>275000</v>
      </c>
      <c r="Q368" s="253">
        <f t="shared" si="17"/>
        <v>825000</v>
      </c>
    </row>
    <row r="369" spans="2:17">
      <c r="B369" s="200">
        <v>366</v>
      </c>
      <c r="C369" s="241" t="s">
        <v>1397</v>
      </c>
      <c r="D369" s="242" t="s">
        <v>1398</v>
      </c>
      <c r="E369" s="243" t="s">
        <v>11</v>
      </c>
      <c r="F369" s="244" t="s">
        <v>733</v>
      </c>
      <c r="G369" s="241"/>
      <c r="H369" s="241" t="s">
        <v>1399</v>
      </c>
      <c r="I369" s="241"/>
      <c r="J369" s="244" t="s">
        <v>85</v>
      </c>
      <c r="K369" s="241" t="s">
        <v>1400</v>
      </c>
      <c r="L369" s="251">
        <v>44767</v>
      </c>
      <c r="M369" s="252">
        <v>222727</v>
      </c>
      <c r="N369" s="241">
        <v>1</v>
      </c>
      <c r="O369" s="253">
        <f t="shared" si="18"/>
        <v>222727</v>
      </c>
      <c r="P369" s="253">
        <v>279091</v>
      </c>
      <c r="Q369" s="253">
        <f t="shared" si="17"/>
        <v>279091</v>
      </c>
    </row>
    <row r="370" spans="2:17">
      <c r="B370" s="200">
        <v>367</v>
      </c>
      <c r="C370" s="241" t="s">
        <v>1401</v>
      </c>
      <c r="D370" s="242" t="s">
        <v>1402</v>
      </c>
      <c r="E370" s="243" t="s">
        <v>9</v>
      </c>
      <c r="F370" s="244" t="s">
        <v>1403</v>
      </c>
      <c r="G370" s="241"/>
      <c r="H370" s="241" t="s">
        <v>1404</v>
      </c>
      <c r="I370" s="241"/>
      <c r="J370" s="244" t="s">
        <v>50</v>
      </c>
      <c r="K370" s="241" t="s">
        <v>1405</v>
      </c>
      <c r="L370" s="251">
        <v>44769</v>
      </c>
      <c r="M370" s="252">
        <v>254545</v>
      </c>
      <c r="N370" s="241">
        <v>1</v>
      </c>
      <c r="O370" s="253">
        <f t="shared" si="18"/>
        <v>254545</v>
      </c>
      <c r="P370" s="253">
        <v>275000</v>
      </c>
      <c r="Q370" s="253">
        <f t="shared" si="17"/>
        <v>275000</v>
      </c>
    </row>
    <row r="371" spans="2:17">
      <c r="B371" s="200">
        <v>368</v>
      </c>
      <c r="C371" s="241" t="s">
        <v>1406</v>
      </c>
      <c r="D371" s="242" t="s">
        <v>1402</v>
      </c>
      <c r="E371" s="243" t="s">
        <v>9</v>
      </c>
      <c r="F371" s="243" t="s">
        <v>1407</v>
      </c>
      <c r="G371" s="241"/>
      <c r="H371" s="241" t="s">
        <v>1408</v>
      </c>
      <c r="I371" s="241"/>
      <c r="J371" s="244" t="s">
        <v>50</v>
      </c>
      <c r="K371" s="241" t="s">
        <v>1409</v>
      </c>
      <c r="L371" s="251">
        <v>44769</v>
      </c>
      <c r="M371" s="252">
        <v>254545</v>
      </c>
      <c r="N371" s="241">
        <v>1</v>
      </c>
      <c r="O371" s="253">
        <f t="shared" si="18"/>
        <v>254545</v>
      </c>
      <c r="P371" s="253">
        <v>275000</v>
      </c>
      <c r="Q371" s="253">
        <f t="shared" si="17"/>
        <v>275000</v>
      </c>
    </row>
    <row r="372" spans="2:17">
      <c r="B372" s="200">
        <v>369</v>
      </c>
      <c r="C372" s="241" t="s">
        <v>1410</v>
      </c>
      <c r="D372" s="242" t="s">
        <v>1411</v>
      </c>
      <c r="E372" s="243" t="s">
        <v>11</v>
      </c>
      <c r="F372" s="244" t="s">
        <v>1412</v>
      </c>
      <c r="G372" s="241"/>
      <c r="H372" s="241" t="s">
        <v>1361</v>
      </c>
      <c r="I372" s="241"/>
      <c r="J372" s="244" t="s">
        <v>1413</v>
      </c>
      <c r="K372" s="241" t="s">
        <v>1414</v>
      </c>
      <c r="L372" s="251">
        <v>44770</v>
      </c>
      <c r="M372" s="252">
        <v>106575</v>
      </c>
      <c r="N372" s="241">
        <v>2</v>
      </c>
      <c r="O372" s="253">
        <f t="shared" si="18"/>
        <v>213150</v>
      </c>
      <c r="P372" s="253">
        <v>116264</v>
      </c>
      <c r="Q372" s="253">
        <f t="shared" si="17"/>
        <v>232528</v>
      </c>
    </row>
    <row r="373" spans="2:17">
      <c r="B373" s="200">
        <v>370</v>
      </c>
      <c r="C373" s="237" t="s">
        <v>1415</v>
      </c>
      <c r="D373" s="238" t="s">
        <v>1416</v>
      </c>
      <c r="E373" s="239" t="s">
        <v>9</v>
      </c>
      <c r="F373" s="239" t="s">
        <v>1417</v>
      </c>
      <c r="G373" s="237"/>
      <c r="H373" s="237" t="s">
        <v>1418</v>
      </c>
      <c r="I373" s="237"/>
      <c r="J373" s="240" t="s">
        <v>50</v>
      </c>
      <c r="K373" s="237" t="s">
        <v>1419</v>
      </c>
      <c r="L373" s="248">
        <v>44776</v>
      </c>
      <c r="M373" s="249">
        <v>254545</v>
      </c>
      <c r="N373" s="237">
        <v>3</v>
      </c>
      <c r="O373" s="250">
        <f t="shared" si="18"/>
        <v>763635</v>
      </c>
      <c r="P373" s="250">
        <v>275000</v>
      </c>
      <c r="Q373" s="250">
        <f t="shared" si="17"/>
        <v>825000</v>
      </c>
    </row>
    <row r="374" spans="2:17">
      <c r="B374" s="200">
        <v>371</v>
      </c>
      <c r="C374" s="237" t="s">
        <v>1420</v>
      </c>
      <c r="D374" s="238" t="s">
        <v>1421</v>
      </c>
      <c r="E374" s="239" t="s">
        <v>2</v>
      </c>
      <c r="F374" s="239" t="s">
        <v>462</v>
      </c>
      <c r="G374" s="237"/>
      <c r="H374" s="237" t="s">
        <v>1422</v>
      </c>
      <c r="I374" s="237"/>
      <c r="J374" s="240" t="s">
        <v>85</v>
      </c>
      <c r="K374" s="237" t="s">
        <v>1423</v>
      </c>
      <c r="L374" s="248">
        <v>44789</v>
      </c>
      <c r="M374" s="249">
        <v>222727</v>
      </c>
      <c r="N374" s="237">
        <v>53</v>
      </c>
      <c r="O374" s="250">
        <f t="shared" si="18"/>
        <v>11804531</v>
      </c>
      <c r="P374" s="250">
        <f>410000/1.11</f>
        <v>369369.36936936935</v>
      </c>
      <c r="Q374" s="250">
        <f t="shared" si="17"/>
        <v>19576576.576576576</v>
      </c>
    </row>
    <row r="375" spans="2:17">
      <c r="B375" s="200">
        <v>372</v>
      </c>
      <c r="C375" s="237" t="s">
        <v>1424</v>
      </c>
      <c r="D375" s="238" t="s">
        <v>1425</v>
      </c>
      <c r="E375" s="239" t="s">
        <v>2</v>
      </c>
      <c r="F375" s="239" t="s">
        <v>556</v>
      </c>
      <c r="G375" s="237"/>
      <c r="H375" s="237" t="s">
        <v>1426</v>
      </c>
      <c r="I375" s="237"/>
      <c r="J375" s="240" t="s">
        <v>85</v>
      </c>
      <c r="K375" s="237" t="s">
        <v>1427</v>
      </c>
      <c r="L375" s="248">
        <v>44792</v>
      </c>
      <c r="M375" s="249">
        <v>222727</v>
      </c>
      <c r="N375" s="237">
        <v>350</v>
      </c>
      <c r="O375" s="250">
        <f t="shared" si="18"/>
        <v>77954450</v>
      </c>
      <c r="P375" s="250">
        <v>357000</v>
      </c>
      <c r="Q375" s="250">
        <f t="shared" si="17"/>
        <v>124950000</v>
      </c>
    </row>
    <row r="376" spans="2:17">
      <c r="B376" s="200">
        <v>373</v>
      </c>
      <c r="C376" s="237" t="s">
        <v>1428</v>
      </c>
      <c r="D376" s="238" t="s">
        <v>1429</v>
      </c>
      <c r="E376" s="239" t="s">
        <v>11</v>
      </c>
      <c r="F376" s="240" t="s">
        <v>1188</v>
      </c>
      <c r="G376" s="237"/>
      <c r="H376" s="237" t="s">
        <v>1422</v>
      </c>
      <c r="I376" s="237"/>
      <c r="J376" s="240" t="s">
        <v>50</v>
      </c>
      <c r="K376" s="237" t="s">
        <v>1430</v>
      </c>
      <c r="L376" s="248">
        <v>44795</v>
      </c>
      <c r="M376" s="249">
        <v>444545</v>
      </c>
      <c r="N376" s="237">
        <v>1</v>
      </c>
      <c r="O376" s="250">
        <f t="shared" si="18"/>
        <v>444545</v>
      </c>
      <c r="P376" s="250">
        <v>556363.63</v>
      </c>
      <c r="Q376" s="250">
        <f t="shared" si="17"/>
        <v>556363.63</v>
      </c>
    </row>
    <row r="377" spans="2:17">
      <c r="B377" s="200">
        <v>374</v>
      </c>
      <c r="C377" s="237" t="s">
        <v>1431</v>
      </c>
      <c r="D377" s="238" t="s">
        <v>1432</v>
      </c>
      <c r="E377" s="239" t="s">
        <v>1296</v>
      </c>
      <c r="F377" s="240" t="s">
        <v>733</v>
      </c>
      <c r="G377" s="237"/>
      <c r="H377" s="237" t="s">
        <v>1433</v>
      </c>
      <c r="I377" s="237"/>
      <c r="J377" s="240" t="s">
        <v>85</v>
      </c>
      <c r="K377" s="237" t="s">
        <v>1434</v>
      </c>
      <c r="L377" s="248">
        <v>44799</v>
      </c>
      <c r="M377" s="249">
        <v>222727</v>
      </c>
      <c r="N377" s="237">
        <v>1</v>
      </c>
      <c r="O377" s="250">
        <f t="shared" si="18"/>
        <v>222727</v>
      </c>
      <c r="P377" s="250">
        <v>279091</v>
      </c>
      <c r="Q377" s="250">
        <f t="shared" si="17"/>
        <v>279091</v>
      </c>
    </row>
    <row r="378" spans="2:17">
      <c r="B378" s="200">
        <v>375</v>
      </c>
      <c r="C378" s="237" t="s">
        <v>1435</v>
      </c>
      <c r="D378" s="238" t="s">
        <v>1436</v>
      </c>
      <c r="E378" s="239" t="s">
        <v>1437</v>
      </c>
      <c r="F378" s="240" t="s">
        <v>1438</v>
      </c>
      <c r="G378" s="237"/>
      <c r="H378" s="237" t="s">
        <v>1439</v>
      </c>
      <c r="I378" s="237"/>
      <c r="J378" s="240" t="s">
        <v>63</v>
      </c>
      <c r="K378" s="237" t="s">
        <v>1440</v>
      </c>
      <c r="L378" s="248">
        <v>44804</v>
      </c>
      <c r="M378" s="249">
        <v>74181.600000000006</v>
      </c>
      <c r="N378" s="237">
        <v>150</v>
      </c>
      <c r="O378" s="250">
        <f t="shared" si="18"/>
        <v>11127240</v>
      </c>
      <c r="P378" s="250">
        <f>145815/1.11</f>
        <v>131364.86486486485</v>
      </c>
      <c r="Q378" s="250">
        <f t="shared" si="17"/>
        <v>19704729.729729727</v>
      </c>
    </row>
    <row r="379" spans="2:17">
      <c r="B379" s="200">
        <v>376</v>
      </c>
      <c r="C379" s="237" t="s">
        <v>1441</v>
      </c>
      <c r="D379" s="238">
        <v>2500018879</v>
      </c>
      <c r="E379" s="239" t="s">
        <v>10</v>
      </c>
      <c r="F379" s="240" t="s">
        <v>814</v>
      </c>
      <c r="G379" s="237"/>
      <c r="H379" s="237" t="s">
        <v>1442</v>
      </c>
      <c r="I379" s="237"/>
      <c r="J379" s="240" t="s">
        <v>816</v>
      </c>
      <c r="K379" s="237" t="s">
        <v>1384</v>
      </c>
      <c r="L379" s="248">
        <v>44783</v>
      </c>
      <c r="M379" s="249">
        <v>22727</v>
      </c>
      <c r="N379" s="237">
        <v>5</v>
      </c>
      <c r="O379" s="250">
        <f t="shared" si="18"/>
        <v>113635</v>
      </c>
      <c r="P379" s="250">
        <v>29091</v>
      </c>
      <c r="Q379" s="250">
        <f t="shared" si="17"/>
        <v>145455</v>
      </c>
    </row>
    <row r="380" spans="2:17">
      <c r="B380" s="200">
        <v>377</v>
      </c>
      <c r="C380" s="241" t="s">
        <v>1443</v>
      </c>
      <c r="D380" s="242" t="s">
        <v>1444</v>
      </c>
      <c r="E380" s="243" t="s">
        <v>82</v>
      </c>
      <c r="F380" s="244" t="s">
        <v>83</v>
      </c>
      <c r="G380" s="241"/>
      <c r="H380" s="241" t="s">
        <v>1445</v>
      </c>
      <c r="I380" s="241"/>
      <c r="J380" s="244" t="s">
        <v>85</v>
      </c>
      <c r="K380" s="241" t="s">
        <v>1446</v>
      </c>
      <c r="L380" s="251">
        <v>44809</v>
      </c>
      <c r="M380" s="252">
        <v>222727</v>
      </c>
      <c r="N380" s="241">
        <v>84</v>
      </c>
      <c r="O380" s="253">
        <f t="shared" si="18"/>
        <v>18709068</v>
      </c>
      <c r="P380" s="253">
        <v>279090.90999999997</v>
      </c>
      <c r="Q380" s="253">
        <f t="shared" si="17"/>
        <v>23443636.439999998</v>
      </c>
    </row>
    <row r="381" spans="2:17">
      <c r="B381" s="200">
        <v>378</v>
      </c>
      <c r="C381" s="241" t="s">
        <v>1447</v>
      </c>
      <c r="D381" s="242">
        <v>83338</v>
      </c>
      <c r="E381" s="243" t="s">
        <v>17</v>
      </c>
      <c r="F381" s="243" t="s">
        <v>88</v>
      </c>
      <c r="G381" s="241"/>
      <c r="H381" s="241" t="s">
        <v>1448</v>
      </c>
      <c r="I381" s="241"/>
      <c r="J381" s="244" t="s">
        <v>85</v>
      </c>
      <c r="K381" s="241" t="s">
        <v>1449</v>
      </c>
      <c r="L381" s="251">
        <v>44811</v>
      </c>
      <c r="M381" s="252">
        <v>222727</v>
      </c>
      <c r="N381" s="241">
        <v>5</v>
      </c>
      <c r="O381" s="253">
        <f t="shared" si="18"/>
        <v>1113635</v>
      </c>
      <c r="P381" s="253">
        <v>275000</v>
      </c>
      <c r="Q381" s="253">
        <f t="shared" si="17"/>
        <v>1375000</v>
      </c>
    </row>
    <row r="382" spans="2:17">
      <c r="B382" s="200">
        <v>379</v>
      </c>
      <c r="C382" s="241" t="s">
        <v>1450</v>
      </c>
      <c r="D382" s="242">
        <v>83338</v>
      </c>
      <c r="E382" s="243" t="s">
        <v>17</v>
      </c>
      <c r="F382" s="243" t="s">
        <v>88</v>
      </c>
      <c r="G382" s="241"/>
      <c r="H382" s="241" t="s">
        <v>1451</v>
      </c>
      <c r="I382" s="241"/>
      <c r="J382" s="244" t="s">
        <v>85</v>
      </c>
      <c r="K382" s="241" t="s">
        <v>90</v>
      </c>
      <c r="L382" s="251">
        <v>44811</v>
      </c>
      <c r="M382" s="252">
        <v>222727</v>
      </c>
      <c r="N382" s="241">
        <v>24</v>
      </c>
      <c r="O382" s="253">
        <f t="shared" si="18"/>
        <v>5345448</v>
      </c>
      <c r="P382" s="253">
        <v>275000</v>
      </c>
      <c r="Q382" s="253">
        <f t="shared" si="17"/>
        <v>6600000</v>
      </c>
    </row>
    <row r="383" spans="2:17">
      <c r="B383" s="200">
        <v>380</v>
      </c>
      <c r="C383" s="241" t="s">
        <v>1452</v>
      </c>
      <c r="D383" s="242">
        <v>83338</v>
      </c>
      <c r="E383" s="243" t="s">
        <v>17</v>
      </c>
      <c r="F383" s="243" t="s">
        <v>88</v>
      </c>
      <c r="G383" s="241"/>
      <c r="H383" s="241" t="s">
        <v>1448</v>
      </c>
      <c r="I383" s="241"/>
      <c r="J383" s="244" t="s">
        <v>92</v>
      </c>
      <c r="K383" s="241" t="s">
        <v>1453</v>
      </c>
      <c r="L383" s="251">
        <v>44811</v>
      </c>
      <c r="M383" s="252">
        <v>46364</v>
      </c>
      <c r="N383" s="241">
        <v>5</v>
      </c>
      <c r="O383" s="253">
        <f t="shared" si="18"/>
        <v>231820</v>
      </c>
      <c r="P383" s="253">
        <v>57000</v>
      </c>
      <c r="Q383" s="253">
        <f t="shared" si="17"/>
        <v>285000</v>
      </c>
    </row>
    <row r="384" spans="2:17">
      <c r="B384" s="200">
        <v>381</v>
      </c>
      <c r="C384" s="241" t="s">
        <v>1454</v>
      </c>
      <c r="D384" s="242">
        <v>83338</v>
      </c>
      <c r="E384" s="243" t="s">
        <v>17</v>
      </c>
      <c r="F384" s="243" t="s">
        <v>88</v>
      </c>
      <c r="G384" s="241"/>
      <c r="H384" s="241" t="s">
        <v>1451</v>
      </c>
      <c r="I384" s="241"/>
      <c r="J384" s="244" t="s">
        <v>92</v>
      </c>
      <c r="K384" s="241" t="s">
        <v>93</v>
      </c>
      <c r="L384" s="251">
        <v>44811</v>
      </c>
      <c r="M384" s="252">
        <v>46364</v>
      </c>
      <c r="N384" s="241">
        <v>24</v>
      </c>
      <c r="O384" s="253">
        <f t="shared" si="18"/>
        <v>1112736</v>
      </c>
      <c r="P384" s="253">
        <v>57000</v>
      </c>
      <c r="Q384" s="253">
        <f t="shared" si="17"/>
        <v>1368000</v>
      </c>
    </row>
    <row r="385" spans="2:17">
      <c r="B385" s="200">
        <v>382</v>
      </c>
      <c r="C385" s="241" t="s">
        <v>1455</v>
      </c>
      <c r="D385" s="242">
        <v>83338</v>
      </c>
      <c r="E385" s="243" t="s">
        <v>17</v>
      </c>
      <c r="F385" s="243" t="s">
        <v>88</v>
      </c>
      <c r="G385" s="241"/>
      <c r="H385" s="241" t="s">
        <v>1456</v>
      </c>
      <c r="I385" s="241"/>
      <c r="J385" s="244" t="s">
        <v>1457</v>
      </c>
      <c r="K385" s="241" t="s">
        <v>1458</v>
      </c>
      <c r="L385" s="251">
        <v>44811</v>
      </c>
      <c r="M385" s="252">
        <v>216480.5</v>
      </c>
      <c r="N385" s="241">
        <v>3</v>
      </c>
      <c r="O385" s="253">
        <f t="shared" si="18"/>
        <v>649441.5</v>
      </c>
      <c r="P385" s="253">
        <v>533408</v>
      </c>
      <c r="Q385" s="253">
        <f t="shared" si="17"/>
        <v>1600224</v>
      </c>
    </row>
    <row r="386" spans="2:17">
      <c r="B386" s="200">
        <v>383</v>
      </c>
      <c r="C386" s="241" t="s">
        <v>1459</v>
      </c>
      <c r="D386" s="242">
        <v>4800465039</v>
      </c>
      <c r="E386" s="243" t="s">
        <v>12</v>
      </c>
      <c r="F386" s="243" t="s">
        <v>742</v>
      </c>
      <c r="G386" s="241"/>
      <c r="H386" s="241" t="s">
        <v>1460</v>
      </c>
      <c r="I386" s="241"/>
      <c r="J386" s="244" t="s">
        <v>92</v>
      </c>
      <c r="K386" s="241" t="s">
        <v>1461</v>
      </c>
      <c r="L386" s="251">
        <v>44812</v>
      </c>
      <c r="M386" s="252">
        <v>32273</v>
      </c>
      <c r="N386" s="241">
        <v>906</v>
      </c>
      <c r="O386" s="253">
        <f t="shared" si="18"/>
        <v>29239338</v>
      </c>
      <c r="P386" s="253">
        <v>35500</v>
      </c>
      <c r="Q386" s="253">
        <f t="shared" si="17"/>
        <v>32163000</v>
      </c>
    </row>
    <row r="387" spans="2:17">
      <c r="B387" s="200">
        <v>384</v>
      </c>
      <c r="C387" s="241" t="s">
        <v>1462</v>
      </c>
      <c r="D387" s="242" t="s">
        <v>1463</v>
      </c>
      <c r="E387" s="243" t="s">
        <v>11</v>
      </c>
      <c r="F387" s="243" t="s">
        <v>1412</v>
      </c>
      <c r="G387" s="241"/>
      <c r="H387" s="241" t="s">
        <v>1464</v>
      </c>
      <c r="I387" s="241"/>
      <c r="J387" s="244" t="s">
        <v>1413</v>
      </c>
      <c r="K387" s="241" t="s">
        <v>1465</v>
      </c>
      <c r="L387" s="251">
        <v>44812</v>
      </c>
      <c r="M387" s="252">
        <v>106575</v>
      </c>
      <c r="N387" s="241">
        <v>1</v>
      </c>
      <c r="O387" s="253">
        <f t="shared" si="18"/>
        <v>106575</v>
      </c>
      <c r="P387" s="253">
        <v>116264</v>
      </c>
      <c r="Q387" s="253">
        <f t="shared" si="17"/>
        <v>116264</v>
      </c>
    </row>
    <row r="388" spans="2:17">
      <c r="B388" s="200">
        <v>385</v>
      </c>
      <c r="C388" s="241" t="s">
        <v>1466</v>
      </c>
      <c r="D388" s="242" t="s">
        <v>1467</v>
      </c>
      <c r="E388" s="243" t="s">
        <v>1468</v>
      </c>
      <c r="F388" s="244" t="s">
        <v>1276</v>
      </c>
      <c r="G388" s="241"/>
      <c r="H388" s="241" t="s">
        <v>1469</v>
      </c>
      <c r="I388" s="241"/>
      <c r="J388" s="244" t="s">
        <v>85</v>
      </c>
      <c r="K388" s="241" t="s">
        <v>1470</v>
      </c>
      <c r="L388" s="251">
        <v>44812</v>
      </c>
      <c r="M388" s="252">
        <v>222727</v>
      </c>
      <c r="N388" s="241">
        <v>60</v>
      </c>
      <c r="O388" s="253">
        <f t="shared" si="18"/>
        <v>13363620</v>
      </c>
      <c r="P388" s="253">
        <v>367702</v>
      </c>
      <c r="Q388" s="253">
        <f t="shared" si="17"/>
        <v>22062120</v>
      </c>
    </row>
    <row r="389" spans="2:17">
      <c r="B389" s="200">
        <v>386</v>
      </c>
      <c r="C389" s="241" t="s">
        <v>1471</v>
      </c>
      <c r="D389" s="242" t="s">
        <v>2</v>
      </c>
      <c r="E389" s="243" t="s">
        <v>1472</v>
      </c>
      <c r="F389" s="244" t="s">
        <v>131</v>
      </c>
      <c r="G389" s="241"/>
      <c r="H389" s="241" t="s">
        <v>1473</v>
      </c>
      <c r="I389" s="241"/>
      <c r="J389" s="244" t="s">
        <v>50</v>
      </c>
      <c r="K389" s="241" t="s">
        <v>1474</v>
      </c>
      <c r="L389" s="251">
        <v>44824</v>
      </c>
      <c r="M389" s="252">
        <v>351191</v>
      </c>
      <c r="N389" s="241">
        <v>305</v>
      </c>
      <c r="O389" s="253">
        <f t="shared" si="18"/>
        <v>107113255</v>
      </c>
      <c r="P389" s="253">
        <v>449549</v>
      </c>
      <c r="Q389" s="253">
        <f t="shared" si="17"/>
        <v>137112445</v>
      </c>
    </row>
    <row r="390" spans="2:17">
      <c r="B390" s="200">
        <v>387</v>
      </c>
      <c r="C390" s="241" t="s">
        <v>1475</v>
      </c>
      <c r="D390" s="242" t="s">
        <v>1476</v>
      </c>
      <c r="E390" s="243" t="s">
        <v>9</v>
      </c>
      <c r="F390" s="244" t="s">
        <v>1365</v>
      </c>
      <c r="G390" s="241"/>
      <c r="H390" s="241" t="s">
        <v>1477</v>
      </c>
      <c r="I390" s="241"/>
      <c r="J390" s="244" t="s">
        <v>50</v>
      </c>
      <c r="K390" s="241" t="s">
        <v>1478</v>
      </c>
      <c r="L390" s="251">
        <v>44831</v>
      </c>
      <c r="M390" s="252">
        <v>254545</v>
      </c>
      <c r="N390" s="241">
        <v>2</v>
      </c>
      <c r="O390" s="253">
        <f t="shared" si="18"/>
        <v>509090</v>
      </c>
      <c r="P390" s="253">
        <v>275000</v>
      </c>
      <c r="Q390" s="253">
        <f t="shared" si="17"/>
        <v>550000</v>
      </c>
    </row>
    <row r="391" spans="2:17">
      <c r="B391" s="200">
        <v>388</v>
      </c>
      <c r="C391" s="241" t="s">
        <v>1479</v>
      </c>
      <c r="D391" s="242" t="s">
        <v>1480</v>
      </c>
      <c r="E391" s="243" t="s">
        <v>82</v>
      </c>
      <c r="F391" s="243" t="s">
        <v>83</v>
      </c>
      <c r="G391" s="241"/>
      <c r="H391" s="241" t="s">
        <v>1481</v>
      </c>
      <c r="I391" s="241"/>
      <c r="J391" s="244" t="s">
        <v>85</v>
      </c>
      <c r="K391" s="241" t="s">
        <v>1482</v>
      </c>
      <c r="L391" s="251">
        <v>44832</v>
      </c>
      <c r="M391" s="252">
        <v>222727</v>
      </c>
      <c r="N391" s="241">
        <v>165</v>
      </c>
      <c r="O391" s="253">
        <f t="shared" si="18"/>
        <v>36749955</v>
      </c>
      <c r="P391" s="253">
        <v>279090.90999999997</v>
      </c>
      <c r="Q391" s="253">
        <f t="shared" si="17"/>
        <v>46050000.149999999</v>
      </c>
    </row>
    <row r="392" spans="2:17">
      <c r="B392" s="200">
        <v>389</v>
      </c>
      <c r="C392" s="241" t="s">
        <v>1483</v>
      </c>
      <c r="D392" s="242">
        <v>2500024113</v>
      </c>
      <c r="E392" s="243" t="s">
        <v>10</v>
      </c>
      <c r="F392" s="243" t="s">
        <v>814</v>
      </c>
      <c r="G392" s="241"/>
      <c r="H392" s="241" t="s">
        <v>1484</v>
      </c>
      <c r="I392" s="241"/>
      <c r="J392" s="244" t="s">
        <v>816</v>
      </c>
      <c r="K392" s="241" t="s">
        <v>1384</v>
      </c>
      <c r="L392" s="251">
        <v>44783</v>
      </c>
      <c r="M392" s="252">
        <v>22727</v>
      </c>
      <c r="N392" s="241">
        <v>5</v>
      </c>
      <c r="O392" s="253">
        <f t="shared" si="18"/>
        <v>113635</v>
      </c>
      <c r="P392" s="253">
        <v>29091</v>
      </c>
      <c r="Q392" s="253">
        <f t="shared" si="17"/>
        <v>145455</v>
      </c>
    </row>
    <row r="393" spans="2:17">
      <c r="B393" s="200">
        <v>390</v>
      </c>
      <c r="C393" s="237" t="s">
        <v>1485</v>
      </c>
      <c r="D393" s="238">
        <v>4800470092</v>
      </c>
      <c r="E393" s="239" t="s">
        <v>12</v>
      </c>
      <c r="F393" s="239" t="s">
        <v>466</v>
      </c>
      <c r="G393" s="237"/>
      <c r="H393" s="237" t="s">
        <v>1486</v>
      </c>
      <c r="I393" s="237"/>
      <c r="J393" s="240" t="s">
        <v>85</v>
      </c>
      <c r="K393" s="237" t="s">
        <v>1487</v>
      </c>
      <c r="L393" s="248">
        <v>44859</v>
      </c>
      <c r="M393" s="249">
        <v>222727</v>
      </c>
      <c r="N393" s="237">
        <v>95</v>
      </c>
      <c r="O393" s="250">
        <f t="shared" si="18"/>
        <v>21159065</v>
      </c>
      <c r="P393" s="250">
        <v>257182</v>
      </c>
      <c r="Q393" s="250">
        <f t="shared" si="17"/>
        <v>24432290</v>
      </c>
    </row>
    <row r="394" spans="2:17" s="1" customFormat="1" ht="12.75">
      <c r="B394" s="200">
        <v>391</v>
      </c>
      <c r="C394" s="237" t="s">
        <v>1488</v>
      </c>
      <c r="D394" s="238">
        <v>2500026864</v>
      </c>
      <c r="E394" s="239" t="s">
        <v>11</v>
      </c>
      <c r="F394" s="240" t="s">
        <v>814</v>
      </c>
      <c r="G394" s="237"/>
      <c r="H394" s="237" t="s">
        <v>1489</v>
      </c>
      <c r="I394" s="237"/>
      <c r="J394" s="240" t="s">
        <v>816</v>
      </c>
      <c r="K394" s="237" t="s">
        <v>1384</v>
      </c>
      <c r="L394" s="248">
        <v>44848</v>
      </c>
      <c r="M394" s="249">
        <v>22727</v>
      </c>
      <c r="N394" s="237">
        <v>5</v>
      </c>
      <c r="O394" s="250">
        <f t="shared" si="18"/>
        <v>113635</v>
      </c>
      <c r="P394" s="250">
        <v>29091</v>
      </c>
      <c r="Q394" s="250">
        <f t="shared" si="17"/>
        <v>145455</v>
      </c>
    </row>
    <row r="395" spans="2:17" s="1" customFormat="1" ht="12.75">
      <c r="B395" s="200">
        <v>392</v>
      </c>
      <c r="C395" s="237" t="s">
        <v>1490</v>
      </c>
      <c r="D395" s="238">
        <v>2500026864</v>
      </c>
      <c r="E395" s="239" t="s">
        <v>11</v>
      </c>
      <c r="F395" s="240" t="s">
        <v>814</v>
      </c>
      <c r="G395" s="237"/>
      <c r="H395" s="237" t="s">
        <v>1491</v>
      </c>
      <c r="I395" s="237"/>
      <c r="J395" s="240" t="s">
        <v>816</v>
      </c>
      <c r="K395" s="237" t="s">
        <v>1492</v>
      </c>
      <c r="L395" s="248">
        <v>44848</v>
      </c>
      <c r="M395" s="249">
        <v>22727</v>
      </c>
      <c r="N395" s="237">
        <v>10</v>
      </c>
      <c r="O395" s="250">
        <f t="shared" si="18"/>
        <v>227270</v>
      </c>
      <c r="P395" s="250">
        <v>29091</v>
      </c>
      <c r="Q395" s="250">
        <f t="shared" si="17"/>
        <v>290910</v>
      </c>
    </row>
    <row r="396" spans="2:17">
      <c r="B396" s="200">
        <v>393</v>
      </c>
      <c r="C396" s="241" t="s">
        <v>1493</v>
      </c>
      <c r="D396" s="242" t="s">
        <v>1494</v>
      </c>
      <c r="E396" s="243" t="s">
        <v>1495</v>
      </c>
      <c r="F396" s="244" t="s">
        <v>1438</v>
      </c>
      <c r="G396" s="241"/>
      <c r="H396" s="241" t="s">
        <v>1496</v>
      </c>
      <c r="I396" s="241"/>
      <c r="J396" s="244" t="s">
        <v>63</v>
      </c>
      <c r="K396" s="241" t="s">
        <v>1497</v>
      </c>
      <c r="L396" s="251">
        <v>44881</v>
      </c>
      <c r="M396" s="252">
        <v>74181.600000000006</v>
      </c>
      <c r="N396" s="241">
        <v>113</v>
      </c>
      <c r="O396" s="253">
        <f t="shared" si="18"/>
        <v>8382520.8000000007</v>
      </c>
      <c r="P396" s="253">
        <f>149000/1.11</f>
        <v>134234.23423423423</v>
      </c>
      <c r="Q396" s="253">
        <f t="shared" si="17"/>
        <v>15168468.468468469</v>
      </c>
    </row>
    <row r="397" spans="2:17">
      <c r="B397" s="200">
        <v>394</v>
      </c>
      <c r="C397" s="241" t="s">
        <v>1498</v>
      </c>
      <c r="D397" s="242" t="s">
        <v>1499</v>
      </c>
      <c r="E397" s="243" t="s">
        <v>7</v>
      </c>
      <c r="F397" s="243" t="s">
        <v>83</v>
      </c>
      <c r="G397" s="241"/>
      <c r="H397" s="241" t="s">
        <v>1500</v>
      </c>
      <c r="I397" s="241"/>
      <c r="J397" s="244" t="s">
        <v>85</v>
      </c>
      <c r="K397" s="241" t="s">
        <v>1501</v>
      </c>
      <c r="L397" s="251">
        <v>44886</v>
      </c>
      <c r="M397" s="252">
        <v>222727</v>
      </c>
      <c r="N397" s="241">
        <v>154</v>
      </c>
      <c r="O397" s="253">
        <f t="shared" si="18"/>
        <v>34299958</v>
      </c>
      <c r="P397" s="253">
        <v>279090.90999999997</v>
      </c>
      <c r="Q397" s="253">
        <f t="shared" si="17"/>
        <v>42980000.139999993</v>
      </c>
    </row>
    <row r="398" spans="2:17">
      <c r="B398" s="200">
        <v>395</v>
      </c>
      <c r="C398" s="241" t="s">
        <v>1502</v>
      </c>
      <c r="D398" s="242">
        <v>2500030158</v>
      </c>
      <c r="E398" s="243" t="s">
        <v>10</v>
      </c>
      <c r="F398" s="243" t="s">
        <v>1503</v>
      </c>
      <c r="G398" s="241"/>
      <c r="H398" s="241" t="s">
        <v>1504</v>
      </c>
      <c r="I398" s="241"/>
      <c r="J398" s="244" t="s">
        <v>816</v>
      </c>
      <c r="K398" s="241" t="s">
        <v>1505</v>
      </c>
      <c r="L398" s="251">
        <v>44874</v>
      </c>
      <c r="M398" s="252">
        <v>22727</v>
      </c>
      <c r="N398" s="241">
        <v>15</v>
      </c>
      <c r="O398" s="253">
        <f t="shared" si="18"/>
        <v>340905</v>
      </c>
      <c r="P398" s="253">
        <v>29091</v>
      </c>
      <c r="Q398" s="253">
        <f t="shared" ref="Q398:Q432" si="19">P398*N398</f>
        <v>436365</v>
      </c>
    </row>
    <row r="399" spans="2:17">
      <c r="B399" s="200">
        <v>396</v>
      </c>
      <c r="C399" s="241" t="s">
        <v>1506</v>
      </c>
      <c r="D399" s="242" t="s">
        <v>1507</v>
      </c>
      <c r="E399" s="243" t="s">
        <v>11</v>
      </c>
      <c r="F399" s="243" t="s">
        <v>1188</v>
      </c>
      <c r="G399" s="241"/>
      <c r="H399" s="241" t="s">
        <v>1508</v>
      </c>
      <c r="I399" s="241"/>
      <c r="J399" s="244" t="s">
        <v>50</v>
      </c>
      <c r="K399" s="241" t="s">
        <v>1509</v>
      </c>
      <c r="L399" s="251">
        <v>44888</v>
      </c>
      <c r="M399" s="252">
        <v>444545</v>
      </c>
      <c r="N399" s="241">
        <v>28</v>
      </c>
      <c r="O399" s="253">
        <f t="shared" si="18"/>
        <v>12447260</v>
      </c>
      <c r="P399" s="253">
        <v>556364</v>
      </c>
      <c r="Q399" s="253">
        <f t="shared" si="19"/>
        <v>15578192</v>
      </c>
    </row>
    <row r="400" spans="2:17">
      <c r="B400" s="200">
        <v>397</v>
      </c>
      <c r="C400" s="241" t="s">
        <v>1510</v>
      </c>
      <c r="D400" s="242" t="s">
        <v>1511</v>
      </c>
      <c r="E400" s="243" t="s">
        <v>1437</v>
      </c>
      <c r="F400" s="243" t="s">
        <v>1512</v>
      </c>
      <c r="G400" s="241"/>
      <c r="H400" s="241" t="s">
        <v>1513</v>
      </c>
      <c r="I400" s="241"/>
      <c r="J400" s="244" t="s">
        <v>85</v>
      </c>
      <c r="K400" s="241" t="s">
        <v>1514</v>
      </c>
      <c r="L400" s="251">
        <v>44888</v>
      </c>
      <c r="M400" s="252">
        <v>222727</v>
      </c>
      <c r="N400" s="241">
        <v>11</v>
      </c>
      <c r="O400" s="253">
        <f t="shared" si="18"/>
        <v>2449997</v>
      </c>
      <c r="P400" s="253">
        <v>281184</v>
      </c>
      <c r="Q400" s="253">
        <f t="shared" si="19"/>
        <v>3093024</v>
      </c>
    </row>
    <row r="401" spans="2:17">
      <c r="B401" s="200">
        <v>398</v>
      </c>
      <c r="C401" s="237" t="s">
        <v>1515</v>
      </c>
      <c r="D401" s="238" t="s">
        <v>1516</v>
      </c>
      <c r="E401" s="239" t="s">
        <v>11</v>
      </c>
      <c r="F401" s="239" t="s">
        <v>1517</v>
      </c>
      <c r="G401" s="237"/>
      <c r="H401" s="237" t="s">
        <v>1518</v>
      </c>
      <c r="I401" s="237"/>
      <c r="J401" s="240" t="s">
        <v>1519</v>
      </c>
      <c r="K401" s="237" t="s">
        <v>1520</v>
      </c>
      <c r="L401" s="248">
        <v>44896</v>
      </c>
      <c r="M401" s="249">
        <v>43636</v>
      </c>
      <c r="N401" s="237">
        <v>40</v>
      </c>
      <c r="O401" s="250">
        <f t="shared" si="18"/>
        <v>1745440</v>
      </c>
      <c r="P401" s="250">
        <v>57300</v>
      </c>
      <c r="Q401" s="250">
        <f t="shared" si="19"/>
        <v>2292000</v>
      </c>
    </row>
    <row r="402" spans="2:17">
      <c r="B402" s="200">
        <v>399</v>
      </c>
      <c r="C402" s="237" t="s">
        <v>1521</v>
      </c>
      <c r="D402" s="238" t="s">
        <v>1522</v>
      </c>
      <c r="E402" s="239" t="s">
        <v>11</v>
      </c>
      <c r="F402" s="239" t="s">
        <v>1517</v>
      </c>
      <c r="G402" s="237"/>
      <c r="H402" s="237" t="s">
        <v>1523</v>
      </c>
      <c r="I402" s="237"/>
      <c r="J402" s="240" t="s">
        <v>1519</v>
      </c>
      <c r="K402" s="237" t="s">
        <v>1524</v>
      </c>
      <c r="L402" s="248">
        <v>44900</v>
      </c>
      <c r="M402" s="249">
        <v>43636</v>
      </c>
      <c r="N402" s="237">
        <v>60</v>
      </c>
      <c r="O402" s="250">
        <f t="shared" si="18"/>
        <v>2618160</v>
      </c>
      <c r="P402" s="250">
        <v>57300</v>
      </c>
      <c r="Q402" s="250">
        <f t="shared" si="19"/>
        <v>3438000</v>
      </c>
    </row>
    <row r="403" spans="2:17" s="1" customFormat="1" ht="12.75">
      <c r="B403" s="200">
        <v>400</v>
      </c>
      <c r="C403" s="237" t="s">
        <v>1525</v>
      </c>
      <c r="D403" s="238" t="s">
        <v>2</v>
      </c>
      <c r="E403" s="239" t="s">
        <v>2</v>
      </c>
      <c r="F403" s="240" t="s">
        <v>1526</v>
      </c>
      <c r="G403" s="237"/>
      <c r="H403" s="237" t="s">
        <v>1527</v>
      </c>
      <c r="I403" s="237"/>
      <c r="J403" s="240" t="s">
        <v>1528</v>
      </c>
      <c r="K403" s="237" t="s">
        <v>1529</v>
      </c>
      <c r="L403" s="248">
        <v>44903</v>
      </c>
      <c r="M403" s="249">
        <v>36081</v>
      </c>
      <c r="N403" s="237">
        <v>3</v>
      </c>
      <c r="O403" s="250">
        <f t="shared" si="18"/>
        <v>108243</v>
      </c>
      <c r="P403" s="250">
        <f>49950/1.11</f>
        <v>44999.999999999993</v>
      </c>
      <c r="Q403" s="250">
        <f t="shared" si="19"/>
        <v>134999.99999999997</v>
      </c>
    </row>
    <row r="404" spans="2:17" s="1" customFormat="1" ht="12.75">
      <c r="B404" s="200">
        <v>401</v>
      </c>
      <c r="C404" s="237" t="s">
        <v>1530</v>
      </c>
      <c r="D404" s="238" t="s">
        <v>2</v>
      </c>
      <c r="E404" s="239" t="s">
        <v>2</v>
      </c>
      <c r="F404" s="240" t="s">
        <v>1526</v>
      </c>
      <c r="G404" s="237"/>
      <c r="H404" s="237" t="s">
        <v>1527</v>
      </c>
      <c r="I404" s="237"/>
      <c r="J404" s="240" t="s">
        <v>1528</v>
      </c>
      <c r="K404" s="237" t="s">
        <v>1531</v>
      </c>
      <c r="L404" s="248">
        <v>44903</v>
      </c>
      <c r="M404" s="249">
        <v>36081</v>
      </c>
      <c r="N404" s="237">
        <v>3</v>
      </c>
      <c r="O404" s="250">
        <f t="shared" si="18"/>
        <v>108243</v>
      </c>
      <c r="P404" s="250">
        <f>49950/1.11</f>
        <v>44999.999999999993</v>
      </c>
      <c r="Q404" s="250">
        <f t="shared" si="19"/>
        <v>134999.99999999997</v>
      </c>
    </row>
    <row r="405" spans="2:17">
      <c r="B405" s="200">
        <v>402</v>
      </c>
      <c r="C405" s="237" t="s">
        <v>1532</v>
      </c>
      <c r="D405" s="238" t="s">
        <v>1533</v>
      </c>
      <c r="E405" s="239" t="s">
        <v>11</v>
      </c>
      <c r="F405" s="239" t="s">
        <v>1517</v>
      </c>
      <c r="G405" s="237"/>
      <c r="H405" s="237" t="s">
        <v>1534</v>
      </c>
      <c r="I405" s="237"/>
      <c r="J405" s="240" t="s">
        <v>1519</v>
      </c>
      <c r="K405" s="237" t="s">
        <v>1535</v>
      </c>
      <c r="L405" s="248">
        <v>44905</v>
      </c>
      <c r="M405" s="249">
        <v>43636</v>
      </c>
      <c r="N405" s="237">
        <v>700</v>
      </c>
      <c r="O405" s="250">
        <f t="shared" si="18"/>
        <v>30545200</v>
      </c>
      <c r="P405" s="250">
        <v>57300</v>
      </c>
      <c r="Q405" s="250">
        <f t="shared" si="19"/>
        <v>40110000</v>
      </c>
    </row>
    <row r="406" spans="2:17" s="1" customFormat="1" ht="12.75">
      <c r="B406" s="200">
        <v>403</v>
      </c>
      <c r="C406" s="237" t="s">
        <v>1536</v>
      </c>
      <c r="D406" s="238">
        <v>84404</v>
      </c>
      <c r="E406" s="239" t="s">
        <v>17</v>
      </c>
      <c r="F406" s="240" t="s">
        <v>114</v>
      </c>
      <c r="G406" s="237"/>
      <c r="H406" s="237" t="s">
        <v>1537</v>
      </c>
      <c r="I406" s="237"/>
      <c r="J406" s="240" t="s">
        <v>85</v>
      </c>
      <c r="K406" s="237" t="s">
        <v>1538</v>
      </c>
      <c r="L406" s="248">
        <v>44907</v>
      </c>
      <c r="M406" s="249">
        <v>222727</v>
      </c>
      <c r="N406" s="237">
        <v>49</v>
      </c>
      <c r="O406" s="250">
        <f t="shared" si="18"/>
        <v>10913623</v>
      </c>
      <c r="P406" s="250">
        <v>279091</v>
      </c>
      <c r="Q406" s="250">
        <f t="shared" si="19"/>
        <v>13675459</v>
      </c>
    </row>
    <row r="407" spans="2:17">
      <c r="B407" s="200">
        <v>404</v>
      </c>
      <c r="C407" s="237" t="s">
        <v>1539</v>
      </c>
      <c r="D407" s="238">
        <v>84404</v>
      </c>
      <c r="E407" s="239" t="s">
        <v>17</v>
      </c>
      <c r="F407" s="240" t="s">
        <v>114</v>
      </c>
      <c r="G407" s="237"/>
      <c r="H407" s="237" t="s">
        <v>1537</v>
      </c>
      <c r="I407" s="237"/>
      <c r="J407" s="240" t="s">
        <v>92</v>
      </c>
      <c r="K407" s="237" t="s">
        <v>116</v>
      </c>
      <c r="L407" s="248">
        <v>44907</v>
      </c>
      <c r="M407" s="249">
        <v>46364</v>
      </c>
      <c r="N407" s="237">
        <v>49</v>
      </c>
      <c r="O407" s="250">
        <f t="shared" si="18"/>
        <v>2271836</v>
      </c>
      <c r="P407" s="250">
        <v>58182</v>
      </c>
      <c r="Q407" s="250">
        <f t="shared" si="19"/>
        <v>2850918</v>
      </c>
    </row>
    <row r="408" spans="2:17" s="1" customFormat="1" ht="12.75">
      <c r="B408" s="200">
        <v>405</v>
      </c>
      <c r="C408" s="237" t="s">
        <v>1540</v>
      </c>
      <c r="D408" s="238">
        <v>84404</v>
      </c>
      <c r="E408" s="239" t="s">
        <v>17</v>
      </c>
      <c r="F408" s="240" t="s">
        <v>114</v>
      </c>
      <c r="G408" s="237"/>
      <c r="H408" s="237" t="s">
        <v>1541</v>
      </c>
      <c r="I408" s="237"/>
      <c r="J408" s="240" t="s">
        <v>85</v>
      </c>
      <c r="K408" s="237" t="s">
        <v>1542</v>
      </c>
      <c r="L408" s="248">
        <v>44907</v>
      </c>
      <c r="M408" s="249">
        <v>171818</v>
      </c>
      <c r="N408" s="237">
        <v>20</v>
      </c>
      <c r="O408" s="250">
        <f t="shared" si="18"/>
        <v>3436360</v>
      </c>
      <c r="P408" s="250">
        <v>279091</v>
      </c>
      <c r="Q408" s="250">
        <f t="shared" si="19"/>
        <v>5581820</v>
      </c>
    </row>
    <row r="409" spans="2:17" s="1" customFormat="1" ht="12.75">
      <c r="B409" s="200">
        <v>406</v>
      </c>
      <c r="C409" s="237" t="s">
        <v>1543</v>
      </c>
      <c r="D409" s="238">
        <v>84404</v>
      </c>
      <c r="E409" s="239" t="s">
        <v>17</v>
      </c>
      <c r="F409" s="240" t="s">
        <v>114</v>
      </c>
      <c r="G409" s="237"/>
      <c r="H409" s="237" t="s">
        <v>1541</v>
      </c>
      <c r="I409" s="237"/>
      <c r="J409" s="240" t="s">
        <v>92</v>
      </c>
      <c r="K409" s="237" t="s">
        <v>118</v>
      </c>
      <c r="L409" s="248">
        <v>44907</v>
      </c>
      <c r="M409" s="249">
        <v>40909</v>
      </c>
      <c r="N409" s="237">
        <v>20</v>
      </c>
      <c r="O409" s="250">
        <f t="shared" si="18"/>
        <v>818180</v>
      </c>
      <c r="P409" s="250">
        <v>58182</v>
      </c>
      <c r="Q409" s="250">
        <f t="shared" si="19"/>
        <v>1163640</v>
      </c>
    </row>
    <row r="410" spans="2:17" s="1" customFormat="1" ht="12.75">
      <c r="B410" s="200">
        <v>407</v>
      </c>
      <c r="C410" s="237" t="s">
        <v>1544</v>
      </c>
      <c r="D410" s="238">
        <v>84404</v>
      </c>
      <c r="E410" s="239" t="s">
        <v>17</v>
      </c>
      <c r="F410" s="240" t="s">
        <v>114</v>
      </c>
      <c r="G410" s="237"/>
      <c r="H410" s="237" t="s">
        <v>1545</v>
      </c>
      <c r="I410" s="237"/>
      <c r="J410" s="240" t="s">
        <v>1457</v>
      </c>
      <c r="K410" s="237" t="s">
        <v>1546</v>
      </c>
      <c r="L410" s="248">
        <v>44907</v>
      </c>
      <c r="M410" s="249">
        <v>216480.5</v>
      </c>
      <c r="N410" s="237">
        <v>1</v>
      </c>
      <c r="O410" s="250">
        <f t="shared" si="18"/>
        <v>216480.5</v>
      </c>
      <c r="P410" s="250">
        <v>533408</v>
      </c>
      <c r="Q410" s="250">
        <f t="shared" si="19"/>
        <v>533408</v>
      </c>
    </row>
    <row r="411" spans="2:17">
      <c r="B411" s="200">
        <v>408</v>
      </c>
      <c r="C411" s="237" t="s">
        <v>1547</v>
      </c>
      <c r="D411" s="238" t="s">
        <v>1548</v>
      </c>
      <c r="E411" s="239" t="s">
        <v>11</v>
      </c>
      <c r="F411" s="239" t="s">
        <v>1517</v>
      </c>
      <c r="G411" s="237"/>
      <c r="H411" s="237" t="s">
        <v>1549</v>
      </c>
      <c r="I411" s="237"/>
      <c r="J411" s="240" t="s">
        <v>1519</v>
      </c>
      <c r="K411" s="237" t="s">
        <v>1550</v>
      </c>
      <c r="L411" s="248">
        <v>44907</v>
      </c>
      <c r="M411" s="249">
        <v>43636</v>
      </c>
      <c r="N411" s="237">
        <v>300</v>
      </c>
      <c r="O411" s="250">
        <f t="shared" si="18"/>
        <v>13090800</v>
      </c>
      <c r="P411" s="250">
        <v>57300</v>
      </c>
      <c r="Q411" s="250">
        <f t="shared" si="19"/>
        <v>17190000</v>
      </c>
    </row>
    <row r="412" spans="2:17">
      <c r="B412" s="200">
        <v>409</v>
      </c>
      <c r="C412" s="237" t="s">
        <v>1551</v>
      </c>
      <c r="D412" s="238" t="s">
        <v>1552</v>
      </c>
      <c r="E412" s="239" t="s">
        <v>11</v>
      </c>
      <c r="F412" s="240" t="s">
        <v>733</v>
      </c>
      <c r="G412" s="237"/>
      <c r="H412" s="237" t="s">
        <v>1553</v>
      </c>
      <c r="I412" s="237"/>
      <c r="J412" s="240" t="s">
        <v>85</v>
      </c>
      <c r="K412" s="237" t="s">
        <v>1554</v>
      </c>
      <c r="L412" s="248">
        <v>44910</v>
      </c>
      <c r="M412" s="249">
        <v>222727</v>
      </c>
      <c r="N412" s="237">
        <v>105</v>
      </c>
      <c r="O412" s="250">
        <f t="shared" si="18"/>
        <v>23386335</v>
      </c>
      <c r="P412" s="250">
        <v>279091</v>
      </c>
      <c r="Q412" s="250">
        <f t="shared" si="19"/>
        <v>29304555</v>
      </c>
    </row>
    <row r="413" spans="2:17" s="1" customFormat="1" ht="12.75">
      <c r="B413" s="200">
        <v>410</v>
      </c>
      <c r="C413" s="237" t="s">
        <v>1555</v>
      </c>
      <c r="D413" s="238" t="s">
        <v>2</v>
      </c>
      <c r="E413" s="239" t="s">
        <v>2</v>
      </c>
      <c r="F413" s="240" t="s">
        <v>1526</v>
      </c>
      <c r="G413" s="237"/>
      <c r="H413" s="237" t="s">
        <v>1556</v>
      </c>
      <c r="I413" s="237"/>
      <c r="J413" s="240" t="s">
        <v>1457</v>
      </c>
      <c r="K413" s="237" t="s">
        <v>1557</v>
      </c>
      <c r="L413" s="248">
        <v>44911</v>
      </c>
      <c r="M413" s="249">
        <v>432961</v>
      </c>
      <c r="N413" s="237">
        <v>1</v>
      </c>
      <c r="O413" s="250">
        <f t="shared" si="18"/>
        <v>432961</v>
      </c>
      <c r="P413" s="250">
        <f>592083/1.11</f>
        <v>533408.10810810805</v>
      </c>
      <c r="Q413" s="250">
        <f t="shared" si="19"/>
        <v>533408.10810810805</v>
      </c>
    </row>
    <row r="414" spans="2:17" s="1" customFormat="1" ht="12.75">
      <c r="B414" s="259">
        <v>411</v>
      </c>
      <c r="C414" s="45" t="s">
        <v>1558</v>
      </c>
      <c r="D414" s="46" t="s">
        <v>2</v>
      </c>
      <c r="E414" s="47" t="s">
        <v>2</v>
      </c>
      <c r="F414" s="49" t="s">
        <v>1526</v>
      </c>
      <c r="G414" s="45"/>
      <c r="H414" s="45" t="s">
        <v>1556</v>
      </c>
      <c r="I414" s="45"/>
      <c r="J414" s="49" t="s">
        <v>1457</v>
      </c>
      <c r="K414" s="45" t="s">
        <v>1559</v>
      </c>
      <c r="L414" s="102">
        <v>44911</v>
      </c>
      <c r="M414" s="103">
        <v>432961</v>
      </c>
      <c r="N414" s="45">
        <v>2</v>
      </c>
      <c r="O414" s="120">
        <f t="shared" si="18"/>
        <v>865922</v>
      </c>
      <c r="P414" s="120">
        <f>592083/1.11</f>
        <v>533408.10810810805</v>
      </c>
      <c r="Q414" s="250">
        <f t="shared" si="19"/>
        <v>1066816.2162162161</v>
      </c>
    </row>
    <row r="415" spans="2:17" s="1" customFormat="1" ht="12.75">
      <c r="B415" s="259">
        <v>412</v>
      </c>
      <c r="C415" s="45" t="s">
        <v>1560</v>
      </c>
      <c r="D415" s="46" t="s">
        <v>1561</v>
      </c>
      <c r="E415" s="47" t="s">
        <v>9</v>
      </c>
      <c r="F415" s="49" t="s">
        <v>1562</v>
      </c>
      <c r="G415" s="45"/>
      <c r="H415" s="45" t="s">
        <v>1563</v>
      </c>
      <c r="I415" s="45"/>
      <c r="J415" s="49" t="s">
        <v>50</v>
      </c>
      <c r="K415" s="45" t="s">
        <v>1564</v>
      </c>
      <c r="L415" s="102">
        <v>44915</v>
      </c>
      <c r="M415" s="103">
        <v>254545</v>
      </c>
      <c r="N415" s="45">
        <v>5</v>
      </c>
      <c r="O415" s="120">
        <f t="shared" si="18"/>
        <v>1272725</v>
      </c>
      <c r="P415" s="120">
        <v>275000</v>
      </c>
      <c r="Q415" s="250">
        <f t="shared" si="19"/>
        <v>1375000</v>
      </c>
    </row>
    <row r="416" spans="2:17" s="1" customFormat="1" ht="12.75">
      <c r="B416" s="260">
        <v>413</v>
      </c>
      <c r="C416" s="45" t="s">
        <v>1565</v>
      </c>
      <c r="D416" s="46" t="s">
        <v>1515</v>
      </c>
      <c r="E416" s="47" t="s">
        <v>1468</v>
      </c>
      <c r="F416" s="49" t="s">
        <v>1566</v>
      </c>
      <c r="G416" s="45"/>
      <c r="H416" s="45" t="s">
        <v>1567</v>
      </c>
      <c r="I416" s="45"/>
      <c r="J416" s="49" t="s">
        <v>85</v>
      </c>
      <c r="K416" s="45" t="s">
        <v>1568</v>
      </c>
      <c r="L416" s="102">
        <v>44916</v>
      </c>
      <c r="M416" s="103">
        <v>222727</v>
      </c>
      <c r="N416" s="45">
        <v>105</v>
      </c>
      <c r="O416" s="120">
        <f t="shared" si="18"/>
        <v>23386335</v>
      </c>
      <c r="P416" s="120">
        <v>273292</v>
      </c>
      <c r="Q416" s="250">
        <f t="shared" si="19"/>
        <v>28695660</v>
      </c>
    </row>
    <row r="417" spans="2:17">
      <c r="B417" s="259">
        <v>414</v>
      </c>
      <c r="C417" s="54" t="s">
        <v>1569</v>
      </c>
      <c r="D417" s="55" t="s">
        <v>1570</v>
      </c>
      <c r="E417" s="56" t="s">
        <v>10</v>
      </c>
      <c r="F417" s="59" t="s">
        <v>814</v>
      </c>
      <c r="G417" s="55"/>
      <c r="H417" s="104" t="s">
        <v>1571</v>
      </c>
      <c r="I417" s="55"/>
      <c r="J417" s="105" t="s">
        <v>816</v>
      </c>
      <c r="K417" s="106" t="s">
        <v>1572</v>
      </c>
      <c r="L417" s="107">
        <v>44931</v>
      </c>
      <c r="M417" s="108">
        <v>22727</v>
      </c>
      <c r="N417" s="70">
        <v>2</v>
      </c>
      <c r="O417" s="121">
        <f t="shared" si="18"/>
        <v>45454</v>
      </c>
      <c r="P417" s="121">
        <v>29091</v>
      </c>
      <c r="Q417" s="271">
        <f t="shared" si="19"/>
        <v>58182</v>
      </c>
    </row>
    <row r="418" spans="2:17" ht="15.75" customHeight="1">
      <c r="B418" s="259">
        <v>415</v>
      </c>
      <c r="C418" s="261" t="s">
        <v>1573</v>
      </c>
      <c r="D418" s="262" t="s">
        <v>1574</v>
      </c>
      <c r="E418" s="62" t="s">
        <v>10</v>
      </c>
      <c r="F418" s="63" t="s">
        <v>814</v>
      </c>
      <c r="G418" s="262"/>
      <c r="H418" s="109" t="s">
        <v>1575</v>
      </c>
      <c r="I418" s="266"/>
      <c r="J418" s="105" t="s">
        <v>816</v>
      </c>
      <c r="K418" s="267" t="s">
        <v>1576</v>
      </c>
      <c r="L418" s="268">
        <v>44936</v>
      </c>
      <c r="M418" s="108">
        <v>22727</v>
      </c>
      <c r="N418" s="70">
        <v>4</v>
      </c>
      <c r="O418" s="121">
        <f t="shared" si="18"/>
        <v>90908</v>
      </c>
      <c r="P418" s="121">
        <v>29091</v>
      </c>
      <c r="Q418" s="271">
        <f t="shared" si="19"/>
        <v>116364</v>
      </c>
    </row>
    <row r="419" spans="2:17">
      <c r="B419" s="260">
        <v>416</v>
      </c>
      <c r="C419" s="263" t="s">
        <v>1577</v>
      </c>
      <c r="D419" s="264" t="s">
        <v>1574</v>
      </c>
      <c r="E419" s="56" t="s">
        <v>10</v>
      </c>
      <c r="F419" s="59" t="s">
        <v>814</v>
      </c>
      <c r="G419" s="262"/>
      <c r="H419" s="109" t="s">
        <v>1578</v>
      </c>
      <c r="I419" s="269"/>
      <c r="J419" s="105" t="s">
        <v>816</v>
      </c>
      <c r="K419" s="70" t="s">
        <v>1505</v>
      </c>
      <c r="L419" s="268">
        <v>44936</v>
      </c>
      <c r="M419" s="108">
        <v>22727</v>
      </c>
      <c r="N419" s="70">
        <v>15</v>
      </c>
      <c r="O419" s="121">
        <f t="shared" si="18"/>
        <v>340905</v>
      </c>
      <c r="P419" s="121">
        <v>29091</v>
      </c>
      <c r="Q419" s="271">
        <f t="shared" si="19"/>
        <v>436365</v>
      </c>
    </row>
    <row r="420" spans="2:17">
      <c r="B420" s="259">
        <v>417</v>
      </c>
      <c r="C420" s="261" t="s">
        <v>1579</v>
      </c>
      <c r="D420" s="265" t="s">
        <v>1580</v>
      </c>
      <c r="E420" s="62" t="s">
        <v>11</v>
      </c>
      <c r="F420" s="63" t="s">
        <v>1581</v>
      </c>
      <c r="G420" s="262"/>
      <c r="H420" s="61" t="s">
        <v>1582</v>
      </c>
      <c r="I420" s="266"/>
      <c r="J420" s="105" t="s">
        <v>85</v>
      </c>
      <c r="K420" s="267" t="s">
        <v>1583</v>
      </c>
      <c r="L420" s="268">
        <v>44929</v>
      </c>
      <c r="M420" s="270">
        <v>222727</v>
      </c>
      <c r="N420" s="70">
        <v>2</v>
      </c>
      <c r="O420" s="121">
        <f t="shared" si="18"/>
        <v>445454</v>
      </c>
      <c r="P420" s="271">
        <v>279091</v>
      </c>
      <c r="Q420" s="271">
        <f t="shared" si="19"/>
        <v>558182</v>
      </c>
    </row>
    <row r="421" spans="2:17">
      <c r="B421" s="259">
        <v>418</v>
      </c>
      <c r="C421" s="60" t="s">
        <v>1584</v>
      </c>
      <c r="D421" s="66" t="s">
        <v>1585</v>
      </c>
      <c r="E421" s="62" t="s">
        <v>11</v>
      </c>
      <c r="F421" s="67" t="s">
        <v>1586</v>
      </c>
      <c r="G421" s="61"/>
      <c r="H421" s="61" t="s">
        <v>1587</v>
      </c>
      <c r="I421" s="66"/>
      <c r="J421" s="272" t="s">
        <v>1588</v>
      </c>
      <c r="K421" s="273" t="s">
        <v>1589</v>
      </c>
      <c r="L421" s="274">
        <v>44932</v>
      </c>
      <c r="M421" s="270">
        <v>231750</v>
      </c>
      <c r="N421" s="70">
        <v>86</v>
      </c>
      <c r="O421" s="121">
        <f t="shared" si="18"/>
        <v>19930500</v>
      </c>
      <c r="P421" s="121">
        <v>245000</v>
      </c>
      <c r="Q421" s="271">
        <f t="shared" si="19"/>
        <v>21070000</v>
      </c>
    </row>
    <row r="422" spans="2:17">
      <c r="B422" s="260">
        <v>419</v>
      </c>
      <c r="C422" s="60" t="s">
        <v>1590</v>
      </c>
      <c r="D422" s="66" t="s">
        <v>1591</v>
      </c>
      <c r="E422" s="67" t="s">
        <v>1592</v>
      </c>
      <c r="F422" s="67" t="s">
        <v>1593</v>
      </c>
      <c r="G422" s="61"/>
      <c r="H422" s="61" t="s">
        <v>1594</v>
      </c>
      <c r="I422" s="66"/>
      <c r="J422" s="105" t="s">
        <v>85</v>
      </c>
      <c r="K422" s="267" t="s">
        <v>1595</v>
      </c>
      <c r="L422" s="274">
        <v>44935</v>
      </c>
      <c r="M422" s="108">
        <v>222727</v>
      </c>
      <c r="N422" s="70">
        <v>38</v>
      </c>
      <c r="O422" s="121">
        <f t="shared" si="18"/>
        <v>8463626</v>
      </c>
      <c r="P422" s="275">
        <v>309791</v>
      </c>
      <c r="Q422" s="271">
        <f t="shared" si="19"/>
        <v>11772058</v>
      </c>
    </row>
    <row r="423" spans="2:17" ht="15" customHeight="1">
      <c r="B423" s="259">
        <v>420</v>
      </c>
      <c r="C423" s="60" t="s">
        <v>1596</v>
      </c>
      <c r="D423" s="70" t="s">
        <v>1597</v>
      </c>
      <c r="E423" s="198" t="s">
        <v>1598</v>
      </c>
      <c r="F423" s="67" t="s">
        <v>1599</v>
      </c>
      <c r="G423" s="112"/>
      <c r="H423" s="61" t="s">
        <v>1600</v>
      </c>
      <c r="I423" s="112"/>
      <c r="J423" s="105" t="s">
        <v>85</v>
      </c>
      <c r="K423" s="273" t="s">
        <v>1601</v>
      </c>
      <c r="L423" s="279">
        <v>44936</v>
      </c>
      <c r="M423" s="108">
        <v>222727</v>
      </c>
      <c r="N423" s="70">
        <v>15</v>
      </c>
      <c r="O423" s="121">
        <f t="shared" si="18"/>
        <v>3340905</v>
      </c>
      <c r="P423" s="280">
        <v>309791</v>
      </c>
      <c r="Q423" s="271">
        <f t="shared" si="19"/>
        <v>4646865</v>
      </c>
    </row>
    <row r="424" spans="2:17">
      <c r="B424" s="259">
        <v>421</v>
      </c>
      <c r="C424" s="60" t="s">
        <v>1602</v>
      </c>
      <c r="D424" s="70" t="s">
        <v>1597</v>
      </c>
      <c r="E424" s="198" t="s">
        <v>1598</v>
      </c>
      <c r="F424" s="67" t="s">
        <v>1599</v>
      </c>
      <c r="G424" s="112"/>
      <c r="H424" s="61" t="s">
        <v>1600</v>
      </c>
      <c r="I424" s="112"/>
      <c r="J424" s="281" t="s">
        <v>63</v>
      </c>
      <c r="K424" s="273" t="s">
        <v>1603</v>
      </c>
      <c r="L424" s="279">
        <v>44936</v>
      </c>
      <c r="M424" s="270">
        <v>92727</v>
      </c>
      <c r="N424" s="70">
        <v>15</v>
      </c>
      <c r="O424" s="121">
        <f t="shared" si="18"/>
        <v>1390905</v>
      </c>
      <c r="P424" s="280">
        <v>129164</v>
      </c>
      <c r="Q424" s="271">
        <f t="shared" si="19"/>
        <v>1937460</v>
      </c>
    </row>
    <row r="425" spans="2:17">
      <c r="B425" s="260">
        <v>422</v>
      </c>
      <c r="C425" s="60" t="s">
        <v>1604</v>
      </c>
      <c r="D425" s="70" t="s">
        <v>1605</v>
      </c>
      <c r="E425" s="71" t="s">
        <v>1606</v>
      </c>
      <c r="F425" s="67" t="s">
        <v>1607</v>
      </c>
      <c r="G425" s="112"/>
      <c r="H425" s="61" t="s">
        <v>1608</v>
      </c>
      <c r="I425" s="112"/>
      <c r="J425" s="105" t="s">
        <v>85</v>
      </c>
      <c r="K425" s="273" t="s">
        <v>1609</v>
      </c>
      <c r="L425" s="279">
        <v>44945</v>
      </c>
      <c r="M425" s="108">
        <v>222727</v>
      </c>
      <c r="N425" s="70">
        <v>25</v>
      </c>
      <c r="O425" s="121">
        <f t="shared" si="18"/>
        <v>5568175</v>
      </c>
      <c r="P425" s="280">
        <v>257182</v>
      </c>
      <c r="Q425" s="271">
        <f t="shared" si="19"/>
        <v>6429550</v>
      </c>
    </row>
    <row r="426" spans="2:17" ht="15" customHeight="1">
      <c r="B426" s="259">
        <v>423</v>
      </c>
      <c r="C426" s="60" t="s">
        <v>1610</v>
      </c>
      <c r="D426" s="273" t="s">
        <v>1611</v>
      </c>
      <c r="E426" s="198" t="s">
        <v>1598</v>
      </c>
      <c r="F426" s="276" t="s">
        <v>1612</v>
      </c>
      <c r="G426" s="112"/>
      <c r="H426" s="61" t="s">
        <v>1613</v>
      </c>
      <c r="I426" s="112"/>
      <c r="J426" s="282" t="s">
        <v>1614</v>
      </c>
      <c r="K426" s="273" t="s">
        <v>1615</v>
      </c>
      <c r="L426" s="279">
        <v>44952</v>
      </c>
      <c r="M426" s="108">
        <v>92438</v>
      </c>
      <c r="N426" s="273">
        <v>58</v>
      </c>
      <c r="O426" s="121">
        <f t="shared" si="18"/>
        <v>5361404</v>
      </c>
      <c r="P426" s="280">
        <v>109890</v>
      </c>
      <c r="Q426" s="271">
        <f t="shared" si="19"/>
        <v>6373620</v>
      </c>
    </row>
    <row r="427" spans="2:17">
      <c r="B427" s="259">
        <v>424</v>
      </c>
      <c r="C427" s="60" t="s">
        <v>1616</v>
      </c>
      <c r="D427" s="273" t="s">
        <v>1617</v>
      </c>
      <c r="E427" s="71" t="s">
        <v>1606</v>
      </c>
      <c r="F427" s="62" t="s">
        <v>742</v>
      </c>
      <c r="G427" s="112"/>
      <c r="H427" s="61" t="s">
        <v>1618</v>
      </c>
      <c r="I427" s="112"/>
      <c r="J427" s="281" t="s">
        <v>92</v>
      </c>
      <c r="K427" s="273" t="s">
        <v>1619</v>
      </c>
      <c r="L427" s="279">
        <v>44947</v>
      </c>
      <c r="M427" s="108">
        <v>32273</v>
      </c>
      <c r="N427" s="273">
        <v>218</v>
      </c>
      <c r="O427" s="121">
        <f t="shared" si="18"/>
        <v>7035514</v>
      </c>
      <c r="P427" s="280">
        <v>35500</v>
      </c>
      <c r="Q427" s="271">
        <f t="shared" si="19"/>
        <v>7739000</v>
      </c>
    </row>
    <row r="428" spans="2:17">
      <c r="B428" s="259">
        <v>425</v>
      </c>
      <c r="C428" s="60" t="s">
        <v>1620</v>
      </c>
      <c r="D428" s="277">
        <v>2500040497</v>
      </c>
      <c r="E428" s="62" t="s">
        <v>10</v>
      </c>
      <c r="F428" s="63" t="s">
        <v>814</v>
      </c>
      <c r="G428" s="278"/>
      <c r="H428" s="109" t="s">
        <v>1621</v>
      </c>
      <c r="I428" s="278"/>
      <c r="J428" s="105" t="s">
        <v>816</v>
      </c>
      <c r="K428" s="273" t="s">
        <v>1572</v>
      </c>
      <c r="L428" s="279">
        <v>44960</v>
      </c>
      <c r="M428" s="108">
        <v>22727</v>
      </c>
      <c r="N428" s="273">
        <v>2</v>
      </c>
      <c r="O428" s="121">
        <f t="shared" ref="O428:O432" si="20">M428*N428</f>
        <v>45454</v>
      </c>
      <c r="P428" s="121">
        <v>29091</v>
      </c>
      <c r="Q428" s="271">
        <f t="shared" si="19"/>
        <v>58182</v>
      </c>
    </row>
    <row r="429" spans="2:17">
      <c r="B429" s="260">
        <v>426</v>
      </c>
      <c r="C429" s="60" t="s">
        <v>1622</v>
      </c>
      <c r="D429" s="277">
        <v>2500042410</v>
      </c>
      <c r="E429" s="62" t="s">
        <v>10</v>
      </c>
      <c r="F429" s="63" t="s">
        <v>814</v>
      </c>
      <c r="G429" s="273"/>
      <c r="H429" s="109" t="s">
        <v>1623</v>
      </c>
      <c r="I429" s="273"/>
      <c r="J429" s="105" t="s">
        <v>816</v>
      </c>
      <c r="K429" s="273" t="s">
        <v>1624</v>
      </c>
      <c r="L429" s="279">
        <v>44974</v>
      </c>
      <c r="M429" s="108">
        <v>22727</v>
      </c>
      <c r="N429" s="273">
        <v>19</v>
      </c>
      <c r="O429" s="121">
        <f t="shared" si="20"/>
        <v>431813</v>
      </c>
      <c r="P429" s="121">
        <v>29091</v>
      </c>
      <c r="Q429" s="271">
        <f t="shared" si="19"/>
        <v>552729</v>
      </c>
    </row>
    <row r="430" spans="2:17">
      <c r="B430" s="259">
        <v>427</v>
      </c>
      <c r="C430" s="60" t="s">
        <v>1625</v>
      </c>
      <c r="D430" s="273" t="s">
        <v>1626</v>
      </c>
      <c r="E430" s="62" t="s">
        <v>11</v>
      </c>
      <c r="F430" s="272" t="s">
        <v>1627</v>
      </c>
      <c r="G430" s="273"/>
      <c r="H430" s="109" t="s">
        <v>1628</v>
      </c>
      <c r="I430" s="273"/>
      <c r="J430" s="105" t="s">
        <v>85</v>
      </c>
      <c r="K430" s="273" t="s">
        <v>1629</v>
      </c>
      <c r="L430" s="279">
        <v>44963</v>
      </c>
      <c r="M430" s="108">
        <v>222727</v>
      </c>
      <c r="N430" s="273">
        <v>2</v>
      </c>
      <c r="O430" s="121">
        <f t="shared" si="20"/>
        <v>445454</v>
      </c>
      <c r="P430" s="271">
        <v>279091</v>
      </c>
      <c r="Q430" s="271">
        <f t="shared" si="19"/>
        <v>558182</v>
      </c>
    </row>
    <row r="431" spans="2:17">
      <c r="B431" s="259">
        <v>428</v>
      </c>
      <c r="C431" s="60" t="s">
        <v>1630</v>
      </c>
      <c r="D431" s="277">
        <v>2500042737</v>
      </c>
      <c r="E431" s="62" t="s">
        <v>10</v>
      </c>
      <c r="F431" s="63" t="s">
        <v>814</v>
      </c>
      <c r="G431" s="273"/>
      <c r="H431" s="109" t="s">
        <v>1631</v>
      </c>
      <c r="I431" s="273"/>
      <c r="J431" s="105" t="s">
        <v>85</v>
      </c>
      <c r="K431" s="273" t="s">
        <v>1632</v>
      </c>
      <c r="L431" s="279">
        <v>44977</v>
      </c>
      <c r="M431" s="108">
        <v>222727</v>
      </c>
      <c r="N431" s="273">
        <v>358</v>
      </c>
      <c r="O431" s="121">
        <f t="shared" si="20"/>
        <v>79736266</v>
      </c>
      <c r="P431" s="271">
        <v>279091</v>
      </c>
      <c r="Q431" s="271">
        <f t="shared" si="19"/>
        <v>99914578</v>
      </c>
    </row>
    <row r="432" spans="2:17">
      <c r="B432" s="260">
        <v>429</v>
      </c>
      <c r="C432" s="60" t="s">
        <v>1633</v>
      </c>
      <c r="D432" s="273" t="s">
        <v>1634</v>
      </c>
      <c r="E432" s="272" t="s">
        <v>82</v>
      </c>
      <c r="F432" s="272" t="s">
        <v>83</v>
      </c>
      <c r="G432" s="273"/>
      <c r="H432" s="109" t="s">
        <v>1635</v>
      </c>
      <c r="I432" s="273"/>
      <c r="J432" s="105" t="s">
        <v>85</v>
      </c>
      <c r="K432" s="273" t="s">
        <v>1636</v>
      </c>
      <c r="L432" s="279">
        <v>44978</v>
      </c>
      <c r="M432" s="108">
        <v>222727</v>
      </c>
      <c r="N432" s="273">
        <v>250</v>
      </c>
      <c r="O432" s="121">
        <f t="shared" si="20"/>
        <v>55681750</v>
      </c>
      <c r="P432" s="271">
        <v>279091</v>
      </c>
      <c r="Q432" s="271">
        <f t="shared" si="19"/>
        <v>69772750</v>
      </c>
    </row>
    <row r="433" spans="15:17">
      <c r="O433" s="283"/>
      <c r="Q433" s="284"/>
    </row>
    <row r="434" spans="15:17">
      <c r="O434" s="283"/>
      <c r="Q434" s="284"/>
    </row>
  </sheetData>
  <autoFilter ref="B2:O432" xr:uid="{00000000-0009-0000-0000-000002000000}"/>
  <mergeCells count="11">
    <mergeCell ref="B2:B3"/>
    <mergeCell ref="C2:C3"/>
    <mergeCell ref="E2:E3"/>
    <mergeCell ref="F2:F3"/>
    <mergeCell ref="J2:J3"/>
    <mergeCell ref="Q2:Q3"/>
    <mergeCell ref="K2:K3"/>
    <mergeCell ref="M2:M3"/>
    <mergeCell ref="N2:N3"/>
    <mergeCell ref="O2:O3"/>
    <mergeCell ref="P2:P3"/>
  </mergeCells>
  <pageMargins left="0.75" right="0.75" top="1" bottom="1" header="0.5" footer="0.5"/>
  <pageSetup scale="37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Q439"/>
  <sheetViews>
    <sheetView zoomScale="85" zoomScaleNormal="85" workbookViewId="0">
      <pane ySplit="3" topLeftCell="A424" activePane="bottomLeft" state="frozen"/>
      <selection pane="bottomLeft" activeCell="C433" sqref="C433"/>
    </sheetView>
  </sheetViews>
  <sheetFormatPr defaultColWidth="9.140625" defaultRowHeight="15"/>
  <cols>
    <col min="1" max="1" width="4.140625" customWidth="1"/>
    <col min="2" max="2" width="5.7109375" style="2" customWidth="1"/>
    <col min="3" max="3" width="20" customWidth="1"/>
    <col min="4" max="4" width="28.140625" style="3" customWidth="1"/>
    <col min="5" max="5" width="29.28515625" style="4" customWidth="1"/>
    <col min="6" max="6" width="56.140625" customWidth="1"/>
    <col min="7" max="7" width="23.85546875" customWidth="1"/>
    <col min="8" max="8" width="24" customWidth="1"/>
    <col min="9" max="9" width="21.7109375" customWidth="1"/>
    <col min="10" max="10" width="42" style="6" customWidth="1"/>
    <col min="11" max="11" width="37.85546875" customWidth="1"/>
    <col min="12" max="12" width="10.7109375" style="7" customWidth="1"/>
    <col min="13" max="13" width="16.28515625" customWidth="1"/>
    <col min="14" max="14" width="9.140625" customWidth="1"/>
    <col min="15" max="15" width="17.140625" customWidth="1"/>
    <col min="16" max="16" width="18.42578125" customWidth="1"/>
    <col min="17" max="17" width="18" customWidth="1"/>
    <col min="19" max="19" width="14.28515625" customWidth="1"/>
  </cols>
  <sheetData>
    <row r="2" spans="2:17">
      <c r="B2" s="374" t="s">
        <v>24</v>
      </c>
      <c r="C2" s="372" t="s">
        <v>25</v>
      </c>
      <c r="D2" s="10"/>
      <c r="E2" s="376" t="s">
        <v>26</v>
      </c>
      <c r="F2" s="372" t="s">
        <v>27</v>
      </c>
      <c r="G2" s="13" t="s">
        <v>28</v>
      </c>
      <c r="H2" s="13" t="s">
        <v>29</v>
      </c>
      <c r="I2" s="13" t="s">
        <v>30</v>
      </c>
      <c r="J2" s="372" t="s">
        <v>31</v>
      </c>
      <c r="K2" s="372" t="s">
        <v>32</v>
      </c>
      <c r="L2" s="33"/>
      <c r="M2" s="370" t="s">
        <v>33</v>
      </c>
      <c r="N2" s="372" t="s">
        <v>34</v>
      </c>
      <c r="O2" s="370" t="s">
        <v>35</v>
      </c>
      <c r="P2" s="370" t="s">
        <v>36</v>
      </c>
      <c r="Q2" s="370" t="s">
        <v>37</v>
      </c>
    </row>
    <row r="3" spans="2:17">
      <c r="B3" s="375"/>
      <c r="C3" s="373"/>
      <c r="D3" s="14" t="s">
        <v>38</v>
      </c>
      <c r="E3" s="377"/>
      <c r="F3" s="373"/>
      <c r="G3" s="13" t="s">
        <v>28</v>
      </c>
      <c r="H3" s="13" t="s">
        <v>29</v>
      </c>
      <c r="I3" s="13" t="s">
        <v>30</v>
      </c>
      <c r="J3" s="373"/>
      <c r="K3" s="373"/>
      <c r="L3" s="35" t="s">
        <v>39</v>
      </c>
      <c r="M3" s="371"/>
      <c r="N3" s="373"/>
      <c r="O3" s="371"/>
      <c r="P3" s="371"/>
      <c r="Q3" s="371"/>
    </row>
    <row r="4" spans="2:17">
      <c r="B4" s="200">
        <v>1</v>
      </c>
      <c r="C4" s="201" t="s">
        <v>40</v>
      </c>
      <c r="D4" s="202" t="s">
        <v>41</v>
      </c>
      <c r="E4" s="203" t="s">
        <v>8</v>
      </c>
      <c r="F4" s="203" t="s">
        <v>42</v>
      </c>
      <c r="G4" s="201"/>
      <c r="H4" s="201" t="s">
        <v>43</v>
      </c>
      <c r="I4" s="201"/>
      <c r="J4" s="203" t="s">
        <v>44</v>
      </c>
      <c r="K4" s="201" t="s">
        <v>45</v>
      </c>
      <c r="L4" s="218">
        <v>43893</v>
      </c>
      <c r="M4" s="219">
        <v>41205</v>
      </c>
      <c r="N4" s="220">
        <v>200</v>
      </c>
      <c r="O4" s="219">
        <f t="shared" ref="O4:O20" si="0">SUM(M4*N4)</f>
        <v>8241000</v>
      </c>
      <c r="P4" s="220">
        <v>45000</v>
      </c>
      <c r="Q4" s="220">
        <f>P4*N4</f>
        <v>9000000</v>
      </c>
    </row>
    <row r="5" spans="2:17">
      <c r="B5" s="200">
        <v>2</v>
      </c>
      <c r="C5" s="204" t="s">
        <v>46</v>
      </c>
      <c r="D5" s="205" t="s">
        <v>47</v>
      </c>
      <c r="E5" s="206" t="s">
        <v>9</v>
      </c>
      <c r="F5" s="206" t="s">
        <v>48</v>
      </c>
      <c r="G5" s="204"/>
      <c r="H5" s="204" t="s">
        <v>49</v>
      </c>
      <c r="I5" s="204"/>
      <c r="J5" s="206" t="s">
        <v>50</v>
      </c>
      <c r="K5" s="204" t="s">
        <v>51</v>
      </c>
      <c r="L5" s="221">
        <v>44193</v>
      </c>
      <c r="M5" s="222">
        <v>254545</v>
      </c>
      <c r="N5" s="223">
        <v>1</v>
      </c>
      <c r="O5" s="222">
        <f t="shared" si="0"/>
        <v>254545</v>
      </c>
      <c r="P5" s="223">
        <v>275000</v>
      </c>
      <c r="Q5" s="223">
        <f t="shared" ref="Q5:Q15" si="1">P5*N5</f>
        <v>275000</v>
      </c>
    </row>
    <row r="6" spans="2:17">
      <c r="B6" s="200">
        <v>3</v>
      </c>
      <c r="C6" s="204" t="s">
        <v>52</v>
      </c>
      <c r="D6" s="205" t="s">
        <v>53</v>
      </c>
      <c r="E6" s="206" t="s">
        <v>9</v>
      </c>
      <c r="F6" s="206" t="s">
        <v>54</v>
      </c>
      <c r="G6" s="204"/>
      <c r="H6" s="204" t="s">
        <v>55</v>
      </c>
      <c r="I6" s="204"/>
      <c r="J6" s="206" t="s">
        <v>50</v>
      </c>
      <c r="K6" s="204" t="s">
        <v>56</v>
      </c>
      <c r="L6" s="221">
        <v>43836</v>
      </c>
      <c r="M6" s="222">
        <v>254545</v>
      </c>
      <c r="N6" s="223">
        <v>5</v>
      </c>
      <c r="O6" s="222">
        <f t="shared" si="0"/>
        <v>1272725</v>
      </c>
      <c r="P6" s="223">
        <v>275000</v>
      </c>
      <c r="Q6" s="223">
        <f t="shared" si="1"/>
        <v>1375000</v>
      </c>
    </row>
    <row r="7" spans="2:17">
      <c r="B7" s="200">
        <v>4</v>
      </c>
      <c r="C7" s="204" t="s">
        <v>52</v>
      </c>
      <c r="D7" s="205" t="s">
        <v>53</v>
      </c>
      <c r="E7" s="206" t="s">
        <v>9</v>
      </c>
      <c r="F7" s="206" t="s">
        <v>57</v>
      </c>
      <c r="G7" s="204"/>
      <c r="H7" s="204" t="s">
        <v>55</v>
      </c>
      <c r="I7" s="204"/>
      <c r="J7" s="206" t="s">
        <v>50</v>
      </c>
      <c r="K7" s="204" t="s">
        <v>58</v>
      </c>
      <c r="L7" s="221">
        <v>43836</v>
      </c>
      <c r="M7" s="222">
        <v>254545</v>
      </c>
      <c r="N7" s="223">
        <v>7</v>
      </c>
      <c r="O7" s="222">
        <f t="shared" si="0"/>
        <v>1781815</v>
      </c>
      <c r="P7" s="223">
        <v>275000</v>
      </c>
      <c r="Q7" s="223">
        <f t="shared" si="1"/>
        <v>1925000</v>
      </c>
    </row>
    <row r="8" spans="2:17">
      <c r="B8" s="200">
        <v>5</v>
      </c>
      <c r="C8" s="204" t="s">
        <v>59</v>
      </c>
      <c r="D8" s="205" t="s">
        <v>60</v>
      </c>
      <c r="E8" s="206"/>
      <c r="F8" s="206" t="s">
        <v>61</v>
      </c>
      <c r="G8" s="204"/>
      <c r="H8" s="204" t="s">
        <v>62</v>
      </c>
      <c r="I8" s="204"/>
      <c r="J8" s="206" t="s">
        <v>63</v>
      </c>
      <c r="K8" s="204" t="s">
        <v>64</v>
      </c>
      <c r="L8" s="221">
        <v>43837</v>
      </c>
      <c r="M8" s="222">
        <v>92727</v>
      </c>
      <c r="N8" s="223">
        <v>10</v>
      </c>
      <c r="O8" s="222">
        <f t="shared" si="0"/>
        <v>927270</v>
      </c>
      <c r="P8" s="223">
        <v>198400</v>
      </c>
      <c r="Q8" s="223">
        <f t="shared" si="1"/>
        <v>1984000</v>
      </c>
    </row>
    <row r="9" spans="2:17">
      <c r="B9" s="200">
        <v>6</v>
      </c>
      <c r="C9" s="204" t="s">
        <v>65</v>
      </c>
      <c r="D9" s="205" t="s">
        <v>66</v>
      </c>
      <c r="E9" s="206" t="s">
        <v>9</v>
      </c>
      <c r="F9" s="206" t="s">
        <v>67</v>
      </c>
      <c r="G9" s="204"/>
      <c r="H9" s="204" t="s">
        <v>68</v>
      </c>
      <c r="I9" s="204"/>
      <c r="J9" s="206" t="s">
        <v>50</v>
      </c>
      <c r="K9" s="204" t="s">
        <v>69</v>
      </c>
      <c r="L9" s="221">
        <v>44211</v>
      </c>
      <c r="M9" s="222">
        <v>254545</v>
      </c>
      <c r="N9" s="223">
        <v>2</v>
      </c>
      <c r="O9" s="222">
        <f t="shared" si="0"/>
        <v>509090</v>
      </c>
      <c r="P9" s="223">
        <v>275000</v>
      </c>
      <c r="Q9" s="223">
        <f t="shared" si="1"/>
        <v>550000</v>
      </c>
    </row>
    <row r="10" spans="2:17">
      <c r="B10" s="200">
        <v>7</v>
      </c>
      <c r="C10" s="204" t="s">
        <v>70</v>
      </c>
      <c r="D10" s="205" t="s">
        <v>71</v>
      </c>
      <c r="E10" s="206" t="s">
        <v>9</v>
      </c>
      <c r="F10" s="206" t="s">
        <v>72</v>
      </c>
      <c r="G10" s="204"/>
      <c r="H10" s="204" t="s">
        <v>73</v>
      </c>
      <c r="I10" s="204"/>
      <c r="J10" s="206" t="s">
        <v>50</v>
      </c>
      <c r="K10" s="204" t="s">
        <v>74</v>
      </c>
      <c r="L10" s="221">
        <v>44214</v>
      </c>
      <c r="M10" s="222">
        <v>254545</v>
      </c>
      <c r="N10" s="223">
        <v>1</v>
      </c>
      <c r="O10" s="222">
        <f t="shared" si="0"/>
        <v>254545</v>
      </c>
      <c r="P10" s="223">
        <v>275000</v>
      </c>
      <c r="Q10" s="223">
        <f t="shared" si="1"/>
        <v>275000</v>
      </c>
    </row>
    <row r="11" spans="2:17">
      <c r="B11" s="200">
        <v>8</v>
      </c>
      <c r="C11" s="204" t="s">
        <v>75</v>
      </c>
      <c r="D11" s="205" t="s">
        <v>76</v>
      </c>
      <c r="E11" s="206" t="s">
        <v>9</v>
      </c>
      <c r="F11" s="206" t="s">
        <v>77</v>
      </c>
      <c r="G11" s="204"/>
      <c r="H11" s="204" t="s">
        <v>78</v>
      </c>
      <c r="I11" s="204"/>
      <c r="J11" s="206" t="s">
        <v>50</v>
      </c>
      <c r="K11" s="204" t="s">
        <v>79</v>
      </c>
      <c r="L11" s="221">
        <v>44221</v>
      </c>
      <c r="M11" s="222">
        <v>254545</v>
      </c>
      <c r="N11" s="223">
        <v>1</v>
      </c>
      <c r="O11" s="222">
        <f t="shared" si="0"/>
        <v>254545</v>
      </c>
      <c r="P11" s="223">
        <v>275000</v>
      </c>
      <c r="Q11" s="223">
        <f t="shared" si="1"/>
        <v>275000</v>
      </c>
    </row>
    <row r="12" spans="2:17">
      <c r="B12" s="200">
        <v>9</v>
      </c>
      <c r="C12" s="204" t="s">
        <v>80</v>
      </c>
      <c r="D12" s="205" t="s">
        <v>81</v>
      </c>
      <c r="E12" s="206" t="s">
        <v>82</v>
      </c>
      <c r="F12" s="206" t="s">
        <v>83</v>
      </c>
      <c r="G12" s="204"/>
      <c r="H12" s="204" t="s">
        <v>84</v>
      </c>
      <c r="I12" s="204"/>
      <c r="J12" s="206" t="s">
        <v>85</v>
      </c>
      <c r="K12" s="204" t="s">
        <v>86</v>
      </c>
      <c r="L12" s="221">
        <v>44222</v>
      </c>
      <c r="M12" s="222">
        <v>222727</v>
      </c>
      <c r="N12" s="223">
        <v>250</v>
      </c>
      <c r="O12" s="222">
        <f t="shared" si="0"/>
        <v>55681750</v>
      </c>
      <c r="P12" s="223">
        <v>279090.90999999997</v>
      </c>
      <c r="Q12" s="223">
        <f t="shared" si="1"/>
        <v>69772727.5</v>
      </c>
    </row>
    <row r="13" spans="2:17">
      <c r="B13" s="200">
        <v>10</v>
      </c>
      <c r="C13" s="204" t="s">
        <v>87</v>
      </c>
      <c r="D13" s="205">
        <v>78130</v>
      </c>
      <c r="E13" s="206" t="s">
        <v>17</v>
      </c>
      <c r="F13" s="206" t="s">
        <v>88</v>
      </c>
      <c r="G13" s="204"/>
      <c r="H13" s="204" t="s">
        <v>89</v>
      </c>
      <c r="I13" s="204"/>
      <c r="J13" s="206" t="s">
        <v>85</v>
      </c>
      <c r="K13" s="204" t="s">
        <v>90</v>
      </c>
      <c r="L13" s="221">
        <v>44224</v>
      </c>
      <c r="M13" s="222">
        <v>222727</v>
      </c>
      <c r="N13" s="223">
        <v>49</v>
      </c>
      <c r="O13" s="222">
        <f t="shared" si="0"/>
        <v>10913623</v>
      </c>
      <c r="P13" s="223">
        <v>279090.90999999997</v>
      </c>
      <c r="Q13" s="223">
        <f t="shared" si="1"/>
        <v>13675454.589999998</v>
      </c>
    </row>
    <row r="14" spans="2:17">
      <c r="B14" s="200">
        <v>11</v>
      </c>
      <c r="C14" s="204" t="s">
        <v>91</v>
      </c>
      <c r="D14" s="205">
        <v>78130</v>
      </c>
      <c r="E14" s="206" t="s">
        <v>17</v>
      </c>
      <c r="F14" s="206" t="s">
        <v>88</v>
      </c>
      <c r="G14" s="204"/>
      <c r="H14" s="204" t="s">
        <v>89</v>
      </c>
      <c r="I14" s="204"/>
      <c r="J14" s="206" t="s">
        <v>92</v>
      </c>
      <c r="K14" s="204" t="s">
        <v>93</v>
      </c>
      <c r="L14" s="221">
        <v>44224</v>
      </c>
      <c r="M14" s="222">
        <v>46364</v>
      </c>
      <c r="N14" s="223">
        <v>49</v>
      </c>
      <c r="O14" s="222">
        <f t="shared" si="0"/>
        <v>2271836</v>
      </c>
      <c r="P14" s="223">
        <v>58181.82</v>
      </c>
      <c r="Q14" s="223">
        <f t="shared" si="1"/>
        <v>2850909.18</v>
      </c>
    </row>
    <row r="15" spans="2:17">
      <c r="B15" s="200">
        <v>12</v>
      </c>
      <c r="C15" s="207" t="s">
        <v>94</v>
      </c>
      <c r="D15" s="208" t="s">
        <v>95</v>
      </c>
      <c r="E15" s="209" t="s">
        <v>9</v>
      </c>
      <c r="F15" s="209" t="s">
        <v>96</v>
      </c>
      <c r="G15" s="207"/>
      <c r="H15" s="207" t="s">
        <v>97</v>
      </c>
      <c r="I15" s="207"/>
      <c r="J15" s="209" t="s">
        <v>50</v>
      </c>
      <c r="K15" s="207" t="s">
        <v>98</v>
      </c>
      <c r="L15" s="224">
        <v>44224</v>
      </c>
      <c r="M15" s="225">
        <v>254545</v>
      </c>
      <c r="N15" s="226">
        <v>1</v>
      </c>
      <c r="O15" s="225">
        <f t="shared" si="0"/>
        <v>254545</v>
      </c>
      <c r="P15" s="226">
        <v>275000</v>
      </c>
      <c r="Q15" s="226">
        <f t="shared" si="1"/>
        <v>275000</v>
      </c>
    </row>
    <row r="16" spans="2:17">
      <c r="B16" s="200">
        <v>13</v>
      </c>
      <c r="C16" s="207" t="s">
        <v>99</v>
      </c>
      <c r="D16" s="208" t="s">
        <v>100</v>
      </c>
      <c r="E16" s="209" t="s">
        <v>9</v>
      </c>
      <c r="F16" s="209" t="s">
        <v>101</v>
      </c>
      <c r="G16" s="207"/>
      <c r="H16" s="207" t="s">
        <v>102</v>
      </c>
      <c r="I16" s="207"/>
      <c r="J16" s="209" t="s">
        <v>50</v>
      </c>
      <c r="K16" s="207" t="s">
        <v>103</v>
      </c>
      <c r="L16" s="224">
        <v>44229</v>
      </c>
      <c r="M16" s="225">
        <v>254545</v>
      </c>
      <c r="N16" s="226">
        <v>1</v>
      </c>
      <c r="O16" s="225">
        <f t="shared" si="0"/>
        <v>254545</v>
      </c>
      <c r="P16" s="226">
        <v>275000</v>
      </c>
      <c r="Q16" s="226">
        <f t="shared" ref="Q16:Q79" si="2">P16*N16</f>
        <v>275000</v>
      </c>
    </row>
    <row r="17" spans="2:17">
      <c r="B17" s="200">
        <v>14</v>
      </c>
      <c r="C17" s="207" t="s">
        <v>104</v>
      </c>
      <c r="D17" s="208" t="s">
        <v>105</v>
      </c>
      <c r="E17" s="209" t="s">
        <v>9</v>
      </c>
      <c r="F17" s="209" t="s">
        <v>106</v>
      </c>
      <c r="G17" s="207"/>
      <c r="H17" s="207" t="s">
        <v>107</v>
      </c>
      <c r="I17" s="207"/>
      <c r="J17" s="209" t="s">
        <v>50</v>
      </c>
      <c r="K17" s="207" t="s">
        <v>108</v>
      </c>
      <c r="L17" s="224">
        <v>44232</v>
      </c>
      <c r="M17" s="225">
        <v>254545</v>
      </c>
      <c r="N17" s="226">
        <v>1</v>
      </c>
      <c r="O17" s="225">
        <f t="shared" si="0"/>
        <v>254545</v>
      </c>
      <c r="P17" s="226">
        <v>275000</v>
      </c>
      <c r="Q17" s="226">
        <f t="shared" si="2"/>
        <v>275000</v>
      </c>
    </row>
    <row r="18" spans="2:17">
      <c r="B18" s="200">
        <v>15</v>
      </c>
      <c r="C18" s="207" t="s">
        <v>109</v>
      </c>
      <c r="D18" s="208" t="s">
        <v>105</v>
      </c>
      <c r="E18" s="209" t="s">
        <v>9</v>
      </c>
      <c r="F18" s="209" t="s">
        <v>110</v>
      </c>
      <c r="G18" s="207"/>
      <c r="H18" s="207" t="s">
        <v>111</v>
      </c>
      <c r="I18" s="207"/>
      <c r="J18" s="209" t="s">
        <v>50</v>
      </c>
      <c r="K18" s="207" t="s">
        <v>112</v>
      </c>
      <c r="L18" s="224">
        <v>44237</v>
      </c>
      <c r="M18" s="225">
        <v>254545</v>
      </c>
      <c r="N18" s="226">
        <v>1</v>
      </c>
      <c r="O18" s="225">
        <f t="shared" si="0"/>
        <v>254545</v>
      </c>
      <c r="P18" s="226">
        <v>275000</v>
      </c>
      <c r="Q18" s="226">
        <f t="shared" si="2"/>
        <v>275000</v>
      </c>
    </row>
    <row r="19" spans="2:17">
      <c r="B19" s="200">
        <v>16</v>
      </c>
      <c r="C19" s="207" t="s">
        <v>113</v>
      </c>
      <c r="D19" s="208">
        <v>78349</v>
      </c>
      <c r="E19" s="209" t="s">
        <v>17</v>
      </c>
      <c r="F19" s="209" t="s">
        <v>114</v>
      </c>
      <c r="G19" s="207"/>
      <c r="H19" s="207" t="s">
        <v>115</v>
      </c>
      <c r="I19" s="207"/>
      <c r="J19" s="209" t="s">
        <v>85</v>
      </c>
      <c r="K19" s="207" t="s">
        <v>116</v>
      </c>
      <c r="L19" s="224">
        <v>44245</v>
      </c>
      <c r="M19" s="225">
        <v>171818</v>
      </c>
      <c r="N19" s="226">
        <v>20</v>
      </c>
      <c r="O19" s="225">
        <f t="shared" si="0"/>
        <v>3436360</v>
      </c>
      <c r="P19" s="226">
        <v>279090.90999999997</v>
      </c>
      <c r="Q19" s="226">
        <f t="shared" si="2"/>
        <v>5581818.1999999993</v>
      </c>
    </row>
    <row r="20" spans="2:17">
      <c r="B20" s="200">
        <v>17</v>
      </c>
      <c r="C20" s="207" t="s">
        <v>117</v>
      </c>
      <c r="D20" s="208">
        <v>78349</v>
      </c>
      <c r="E20" s="209" t="s">
        <v>17</v>
      </c>
      <c r="F20" s="209" t="s">
        <v>114</v>
      </c>
      <c r="G20" s="207"/>
      <c r="H20" s="207" t="s">
        <v>115</v>
      </c>
      <c r="I20" s="207"/>
      <c r="J20" s="209" t="s">
        <v>92</v>
      </c>
      <c r="K20" s="207" t="s">
        <v>118</v>
      </c>
      <c r="L20" s="224">
        <v>44245</v>
      </c>
      <c r="M20" s="225">
        <v>40909</v>
      </c>
      <c r="N20" s="226">
        <v>20</v>
      </c>
      <c r="O20" s="225">
        <f t="shared" si="0"/>
        <v>818180</v>
      </c>
      <c r="P20" s="226">
        <v>58181.82</v>
      </c>
      <c r="Q20" s="226">
        <f t="shared" si="2"/>
        <v>1163636.3999999999</v>
      </c>
    </row>
    <row r="21" spans="2:17">
      <c r="B21" s="200">
        <v>18</v>
      </c>
      <c r="C21" s="207" t="s">
        <v>119</v>
      </c>
      <c r="D21" s="208" t="s">
        <v>120</v>
      </c>
      <c r="E21" s="209" t="s">
        <v>9</v>
      </c>
      <c r="F21" s="209" t="s">
        <v>121</v>
      </c>
      <c r="G21" s="207"/>
      <c r="H21" s="207" t="s">
        <v>122</v>
      </c>
      <c r="I21" s="207"/>
      <c r="J21" s="209" t="s">
        <v>50</v>
      </c>
      <c r="K21" s="207" t="s">
        <v>123</v>
      </c>
      <c r="L21" s="224">
        <v>44251</v>
      </c>
      <c r="M21" s="225">
        <v>254545</v>
      </c>
      <c r="N21" s="226">
        <v>2</v>
      </c>
      <c r="O21" s="225">
        <f t="shared" ref="O21" si="3">SUM(M21*N21)</f>
        <v>509090</v>
      </c>
      <c r="P21" s="226">
        <v>275000</v>
      </c>
      <c r="Q21" s="226">
        <f t="shared" si="2"/>
        <v>550000</v>
      </c>
    </row>
    <row r="22" spans="2:17">
      <c r="B22" s="200">
        <v>19</v>
      </c>
      <c r="C22" s="210" t="s">
        <v>124</v>
      </c>
      <c r="D22" s="211" t="s">
        <v>125</v>
      </c>
      <c r="E22" s="212" t="s">
        <v>9</v>
      </c>
      <c r="F22" s="213" t="s">
        <v>126</v>
      </c>
      <c r="G22" s="210"/>
      <c r="H22" s="210" t="s">
        <v>127</v>
      </c>
      <c r="I22" s="210"/>
      <c r="J22" s="213" t="s">
        <v>50</v>
      </c>
      <c r="K22" s="210" t="s">
        <v>128</v>
      </c>
      <c r="L22" s="227">
        <v>44257</v>
      </c>
      <c r="M22" s="228">
        <v>254545</v>
      </c>
      <c r="N22" s="210">
        <v>2</v>
      </c>
      <c r="O22" s="229">
        <f>N22*M22</f>
        <v>509090</v>
      </c>
      <c r="P22" s="229">
        <v>275000</v>
      </c>
      <c r="Q22" s="229">
        <f t="shared" si="2"/>
        <v>550000</v>
      </c>
    </row>
    <row r="23" spans="2:17">
      <c r="B23" s="200">
        <v>20</v>
      </c>
      <c r="C23" s="210" t="s">
        <v>129</v>
      </c>
      <c r="D23" s="211" t="s">
        <v>130</v>
      </c>
      <c r="E23" s="212" t="s">
        <v>5</v>
      </c>
      <c r="F23" s="213" t="s">
        <v>131</v>
      </c>
      <c r="G23" s="210"/>
      <c r="H23" s="210" t="s">
        <v>132</v>
      </c>
      <c r="I23" s="210"/>
      <c r="J23" s="213" t="s">
        <v>50</v>
      </c>
      <c r="K23" s="210" t="s">
        <v>133</v>
      </c>
      <c r="L23" s="227">
        <v>44259</v>
      </c>
      <c r="M23" s="228">
        <v>444545</v>
      </c>
      <c r="N23" s="210">
        <v>38</v>
      </c>
      <c r="O23" s="229">
        <f>N23*M23</f>
        <v>16892710</v>
      </c>
      <c r="P23" s="229">
        <v>545455</v>
      </c>
      <c r="Q23" s="229">
        <f t="shared" si="2"/>
        <v>20727290</v>
      </c>
    </row>
    <row r="24" spans="2:17">
      <c r="B24" s="200">
        <v>21</v>
      </c>
      <c r="C24" s="210" t="s">
        <v>134</v>
      </c>
      <c r="D24" s="211" t="s">
        <v>135</v>
      </c>
      <c r="E24" s="212" t="s">
        <v>9</v>
      </c>
      <c r="F24" s="213" t="s">
        <v>136</v>
      </c>
      <c r="G24" s="210"/>
      <c r="H24" s="210" t="s">
        <v>137</v>
      </c>
      <c r="I24" s="210"/>
      <c r="J24" s="213" t="s">
        <v>50</v>
      </c>
      <c r="K24" s="210" t="s">
        <v>138</v>
      </c>
      <c r="L24" s="227">
        <v>44264</v>
      </c>
      <c r="M24" s="228">
        <v>254545</v>
      </c>
      <c r="N24" s="210">
        <v>3</v>
      </c>
      <c r="O24" s="229">
        <f>N24*M24</f>
        <v>763635</v>
      </c>
      <c r="P24" s="229">
        <v>275000</v>
      </c>
      <c r="Q24" s="229">
        <f t="shared" si="2"/>
        <v>825000</v>
      </c>
    </row>
    <row r="25" spans="2:17">
      <c r="B25" s="200">
        <v>22</v>
      </c>
      <c r="C25" s="210" t="s">
        <v>139</v>
      </c>
      <c r="D25" s="211" t="s">
        <v>140</v>
      </c>
      <c r="E25" s="212" t="s">
        <v>9</v>
      </c>
      <c r="F25" s="213" t="s">
        <v>141</v>
      </c>
      <c r="G25" s="210"/>
      <c r="H25" s="210" t="s">
        <v>142</v>
      </c>
      <c r="I25" s="210"/>
      <c r="J25" s="213" t="s">
        <v>50</v>
      </c>
      <c r="K25" s="210" t="s">
        <v>143</v>
      </c>
      <c r="L25" s="227">
        <v>44271</v>
      </c>
      <c r="M25" s="228">
        <v>254545</v>
      </c>
      <c r="N25" s="210">
        <v>1</v>
      </c>
      <c r="O25" s="229">
        <f t="shared" ref="O25:O57" si="4">N25*M25</f>
        <v>254545</v>
      </c>
      <c r="P25" s="229">
        <v>275000</v>
      </c>
      <c r="Q25" s="229">
        <f t="shared" si="2"/>
        <v>275000</v>
      </c>
    </row>
    <row r="26" spans="2:17">
      <c r="B26" s="200">
        <v>23</v>
      </c>
      <c r="C26" s="210" t="s">
        <v>144</v>
      </c>
      <c r="D26" s="211" t="s">
        <v>140</v>
      </c>
      <c r="E26" s="212" t="s">
        <v>9</v>
      </c>
      <c r="F26" s="213" t="s">
        <v>145</v>
      </c>
      <c r="G26" s="210"/>
      <c r="H26" s="210" t="s">
        <v>142</v>
      </c>
      <c r="I26" s="210"/>
      <c r="J26" s="213" t="s">
        <v>50</v>
      </c>
      <c r="K26" s="210" t="s">
        <v>146</v>
      </c>
      <c r="L26" s="227">
        <v>44271</v>
      </c>
      <c r="M26" s="228">
        <v>254545</v>
      </c>
      <c r="N26" s="210">
        <v>1</v>
      </c>
      <c r="O26" s="229">
        <f t="shared" si="4"/>
        <v>254545</v>
      </c>
      <c r="P26" s="229">
        <v>275000</v>
      </c>
      <c r="Q26" s="229">
        <f t="shared" si="2"/>
        <v>275000</v>
      </c>
    </row>
    <row r="27" spans="2:17">
      <c r="B27" s="200">
        <v>24</v>
      </c>
      <c r="C27" s="210" t="s">
        <v>147</v>
      </c>
      <c r="D27" s="211" t="s">
        <v>148</v>
      </c>
      <c r="E27" s="212" t="s">
        <v>9</v>
      </c>
      <c r="F27" s="213" t="s">
        <v>149</v>
      </c>
      <c r="G27" s="210"/>
      <c r="H27" s="210" t="s">
        <v>150</v>
      </c>
      <c r="I27" s="210"/>
      <c r="J27" s="213" t="s">
        <v>50</v>
      </c>
      <c r="K27" s="210" t="s">
        <v>151</v>
      </c>
      <c r="L27" s="227">
        <v>44274</v>
      </c>
      <c r="M27" s="228">
        <v>254545</v>
      </c>
      <c r="N27" s="210">
        <v>2</v>
      </c>
      <c r="O27" s="229">
        <f t="shared" si="4"/>
        <v>509090</v>
      </c>
      <c r="P27" s="229">
        <v>275000</v>
      </c>
      <c r="Q27" s="229">
        <f t="shared" si="2"/>
        <v>550000</v>
      </c>
    </row>
    <row r="28" spans="2:17">
      <c r="B28" s="200">
        <v>25</v>
      </c>
      <c r="C28" s="210" t="s">
        <v>152</v>
      </c>
      <c r="D28" s="211" t="s">
        <v>148</v>
      </c>
      <c r="E28" s="212" t="s">
        <v>9</v>
      </c>
      <c r="F28" s="213" t="s">
        <v>153</v>
      </c>
      <c r="G28" s="210"/>
      <c r="H28" s="210" t="s">
        <v>150</v>
      </c>
      <c r="I28" s="210"/>
      <c r="J28" s="213" t="s">
        <v>50</v>
      </c>
      <c r="K28" s="210" t="s">
        <v>154</v>
      </c>
      <c r="L28" s="227">
        <v>44274</v>
      </c>
      <c r="M28" s="228">
        <v>254545</v>
      </c>
      <c r="N28" s="210">
        <v>5</v>
      </c>
      <c r="O28" s="229">
        <f t="shared" si="4"/>
        <v>1272725</v>
      </c>
      <c r="P28" s="229">
        <v>275000</v>
      </c>
      <c r="Q28" s="229">
        <f t="shared" si="2"/>
        <v>1375000</v>
      </c>
    </row>
    <row r="29" spans="2:17">
      <c r="B29" s="200">
        <v>26</v>
      </c>
      <c r="C29" s="210" t="s">
        <v>155</v>
      </c>
      <c r="D29" s="211" t="s">
        <v>148</v>
      </c>
      <c r="E29" s="212" t="s">
        <v>9</v>
      </c>
      <c r="F29" s="213" t="s">
        <v>149</v>
      </c>
      <c r="G29" s="210"/>
      <c r="H29" s="210" t="s">
        <v>150</v>
      </c>
      <c r="I29" s="210"/>
      <c r="J29" s="213" t="s">
        <v>50</v>
      </c>
      <c r="K29" s="210" t="s">
        <v>156</v>
      </c>
      <c r="L29" s="227">
        <v>44274</v>
      </c>
      <c r="M29" s="228">
        <v>254545</v>
      </c>
      <c r="N29" s="210">
        <v>10</v>
      </c>
      <c r="O29" s="229">
        <f t="shared" si="4"/>
        <v>2545450</v>
      </c>
      <c r="P29" s="229">
        <v>275000</v>
      </c>
      <c r="Q29" s="229">
        <f t="shared" si="2"/>
        <v>2750000</v>
      </c>
    </row>
    <row r="30" spans="2:17">
      <c r="B30" s="200">
        <v>27</v>
      </c>
      <c r="C30" s="210" t="s">
        <v>157</v>
      </c>
      <c r="D30" s="211" t="s">
        <v>148</v>
      </c>
      <c r="E30" s="212" t="s">
        <v>9</v>
      </c>
      <c r="F30" s="213" t="s">
        <v>158</v>
      </c>
      <c r="G30" s="210"/>
      <c r="H30" s="210" t="s">
        <v>150</v>
      </c>
      <c r="I30" s="210"/>
      <c r="J30" s="213" t="s">
        <v>50</v>
      </c>
      <c r="K30" s="210" t="s">
        <v>159</v>
      </c>
      <c r="L30" s="227">
        <v>44274</v>
      </c>
      <c r="M30" s="228">
        <v>254545</v>
      </c>
      <c r="N30" s="210">
        <v>7</v>
      </c>
      <c r="O30" s="229">
        <f t="shared" si="4"/>
        <v>1781815</v>
      </c>
      <c r="P30" s="229">
        <v>275000</v>
      </c>
      <c r="Q30" s="229">
        <f t="shared" si="2"/>
        <v>1925000</v>
      </c>
    </row>
    <row r="31" spans="2:17">
      <c r="B31" s="200">
        <v>28</v>
      </c>
      <c r="C31" s="210" t="s">
        <v>160</v>
      </c>
      <c r="D31" s="211" t="s">
        <v>148</v>
      </c>
      <c r="E31" s="212" t="s">
        <v>9</v>
      </c>
      <c r="F31" s="213" t="s">
        <v>161</v>
      </c>
      <c r="G31" s="210"/>
      <c r="H31" s="210" t="s">
        <v>150</v>
      </c>
      <c r="I31" s="210"/>
      <c r="J31" s="213" t="s">
        <v>50</v>
      </c>
      <c r="K31" s="210" t="s">
        <v>162</v>
      </c>
      <c r="L31" s="227">
        <v>44274</v>
      </c>
      <c r="M31" s="228">
        <v>254545</v>
      </c>
      <c r="N31" s="210">
        <v>5</v>
      </c>
      <c r="O31" s="229">
        <f t="shared" si="4"/>
        <v>1272725</v>
      </c>
      <c r="P31" s="229">
        <v>275000</v>
      </c>
      <c r="Q31" s="229">
        <f t="shared" si="2"/>
        <v>1375000</v>
      </c>
    </row>
    <row r="32" spans="2:17">
      <c r="B32" s="200">
        <v>29</v>
      </c>
      <c r="C32" s="210" t="s">
        <v>163</v>
      </c>
      <c r="D32" s="211" t="s">
        <v>164</v>
      </c>
      <c r="E32" s="212"/>
      <c r="F32" s="213" t="s">
        <v>165</v>
      </c>
      <c r="G32" s="210"/>
      <c r="H32" s="210" t="s">
        <v>166</v>
      </c>
      <c r="I32" s="210"/>
      <c r="J32" s="213" t="s">
        <v>85</v>
      </c>
      <c r="K32" s="210" t="s">
        <v>167</v>
      </c>
      <c r="L32" s="227">
        <v>44278</v>
      </c>
      <c r="M32" s="228">
        <v>222727</v>
      </c>
      <c r="N32" s="210">
        <v>20</v>
      </c>
      <c r="O32" s="229">
        <f t="shared" si="4"/>
        <v>4454540</v>
      </c>
      <c r="P32" s="229">
        <v>432591</v>
      </c>
      <c r="Q32" s="229">
        <f t="shared" si="2"/>
        <v>8651820</v>
      </c>
    </row>
    <row r="33" spans="2:17">
      <c r="B33" s="200">
        <v>30</v>
      </c>
      <c r="C33" s="210" t="s">
        <v>168</v>
      </c>
      <c r="D33" s="210" t="s">
        <v>169</v>
      </c>
      <c r="E33" s="212" t="s">
        <v>9</v>
      </c>
      <c r="F33" s="213" t="s">
        <v>170</v>
      </c>
      <c r="G33" s="210"/>
      <c r="H33" s="210" t="s">
        <v>171</v>
      </c>
      <c r="I33" s="210"/>
      <c r="J33" s="213" t="s">
        <v>50</v>
      </c>
      <c r="K33" s="210" t="s">
        <v>172</v>
      </c>
      <c r="L33" s="227">
        <v>44278</v>
      </c>
      <c r="M33" s="228">
        <v>254545</v>
      </c>
      <c r="N33" s="210">
        <v>1</v>
      </c>
      <c r="O33" s="229">
        <f t="shared" si="4"/>
        <v>254545</v>
      </c>
      <c r="P33" s="229">
        <v>275000</v>
      </c>
      <c r="Q33" s="229">
        <f t="shared" si="2"/>
        <v>275000</v>
      </c>
    </row>
    <row r="34" spans="2:17">
      <c r="B34" s="200">
        <v>31</v>
      </c>
      <c r="C34" s="210" t="s">
        <v>173</v>
      </c>
      <c r="D34" s="210" t="s">
        <v>174</v>
      </c>
      <c r="E34" s="212" t="s">
        <v>9</v>
      </c>
      <c r="F34" s="213" t="s">
        <v>175</v>
      </c>
      <c r="G34" s="210"/>
      <c r="H34" s="210" t="s">
        <v>176</v>
      </c>
      <c r="I34" s="210"/>
      <c r="J34" s="213" t="s">
        <v>50</v>
      </c>
      <c r="K34" s="210" t="s">
        <v>177</v>
      </c>
      <c r="L34" s="227">
        <v>44279</v>
      </c>
      <c r="M34" s="228">
        <v>254545</v>
      </c>
      <c r="N34" s="210">
        <v>6</v>
      </c>
      <c r="O34" s="229">
        <f t="shared" si="4"/>
        <v>1527270</v>
      </c>
      <c r="P34" s="229">
        <v>275000</v>
      </c>
      <c r="Q34" s="229">
        <f t="shared" si="2"/>
        <v>1650000</v>
      </c>
    </row>
    <row r="35" spans="2:17">
      <c r="B35" s="200">
        <v>32</v>
      </c>
      <c r="C35" s="210" t="s">
        <v>178</v>
      </c>
      <c r="D35" s="211" t="s">
        <v>179</v>
      </c>
      <c r="E35" s="212" t="s">
        <v>5</v>
      </c>
      <c r="F35" s="213" t="s">
        <v>180</v>
      </c>
      <c r="G35" s="210"/>
      <c r="H35" s="210" t="s">
        <v>181</v>
      </c>
      <c r="I35" s="210"/>
      <c r="J35" s="213" t="s">
        <v>85</v>
      </c>
      <c r="K35" s="210" t="s">
        <v>182</v>
      </c>
      <c r="L35" s="227">
        <v>44279</v>
      </c>
      <c r="M35" s="228">
        <v>222727</v>
      </c>
      <c r="N35" s="210">
        <v>130</v>
      </c>
      <c r="O35" s="229">
        <f t="shared" si="4"/>
        <v>28954510</v>
      </c>
      <c r="P35" s="229">
        <v>279091</v>
      </c>
      <c r="Q35" s="229">
        <f t="shared" si="2"/>
        <v>36281830</v>
      </c>
    </row>
    <row r="36" spans="2:17">
      <c r="B36" s="200">
        <v>33</v>
      </c>
      <c r="C36" s="210" t="s">
        <v>183</v>
      </c>
      <c r="D36" s="211" t="s">
        <v>184</v>
      </c>
      <c r="E36" s="212" t="s">
        <v>6</v>
      </c>
      <c r="F36" s="213" t="s">
        <v>185</v>
      </c>
      <c r="G36" s="210"/>
      <c r="H36" s="210" t="s">
        <v>186</v>
      </c>
      <c r="I36" s="210"/>
      <c r="J36" s="213" t="s">
        <v>50</v>
      </c>
      <c r="K36" s="210" t="s">
        <v>187</v>
      </c>
      <c r="L36" s="227">
        <v>44285</v>
      </c>
      <c r="M36" s="228">
        <v>345455</v>
      </c>
      <c r="N36" s="210">
        <v>350</v>
      </c>
      <c r="O36" s="229">
        <f t="shared" si="4"/>
        <v>120909250</v>
      </c>
      <c r="P36" s="229">
        <v>388181.82</v>
      </c>
      <c r="Q36" s="229">
        <f t="shared" si="2"/>
        <v>135863637</v>
      </c>
    </row>
    <row r="37" spans="2:17">
      <c r="B37" s="200">
        <v>34</v>
      </c>
      <c r="C37" s="210" t="s">
        <v>188</v>
      </c>
      <c r="D37" s="210" t="s">
        <v>189</v>
      </c>
      <c r="E37" s="212" t="s">
        <v>9</v>
      </c>
      <c r="F37" s="213" t="s">
        <v>190</v>
      </c>
      <c r="G37" s="210"/>
      <c r="H37" s="210" t="s">
        <v>191</v>
      </c>
      <c r="I37" s="210"/>
      <c r="J37" s="213" t="s">
        <v>50</v>
      </c>
      <c r="K37" s="210" t="s">
        <v>192</v>
      </c>
      <c r="L37" s="227">
        <v>44281</v>
      </c>
      <c r="M37" s="228">
        <v>254545</v>
      </c>
      <c r="N37" s="210">
        <v>6</v>
      </c>
      <c r="O37" s="229">
        <f t="shared" si="4"/>
        <v>1527270</v>
      </c>
      <c r="P37" s="229">
        <v>275000</v>
      </c>
      <c r="Q37" s="229">
        <f t="shared" si="2"/>
        <v>1650000</v>
      </c>
    </row>
    <row r="38" spans="2:17">
      <c r="B38" s="200">
        <v>35</v>
      </c>
      <c r="C38" s="210" t="s">
        <v>193</v>
      </c>
      <c r="D38" s="210" t="s">
        <v>189</v>
      </c>
      <c r="E38" s="212" t="s">
        <v>9</v>
      </c>
      <c r="F38" s="213" t="s">
        <v>194</v>
      </c>
      <c r="G38" s="210"/>
      <c r="H38" s="210" t="s">
        <v>191</v>
      </c>
      <c r="I38" s="210"/>
      <c r="J38" s="213" t="s">
        <v>50</v>
      </c>
      <c r="K38" s="210" t="s">
        <v>195</v>
      </c>
      <c r="L38" s="227">
        <v>44281</v>
      </c>
      <c r="M38" s="228">
        <v>254545</v>
      </c>
      <c r="N38" s="210">
        <v>3</v>
      </c>
      <c r="O38" s="229">
        <f t="shared" si="4"/>
        <v>763635</v>
      </c>
      <c r="P38" s="229">
        <v>275000</v>
      </c>
      <c r="Q38" s="229">
        <f t="shared" si="2"/>
        <v>825000</v>
      </c>
    </row>
    <row r="39" spans="2:17">
      <c r="B39" s="200">
        <v>36</v>
      </c>
      <c r="C39" s="210" t="s">
        <v>196</v>
      </c>
      <c r="D39" s="210" t="s">
        <v>189</v>
      </c>
      <c r="E39" s="212" t="s">
        <v>9</v>
      </c>
      <c r="F39" s="213" t="s">
        <v>197</v>
      </c>
      <c r="G39" s="210"/>
      <c r="H39" s="210" t="s">
        <v>191</v>
      </c>
      <c r="I39" s="210"/>
      <c r="J39" s="213" t="s">
        <v>50</v>
      </c>
      <c r="K39" s="210" t="s">
        <v>198</v>
      </c>
      <c r="L39" s="227">
        <v>44281</v>
      </c>
      <c r="M39" s="228">
        <v>254545</v>
      </c>
      <c r="N39" s="210">
        <v>2</v>
      </c>
      <c r="O39" s="229">
        <f t="shared" si="4"/>
        <v>509090</v>
      </c>
      <c r="P39" s="229">
        <v>275000</v>
      </c>
      <c r="Q39" s="229">
        <f t="shared" si="2"/>
        <v>550000</v>
      </c>
    </row>
    <row r="40" spans="2:17">
      <c r="B40" s="200">
        <v>37</v>
      </c>
      <c r="C40" s="210" t="s">
        <v>199</v>
      </c>
      <c r="D40" s="210" t="s">
        <v>189</v>
      </c>
      <c r="E40" s="212" t="s">
        <v>9</v>
      </c>
      <c r="F40" s="213" t="s">
        <v>194</v>
      </c>
      <c r="G40" s="210"/>
      <c r="H40" s="210" t="s">
        <v>191</v>
      </c>
      <c r="I40" s="210"/>
      <c r="J40" s="213" t="s">
        <v>50</v>
      </c>
      <c r="K40" s="210" t="s">
        <v>200</v>
      </c>
      <c r="L40" s="227">
        <v>44281</v>
      </c>
      <c r="M40" s="228">
        <v>254545</v>
      </c>
      <c r="N40" s="210">
        <v>5</v>
      </c>
      <c r="O40" s="229">
        <f t="shared" si="4"/>
        <v>1272725</v>
      </c>
      <c r="P40" s="229">
        <v>275000</v>
      </c>
      <c r="Q40" s="229">
        <f t="shared" si="2"/>
        <v>1375000</v>
      </c>
    </row>
    <row r="41" spans="2:17">
      <c r="B41" s="200">
        <v>38</v>
      </c>
      <c r="C41" s="210" t="s">
        <v>201</v>
      </c>
      <c r="D41" s="211" t="s">
        <v>202</v>
      </c>
      <c r="E41" s="212" t="s">
        <v>9</v>
      </c>
      <c r="F41" s="213" t="s">
        <v>203</v>
      </c>
      <c r="G41" s="210"/>
      <c r="H41" s="210" t="s">
        <v>186</v>
      </c>
      <c r="I41" s="210"/>
      <c r="J41" s="213" t="s">
        <v>50</v>
      </c>
      <c r="K41" s="210" t="s">
        <v>204</v>
      </c>
      <c r="L41" s="227">
        <v>44285</v>
      </c>
      <c r="M41" s="228">
        <v>254545</v>
      </c>
      <c r="N41" s="210">
        <v>2</v>
      </c>
      <c r="O41" s="229">
        <f t="shared" si="4"/>
        <v>509090</v>
      </c>
      <c r="P41" s="229">
        <v>275000</v>
      </c>
      <c r="Q41" s="229">
        <f t="shared" si="2"/>
        <v>550000</v>
      </c>
    </row>
    <row r="42" spans="2:17">
      <c r="B42" s="200">
        <v>39</v>
      </c>
      <c r="C42" s="210" t="s">
        <v>205</v>
      </c>
      <c r="D42" s="211" t="s">
        <v>202</v>
      </c>
      <c r="E42" s="212" t="s">
        <v>9</v>
      </c>
      <c r="F42" s="213" t="s">
        <v>206</v>
      </c>
      <c r="G42" s="210"/>
      <c r="H42" s="210" t="s">
        <v>186</v>
      </c>
      <c r="I42" s="210"/>
      <c r="J42" s="213" t="s">
        <v>50</v>
      </c>
      <c r="K42" s="210" t="s">
        <v>207</v>
      </c>
      <c r="L42" s="227">
        <v>44285</v>
      </c>
      <c r="M42" s="228">
        <v>254545</v>
      </c>
      <c r="N42" s="210">
        <v>3</v>
      </c>
      <c r="O42" s="229">
        <f t="shared" si="4"/>
        <v>763635</v>
      </c>
      <c r="P42" s="229">
        <v>275000</v>
      </c>
      <c r="Q42" s="229">
        <f t="shared" si="2"/>
        <v>825000</v>
      </c>
    </row>
    <row r="43" spans="2:17">
      <c r="B43" s="200">
        <v>40</v>
      </c>
      <c r="C43" s="210" t="s">
        <v>208</v>
      </c>
      <c r="D43" s="211" t="s">
        <v>209</v>
      </c>
      <c r="E43" s="212" t="s">
        <v>9</v>
      </c>
      <c r="F43" s="213" t="s">
        <v>210</v>
      </c>
      <c r="G43" s="210"/>
      <c r="H43" s="210" t="s">
        <v>211</v>
      </c>
      <c r="I43" s="210"/>
      <c r="J43" s="213" t="s">
        <v>50</v>
      </c>
      <c r="K43" s="210" t="s">
        <v>212</v>
      </c>
      <c r="L43" s="227">
        <v>44286</v>
      </c>
      <c r="M43" s="228">
        <v>254545</v>
      </c>
      <c r="N43" s="210">
        <v>1</v>
      </c>
      <c r="O43" s="229">
        <f t="shared" si="4"/>
        <v>254545</v>
      </c>
      <c r="P43" s="229">
        <v>275000</v>
      </c>
      <c r="Q43" s="229">
        <f t="shared" si="2"/>
        <v>275000</v>
      </c>
    </row>
    <row r="44" spans="2:17">
      <c r="B44" s="200">
        <v>41</v>
      </c>
      <c r="C44" s="210" t="s">
        <v>213</v>
      </c>
      <c r="D44" s="211" t="s">
        <v>209</v>
      </c>
      <c r="E44" s="212" t="s">
        <v>9</v>
      </c>
      <c r="F44" s="213" t="s">
        <v>214</v>
      </c>
      <c r="G44" s="210"/>
      <c r="H44" s="210" t="s">
        <v>211</v>
      </c>
      <c r="I44" s="210"/>
      <c r="J44" s="213" t="s">
        <v>50</v>
      </c>
      <c r="K44" s="210" t="s">
        <v>215</v>
      </c>
      <c r="L44" s="227">
        <v>44286</v>
      </c>
      <c r="M44" s="228">
        <v>254545</v>
      </c>
      <c r="N44" s="210">
        <v>5</v>
      </c>
      <c r="O44" s="229">
        <f t="shared" si="4"/>
        <v>1272725</v>
      </c>
      <c r="P44" s="229">
        <v>275000</v>
      </c>
      <c r="Q44" s="229">
        <f t="shared" si="2"/>
        <v>1375000</v>
      </c>
    </row>
    <row r="45" spans="2:17">
      <c r="B45" s="200">
        <v>42</v>
      </c>
      <c r="C45" s="210" t="s">
        <v>216</v>
      </c>
      <c r="D45" s="211" t="s">
        <v>217</v>
      </c>
      <c r="E45" s="212" t="s">
        <v>14</v>
      </c>
      <c r="F45" s="213" t="s">
        <v>218</v>
      </c>
      <c r="G45" s="210"/>
      <c r="H45" s="210" t="s">
        <v>181</v>
      </c>
      <c r="I45" s="210"/>
      <c r="J45" s="213" t="s">
        <v>63</v>
      </c>
      <c r="K45" s="210" t="s">
        <v>219</v>
      </c>
      <c r="L45" s="227">
        <v>44285</v>
      </c>
      <c r="M45" s="228">
        <v>92727</v>
      </c>
      <c r="N45" s="210">
        <v>18</v>
      </c>
      <c r="O45" s="229">
        <f t="shared" si="4"/>
        <v>1669086</v>
      </c>
      <c r="P45" s="229">
        <v>106818.18</v>
      </c>
      <c r="Q45" s="229">
        <f t="shared" si="2"/>
        <v>1922727.2399999998</v>
      </c>
    </row>
    <row r="46" spans="2:17">
      <c r="B46" s="200">
        <v>43</v>
      </c>
      <c r="C46" s="214" t="s">
        <v>220</v>
      </c>
      <c r="D46" s="215" t="s">
        <v>221</v>
      </c>
      <c r="E46" s="216" t="s">
        <v>9</v>
      </c>
      <c r="F46" s="217" t="s">
        <v>222</v>
      </c>
      <c r="G46" s="214"/>
      <c r="H46" s="214" t="s">
        <v>223</v>
      </c>
      <c r="I46" s="214"/>
      <c r="J46" s="217" t="s">
        <v>50</v>
      </c>
      <c r="K46" s="214" t="s">
        <v>224</v>
      </c>
      <c r="L46" s="230">
        <v>44298</v>
      </c>
      <c r="M46" s="231">
        <v>254545</v>
      </c>
      <c r="N46" s="214">
        <v>7</v>
      </c>
      <c r="O46" s="232">
        <f t="shared" si="4"/>
        <v>1781815</v>
      </c>
      <c r="P46" s="232">
        <v>275000</v>
      </c>
      <c r="Q46" s="232">
        <f t="shared" si="2"/>
        <v>1925000</v>
      </c>
    </row>
    <row r="47" spans="2:17">
      <c r="B47" s="200">
        <v>44</v>
      </c>
      <c r="C47" s="214" t="s">
        <v>225</v>
      </c>
      <c r="D47" s="215" t="s">
        <v>221</v>
      </c>
      <c r="E47" s="216" t="s">
        <v>9</v>
      </c>
      <c r="F47" s="217" t="s">
        <v>226</v>
      </c>
      <c r="G47" s="214"/>
      <c r="H47" s="214" t="s">
        <v>223</v>
      </c>
      <c r="I47" s="214"/>
      <c r="J47" s="217" t="s">
        <v>50</v>
      </c>
      <c r="K47" s="214" t="s">
        <v>227</v>
      </c>
      <c r="L47" s="230">
        <v>44298</v>
      </c>
      <c r="M47" s="231">
        <v>254545</v>
      </c>
      <c r="N47" s="214">
        <v>5</v>
      </c>
      <c r="O47" s="232">
        <f t="shared" si="4"/>
        <v>1272725</v>
      </c>
      <c r="P47" s="232">
        <v>275000</v>
      </c>
      <c r="Q47" s="232">
        <f t="shared" si="2"/>
        <v>1375000</v>
      </c>
    </row>
    <row r="48" spans="2:17">
      <c r="B48" s="200">
        <v>45</v>
      </c>
      <c r="C48" s="214" t="s">
        <v>228</v>
      </c>
      <c r="D48" s="215" t="s">
        <v>221</v>
      </c>
      <c r="E48" s="216" t="s">
        <v>9</v>
      </c>
      <c r="F48" s="217" t="s">
        <v>229</v>
      </c>
      <c r="G48" s="214"/>
      <c r="H48" s="214" t="s">
        <v>223</v>
      </c>
      <c r="I48" s="214"/>
      <c r="J48" s="217" t="s">
        <v>50</v>
      </c>
      <c r="K48" s="214" t="s">
        <v>230</v>
      </c>
      <c r="L48" s="230">
        <v>44298</v>
      </c>
      <c r="M48" s="231">
        <v>254545</v>
      </c>
      <c r="N48" s="214">
        <v>3</v>
      </c>
      <c r="O48" s="232">
        <f t="shared" si="4"/>
        <v>763635</v>
      </c>
      <c r="P48" s="232">
        <v>275000</v>
      </c>
      <c r="Q48" s="232">
        <f t="shared" si="2"/>
        <v>825000</v>
      </c>
    </row>
    <row r="49" spans="2:17">
      <c r="B49" s="200">
        <v>46</v>
      </c>
      <c r="C49" s="214" t="s">
        <v>231</v>
      </c>
      <c r="D49" s="215" t="s">
        <v>221</v>
      </c>
      <c r="E49" s="216" t="s">
        <v>9</v>
      </c>
      <c r="F49" s="217" t="s">
        <v>232</v>
      </c>
      <c r="G49" s="214"/>
      <c r="H49" s="214" t="s">
        <v>223</v>
      </c>
      <c r="I49" s="214"/>
      <c r="J49" s="217" t="s">
        <v>50</v>
      </c>
      <c r="K49" s="214" t="s">
        <v>233</v>
      </c>
      <c r="L49" s="230">
        <v>44298</v>
      </c>
      <c r="M49" s="231">
        <v>254545</v>
      </c>
      <c r="N49" s="214">
        <v>6</v>
      </c>
      <c r="O49" s="232">
        <f t="shared" si="4"/>
        <v>1527270</v>
      </c>
      <c r="P49" s="232">
        <v>275000</v>
      </c>
      <c r="Q49" s="232">
        <f t="shared" si="2"/>
        <v>1650000</v>
      </c>
    </row>
    <row r="50" spans="2:17">
      <c r="B50" s="200">
        <v>47</v>
      </c>
      <c r="C50" s="214" t="s">
        <v>234</v>
      </c>
      <c r="D50" s="215" t="s">
        <v>221</v>
      </c>
      <c r="E50" s="216" t="s">
        <v>9</v>
      </c>
      <c r="F50" s="217" t="s">
        <v>235</v>
      </c>
      <c r="G50" s="214"/>
      <c r="H50" s="214" t="s">
        <v>223</v>
      </c>
      <c r="I50" s="214"/>
      <c r="J50" s="217" t="s">
        <v>50</v>
      </c>
      <c r="K50" s="214" t="s">
        <v>236</v>
      </c>
      <c r="L50" s="230">
        <v>44298</v>
      </c>
      <c r="M50" s="231">
        <v>254545</v>
      </c>
      <c r="N50" s="214">
        <v>6</v>
      </c>
      <c r="O50" s="232">
        <f t="shared" si="4"/>
        <v>1527270</v>
      </c>
      <c r="P50" s="232">
        <v>275000</v>
      </c>
      <c r="Q50" s="232">
        <f t="shared" si="2"/>
        <v>1650000</v>
      </c>
    </row>
    <row r="51" spans="2:17">
      <c r="B51" s="200">
        <v>48</v>
      </c>
      <c r="C51" s="214" t="s">
        <v>237</v>
      </c>
      <c r="D51" s="215" t="s">
        <v>221</v>
      </c>
      <c r="E51" s="216" t="s">
        <v>9</v>
      </c>
      <c r="F51" s="217" t="s">
        <v>238</v>
      </c>
      <c r="G51" s="214"/>
      <c r="H51" s="214" t="s">
        <v>223</v>
      </c>
      <c r="I51" s="214"/>
      <c r="J51" s="217" t="s">
        <v>50</v>
      </c>
      <c r="K51" s="214" t="s">
        <v>239</v>
      </c>
      <c r="L51" s="230">
        <v>44298</v>
      </c>
      <c r="M51" s="231">
        <v>254545</v>
      </c>
      <c r="N51" s="214">
        <v>5</v>
      </c>
      <c r="O51" s="232">
        <f t="shared" si="4"/>
        <v>1272725</v>
      </c>
      <c r="P51" s="232">
        <v>275000</v>
      </c>
      <c r="Q51" s="232">
        <f t="shared" si="2"/>
        <v>1375000</v>
      </c>
    </row>
    <row r="52" spans="2:17">
      <c r="B52" s="200">
        <v>49</v>
      </c>
      <c r="C52" s="214" t="s">
        <v>240</v>
      </c>
      <c r="D52" s="215" t="s">
        <v>221</v>
      </c>
      <c r="E52" s="216" t="s">
        <v>9</v>
      </c>
      <c r="F52" s="217" t="s">
        <v>241</v>
      </c>
      <c r="G52" s="214"/>
      <c r="H52" s="214" t="s">
        <v>223</v>
      </c>
      <c r="I52" s="214"/>
      <c r="J52" s="217" t="s">
        <v>50</v>
      </c>
      <c r="K52" s="214" t="s">
        <v>242</v>
      </c>
      <c r="L52" s="230">
        <v>44298</v>
      </c>
      <c r="M52" s="231">
        <v>254545</v>
      </c>
      <c r="N52" s="214">
        <v>7</v>
      </c>
      <c r="O52" s="232">
        <f t="shared" si="4"/>
        <v>1781815</v>
      </c>
      <c r="P52" s="232">
        <v>275000</v>
      </c>
      <c r="Q52" s="232">
        <f t="shared" si="2"/>
        <v>1925000</v>
      </c>
    </row>
    <row r="53" spans="2:17">
      <c r="B53" s="200">
        <v>50</v>
      </c>
      <c r="C53" s="214" t="s">
        <v>243</v>
      </c>
      <c r="D53" s="215" t="s">
        <v>244</v>
      </c>
      <c r="E53" s="216" t="s">
        <v>9</v>
      </c>
      <c r="F53" s="217" t="s">
        <v>245</v>
      </c>
      <c r="G53" s="214"/>
      <c r="H53" s="214" t="s">
        <v>246</v>
      </c>
      <c r="I53" s="214"/>
      <c r="J53" s="217" t="s">
        <v>50</v>
      </c>
      <c r="K53" s="214" t="s">
        <v>247</v>
      </c>
      <c r="L53" s="230">
        <v>44299</v>
      </c>
      <c r="M53" s="231">
        <v>254545</v>
      </c>
      <c r="N53" s="214">
        <v>8</v>
      </c>
      <c r="O53" s="232">
        <f t="shared" si="4"/>
        <v>2036360</v>
      </c>
      <c r="P53" s="232">
        <v>275000</v>
      </c>
      <c r="Q53" s="232">
        <f t="shared" si="2"/>
        <v>2200000</v>
      </c>
    </row>
    <row r="54" spans="2:17">
      <c r="B54" s="200">
        <v>51</v>
      </c>
      <c r="C54" s="214" t="s">
        <v>248</v>
      </c>
      <c r="D54" s="215" t="s">
        <v>244</v>
      </c>
      <c r="E54" s="216" t="s">
        <v>9</v>
      </c>
      <c r="F54" s="217" t="s">
        <v>249</v>
      </c>
      <c r="G54" s="214"/>
      <c r="H54" s="214" t="s">
        <v>246</v>
      </c>
      <c r="I54" s="214"/>
      <c r="J54" s="217" t="s">
        <v>50</v>
      </c>
      <c r="K54" s="214" t="s">
        <v>250</v>
      </c>
      <c r="L54" s="230">
        <v>44299</v>
      </c>
      <c r="M54" s="231">
        <v>254545</v>
      </c>
      <c r="N54" s="214">
        <v>7</v>
      </c>
      <c r="O54" s="232">
        <f t="shared" si="4"/>
        <v>1781815</v>
      </c>
      <c r="P54" s="232">
        <v>275000</v>
      </c>
      <c r="Q54" s="232">
        <f t="shared" si="2"/>
        <v>1925000</v>
      </c>
    </row>
    <row r="55" spans="2:17">
      <c r="B55" s="200">
        <v>52</v>
      </c>
      <c r="C55" s="214" t="s">
        <v>251</v>
      </c>
      <c r="D55" s="215" t="s">
        <v>244</v>
      </c>
      <c r="E55" s="216" t="s">
        <v>9</v>
      </c>
      <c r="F55" s="217" t="s">
        <v>252</v>
      </c>
      <c r="G55" s="214"/>
      <c r="H55" s="214" t="s">
        <v>246</v>
      </c>
      <c r="I55" s="214"/>
      <c r="J55" s="217" t="s">
        <v>50</v>
      </c>
      <c r="K55" s="214" t="s">
        <v>253</v>
      </c>
      <c r="L55" s="230">
        <v>44299</v>
      </c>
      <c r="M55" s="231">
        <v>254545</v>
      </c>
      <c r="N55" s="214">
        <v>7</v>
      </c>
      <c r="O55" s="232">
        <f t="shared" si="4"/>
        <v>1781815</v>
      </c>
      <c r="P55" s="232">
        <v>275000</v>
      </c>
      <c r="Q55" s="232">
        <f t="shared" si="2"/>
        <v>1925000</v>
      </c>
    </row>
    <row r="56" spans="2:17">
      <c r="B56" s="200">
        <v>53</v>
      </c>
      <c r="C56" s="214" t="s">
        <v>254</v>
      </c>
      <c r="D56" s="215" t="s">
        <v>244</v>
      </c>
      <c r="E56" s="216" t="s">
        <v>9</v>
      </c>
      <c r="F56" s="217" t="s">
        <v>255</v>
      </c>
      <c r="G56" s="214"/>
      <c r="H56" s="214" t="s">
        <v>246</v>
      </c>
      <c r="I56" s="214"/>
      <c r="J56" s="217" t="s">
        <v>50</v>
      </c>
      <c r="K56" s="214" t="s">
        <v>256</v>
      </c>
      <c r="L56" s="230">
        <v>44299</v>
      </c>
      <c r="M56" s="231">
        <v>254545</v>
      </c>
      <c r="N56" s="214">
        <v>3</v>
      </c>
      <c r="O56" s="232">
        <f t="shared" si="4"/>
        <v>763635</v>
      </c>
      <c r="P56" s="232">
        <v>275000</v>
      </c>
      <c r="Q56" s="232">
        <f t="shared" si="2"/>
        <v>825000</v>
      </c>
    </row>
    <row r="57" spans="2:17">
      <c r="B57" s="200">
        <v>54</v>
      </c>
      <c r="C57" s="214" t="s">
        <v>257</v>
      </c>
      <c r="D57" s="215" t="s">
        <v>244</v>
      </c>
      <c r="E57" s="216" t="s">
        <v>9</v>
      </c>
      <c r="F57" s="217" t="s">
        <v>126</v>
      </c>
      <c r="G57" s="214"/>
      <c r="H57" s="214" t="s">
        <v>246</v>
      </c>
      <c r="I57" s="214"/>
      <c r="J57" s="217" t="s">
        <v>50</v>
      </c>
      <c r="K57" s="214" t="s">
        <v>258</v>
      </c>
      <c r="L57" s="230">
        <v>44299</v>
      </c>
      <c r="M57" s="231">
        <v>254545</v>
      </c>
      <c r="N57" s="214">
        <v>1</v>
      </c>
      <c r="O57" s="232">
        <f t="shared" si="4"/>
        <v>254545</v>
      </c>
      <c r="P57" s="232">
        <v>275000</v>
      </c>
      <c r="Q57" s="232">
        <f t="shared" si="2"/>
        <v>275000</v>
      </c>
    </row>
    <row r="58" spans="2:17">
      <c r="B58" s="200">
        <v>55</v>
      </c>
      <c r="C58" s="214" t="s">
        <v>259</v>
      </c>
      <c r="D58" s="215" t="s">
        <v>260</v>
      </c>
      <c r="E58" s="216" t="s">
        <v>9</v>
      </c>
      <c r="F58" s="217" t="s">
        <v>261</v>
      </c>
      <c r="G58" s="214"/>
      <c r="H58" s="214" t="s">
        <v>262</v>
      </c>
      <c r="I58" s="214"/>
      <c r="J58" s="217" t="s">
        <v>50</v>
      </c>
      <c r="K58" s="214" t="s">
        <v>263</v>
      </c>
      <c r="L58" s="230">
        <v>44301</v>
      </c>
      <c r="M58" s="231">
        <v>254545</v>
      </c>
      <c r="N58" s="214">
        <v>4</v>
      </c>
      <c r="O58" s="232">
        <f t="shared" ref="O58:O124" si="5">N58*M58</f>
        <v>1018180</v>
      </c>
      <c r="P58" s="232">
        <v>275000</v>
      </c>
      <c r="Q58" s="232">
        <f t="shared" si="2"/>
        <v>1100000</v>
      </c>
    </row>
    <row r="59" spans="2:17">
      <c r="B59" s="200">
        <v>56</v>
      </c>
      <c r="C59" s="214" t="s">
        <v>264</v>
      </c>
      <c r="D59" s="215" t="s">
        <v>260</v>
      </c>
      <c r="E59" s="216" t="s">
        <v>9</v>
      </c>
      <c r="F59" s="217" t="s">
        <v>265</v>
      </c>
      <c r="G59" s="214"/>
      <c r="H59" s="214" t="s">
        <v>262</v>
      </c>
      <c r="I59" s="214"/>
      <c r="J59" s="217" t="s">
        <v>50</v>
      </c>
      <c r="K59" s="214" t="s">
        <v>266</v>
      </c>
      <c r="L59" s="230">
        <v>44301</v>
      </c>
      <c r="M59" s="231">
        <v>254545</v>
      </c>
      <c r="N59" s="214">
        <v>6</v>
      </c>
      <c r="O59" s="232">
        <f t="shared" si="5"/>
        <v>1527270</v>
      </c>
      <c r="P59" s="232">
        <v>275000</v>
      </c>
      <c r="Q59" s="232">
        <f t="shared" si="2"/>
        <v>1650000</v>
      </c>
    </row>
    <row r="60" spans="2:17">
      <c r="B60" s="200">
        <v>57</v>
      </c>
      <c r="C60" s="214" t="s">
        <v>267</v>
      </c>
      <c r="D60" s="215" t="s">
        <v>260</v>
      </c>
      <c r="E60" s="216" t="s">
        <v>9</v>
      </c>
      <c r="F60" s="217" t="s">
        <v>214</v>
      </c>
      <c r="G60" s="214"/>
      <c r="H60" s="214" t="s">
        <v>262</v>
      </c>
      <c r="I60" s="214"/>
      <c r="J60" s="217" t="s">
        <v>50</v>
      </c>
      <c r="K60" s="214" t="s">
        <v>268</v>
      </c>
      <c r="L60" s="230">
        <v>44301</v>
      </c>
      <c r="M60" s="231">
        <v>254545</v>
      </c>
      <c r="N60" s="214">
        <v>7</v>
      </c>
      <c r="O60" s="232">
        <f t="shared" si="5"/>
        <v>1781815</v>
      </c>
      <c r="P60" s="232">
        <v>275000</v>
      </c>
      <c r="Q60" s="232">
        <f t="shared" si="2"/>
        <v>1925000</v>
      </c>
    </row>
    <row r="61" spans="2:17">
      <c r="B61" s="200">
        <v>58</v>
      </c>
      <c r="C61" s="214" t="s">
        <v>269</v>
      </c>
      <c r="D61" s="215" t="s">
        <v>260</v>
      </c>
      <c r="E61" s="216" t="s">
        <v>9</v>
      </c>
      <c r="F61" s="217" t="s">
        <v>270</v>
      </c>
      <c r="G61" s="214"/>
      <c r="H61" s="214" t="s">
        <v>262</v>
      </c>
      <c r="I61" s="214"/>
      <c r="J61" s="217" t="s">
        <v>50</v>
      </c>
      <c r="K61" s="214" t="s">
        <v>271</v>
      </c>
      <c r="L61" s="230">
        <v>44301</v>
      </c>
      <c r="M61" s="231">
        <v>254545</v>
      </c>
      <c r="N61" s="214">
        <v>5</v>
      </c>
      <c r="O61" s="232">
        <f t="shared" si="5"/>
        <v>1272725</v>
      </c>
      <c r="P61" s="232">
        <v>275000</v>
      </c>
      <c r="Q61" s="232">
        <f t="shared" si="2"/>
        <v>1375000</v>
      </c>
    </row>
    <row r="62" spans="2:17">
      <c r="B62" s="200">
        <v>59</v>
      </c>
      <c r="C62" s="214" t="s">
        <v>272</v>
      </c>
      <c r="D62" s="215" t="s">
        <v>273</v>
      </c>
      <c r="E62" s="216" t="s">
        <v>9</v>
      </c>
      <c r="F62" s="217" t="s">
        <v>274</v>
      </c>
      <c r="G62" s="214"/>
      <c r="H62" s="214" t="s">
        <v>275</v>
      </c>
      <c r="I62" s="214"/>
      <c r="J62" s="217" t="s">
        <v>50</v>
      </c>
      <c r="K62" s="214" t="s">
        <v>276</v>
      </c>
      <c r="L62" s="230">
        <v>44302</v>
      </c>
      <c r="M62" s="231">
        <v>254545</v>
      </c>
      <c r="N62" s="214">
        <v>8</v>
      </c>
      <c r="O62" s="232">
        <f t="shared" si="5"/>
        <v>2036360</v>
      </c>
      <c r="P62" s="232">
        <v>275000</v>
      </c>
      <c r="Q62" s="232">
        <f t="shared" si="2"/>
        <v>2200000</v>
      </c>
    </row>
    <row r="63" spans="2:17">
      <c r="B63" s="200">
        <v>60</v>
      </c>
      <c r="C63" s="214" t="s">
        <v>277</v>
      </c>
      <c r="D63" s="215" t="s">
        <v>273</v>
      </c>
      <c r="E63" s="216" t="s">
        <v>9</v>
      </c>
      <c r="F63" s="217" t="s">
        <v>278</v>
      </c>
      <c r="G63" s="214"/>
      <c r="H63" s="214" t="s">
        <v>275</v>
      </c>
      <c r="I63" s="214"/>
      <c r="J63" s="217" t="s">
        <v>50</v>
      </c>
      <c r="K63" s="214" t="s">
        <v>279</v>
      </c>
      <c r="L63" s="230">
        <v>44302</v>
      </c>
      <c r="M63" s="231">
        <v>254545</v>
      </c>
      <c r="N63" s="214">
        <v>10</v>
      </c>
      <c r="O63" s="232">
        <f t="shared" si="5"/>
        <v>2545450</v>
      </c>
      <c r="P63" s="232">
        <v>275000</v>
      </c>
      <c r="Q63" s="232">
        <f t="shared" si="2"/>
        <v>2750000</v>
      </c>
    </row>
    <row r="64" spans="2:17">
      <c r="B64" s="200">
        <v>61</v>
      </c>
      <c r="C64" s="214" t="s">
        <v>280</v>
      </c>
      <c r="D64" s="215">
        <v>22100000727</v>
      </c>
      <c r="E64" s="216"/>
      <c r="F64" s="217" t="s">
        <v>281</v>
      </c>
      <c r="G64" s="214"/>
      <c r="H64" s="214" t="s">
        <v>282</v>
      </c>
      <c r="I64" s="214"/>
      <c r="J64" s="217" t="s">
        <v>63</v>
      </c>
      <c r="K64" s="214" t="s">
        <v>283</v>
      </c>
      <c r="L64" s="230">
        <v>44305</v>
      </c>
      <c r="M64" s="231">
        <v>92727</v>
      </c>
      <c r="N64" s="214">
        <v>70</v>
      </c>
      <c r="O64" s="232">
        <f t="shared" si="5"/>
        <v>6490890</v>
      </c>
      <c r="P64" s="232">
        <v>185100</v>
      </c>
      <c r="Q64" s="232">
        <f t="shared" si="2"/>
        <v>12957000</v>
      </c>
    </row>
    <row r="65" spans="2:17">
      <c r="B65" s="200">
        <v>62</v>
      </c>
      <c r="C65" s="214" t="s">
        <v>284</v>
      </c>
      <c r="D65" s="215" t="s">
        <v>285</v>
      </c>
      <c r="E65" s="216" t="s">
        <v>9</v>
      </c>
      <c r="F65" s="217" t="s">
        <v>286</v>
      </c>
      <c r="G65" s="214"/>
      <c r="H65" s="214" t="s">
        <v>287</v>
      </c>
      <c r="I65" s="214"/>
      <c r="J65" s="217" t="s">
        <v>50</v>
      </c>
      <c r="K65" s="214" t="s">
        <v>288</v>
      </c>
      <c r="L65" s="230">
        <v>44307</v>
      </c>
      <c r="M65" s="231">
        <v>254545</v>
      </c>
      <c r="N65" s="214">
        <v>6</v>
      </c>
      <c r="O65" s="232">
        <f t="shared" si="5"/>
        <v>1527270</v>
      </c>
      <c r="P65" s="232">
        <v>275000</v>
      </c>
      <c r="Q65" s="232">
        <f t="shared" si="2"/>
        <v>1650000</v>
      </c>
    </row>
    <row r="66" spans="2:17">
      <c r="B66" s="200">
        <v>63</v>
      </c>
      <c r="C66" s="214" t="s">
        <v>289</v>
      </c>
      <c r="D66" s="215" t="s">
        <v>285</v>
      </c>
      <c r="E66" s="216" t="s">
        <v>9</v>
      </c>
      <c r="F66" s="217" t="s">
        <v>290</v>
      </c>
      <c r="G66" s="214"/>
      <c r="H66" s="214" t="s">
        <v>287</v>
      </c>
      <c r="I66" s="214"/>
      <c r="J66" s="217" t="s">
        <v>50</v>
      </c>
      <c r="K66" s="214" t="s">
        <v>291</v>
      </c>
      <c r="L66" s="230">
        <v>44307</v>
      </c>
      <c r="M66" s="231">
        <v>254545</v>
      </c>
      <c r="N66" s="214">
        <v>4</v>
      </c>
      <c r="O66" s="232">
        <f t="shared" si="5"/>
        <v>1018180</v>
      </c>
      <c r="P66" s="232">
        <v>275000</v>
      </c>
      <c r="Q66" s="232">
        <f t="shared" si="2"/>
        <v>1100000</v>
      </c>
    </row>
    <row r="67" spans="2:17">
      <c r="B67" s="200">
        <v>64</v>
      </c>
      <c r="C67" s="214" t="s">
        <v>292</v>
      </c>
      <c r="D67" s="215" t="s">
        <v>285</v>
      </c>
      <c r="E67" s="216" t="s">
        <v>9</v>
      </c>
      <c r="F67" s="217" t="s">
        <v>293</v>
      </c>
      <c r="G67" s="214"/>
      <c r="H67" s="214" t="s">
        <v>287</v>
      </c>
      <c r="I67" s="214"/>
      <c r="J67" s="217" t="s">
        <v>50</v>
      </c>
      <c r="K67" s="214" t="s">
        <v>294</v>
      </c>
      <c r="L67" s="230">
        <v>44307</v>
      </c>
      <c r="M67" s="231">
        <v>254545</v>
      </c>
      <c r="N67" s="214">
        <v>3</v>
      </c>
      <c r="O67" s="232">
        <f t="shared" si="5"/>
        <v>763635</v>
      </c>
      <c r="P67" s="232">
        <v>275000</v>
      </c>
      <c r="Q67" s="232">
        <f t="shared" si="2"/>
        <v>825000</v>
      </c>
    </row>
    <row r="68" spans="2:17">
      <c r="B68" s="200">
        <v>65</v>
      </c>
      <c r="C68" s="214" t="s">
        <v>295</v>
      </c>
      <c r="D68" s="215" t="s">
        <v>285</v>
      </c>
      <c r="E68" s="216" t="s">
        <v>9</v>
      </c>
      <c r="F68" s="217" t="s">
        <v>296</v>
      </c>
      <c r="G68" s="214"/>
      <c r="H68" s="214" t="s">
        <v>287</v>
      </c>
      <c r="I68" s="214"/>
      <c r="J68" s="217" t="s">
        <v>50</v>
      </c>
      <c r="K68" s="214" t="s">
        <v>297</v>
      </c>
      <c r="L68" s="230">
        <v>44307</v>
      </c>
      <c r="M68" s="231">
        <v>254545</v>
      </c>
      <c r="N68" s="214">
        <v>5</v>
      </c>
      <c r="O68" s="232">
        <f t="shared" si="5"/>
        <v>1272725</v>
      </c>
      <c r="P68" s="232">
        <v>275000</v>
      </c>
      <c r="Q68" s="232">
        <f t="shared" si="2"/>
        <v>1375000</v>
      </c>
    </row>
    <row r="69" spans="2:17">
      <c r="B69" s="200">
        <v>66</v>
      </c>
      <c r="C69" s="214" t="s">
        <v>298</v>
      </c>
      <c r="D69" s="215" t="s">
        <v>285</v>
      </c>
      <c r="E69" s="216" t="s">
        <v>9</v>
      </c>
      <c r="F69" s="217" t="s">
        <v>299</v>
      </c>
      <c r="G69" s="214"/>
      <c r="H69" s="214" t="s">
        <v>287</v>
      </c>
      <c r="I69" s="214"/>
      <c r="J69" s="217" t="s">
        <v>50</v>
      </c>
      <c r="K69" s="214" t="s">
        <v>300</v>
      </c>
      <c r="L69" s="230">
        <v>44307</v>
      </c>
      <c r="M69" s="231">
        <v>254545</v>
      </c>
      <c r="N69" s="214">
        <v>3</v>
      </c>
      <c r="O69" s="232">
        <f t="shared" si="5"/>
        <v>763635</v>
      </c>
      <c r="P69" s="232">
        <v>275000</v>
      </c>
      <c r="Q69" s="232">
        <f t="shared" si="2"/>
        <v>825000</v>
      </c>
    </row>
    <row r="70" spans="2:17">
      <c r="B70" s="200">
        <v>67</v>
      </c>
      <c r="C70" s="214" t="s">
        <v>301</v>
      </c>
      <c r="D70" s="215">
        <v>78868</v>
      </c>
      <c r="E70" s="216" t="s">
        <v>17</v>
      </c>
      <c r="F70" s="217" t="s">
        <v>114</v>
      </c>
      <c r="G70" s="214"/>
      <c r="H70" s="214" t="s">
        <v>302</v>
      </c>
      <c r="I70" s="214"/>
      <c r="J70" s="217" t="s">
        <v>85</v>
      </c>
      <c r="K70" s="214" t="s">
        <v>303</v>
      </c>
      <c r="L70" s="230">
        <v>44307</v>
      </c>
      <c r="M70" s="231">
        <v>222727</v>
      </c>
      <c r="N70" s="214">
        <v>4</v>
      </c>
      <c r="O70" s="232">
        <f t="shared" si="5"/>
        <v>890908</v>
      </c>
      <c r="P70" s="232">
        <v>279090.90999999997</v>
      </c>
      <c r="Q70" s="232">
        <f t="shared" si="2"/>
        <v>1116363.6399999999</v>
      </c>
    </row>
    <row r="71" spans="2:17">
      <c r="B71" s="200">
        <v>68</v>
      </c>
      <c r="C71" s="214" t="s">
        <v>304</v>
      </c>
      <c r="D71" s="215">
        <v>78868</v>
      </c>
      <c r="E71" s="216" t="s">
        <v>17</v>
      </c>
      <c r="F71" s="217" t="s">
        <v>114</v>
      </c>
      <c r="G71" s="214"/>
      <c r="H71" s="214" t="s">
        <v>305</v>
      </c>
      <c r="I71" s="214"/>
      <c r="J71" s="217" t="s">
        <v>85</v>
      </c>
      <c r="K71" s="214" t="s">
        <v>306</v>
      </c>
      <c r="L71" s="230">
        <v>44307</v>
      </c>
      <c r="M71" s="231">
        <v>171818</v>
      </c>
      <c r="N71" s="214">
        <v>9</v>
      </c>
      <c r="O71" s="232">
        <f t="shared" si="5"/>
        <v>1546362</v>
      </c>
      <c r="P71" s="232">
        <v>279090.90999999997</v>
      </c>
      <c r="Q71" s="232">
        <f t="shared" si="2"/>
        <v>2511818.19</v>
      </c>
    </row>
    <row r="72" spans="2:17">
      <c r="B72" s="200">
        <v>69</v>
      </c>
      <c r="C72" s="214" t="s">
        <v>307</v>
      </c>
      <c r="D72" s="215">
        <v>78868</v>
      </c>
      <c r="E72" s="216" t="s">
        <v>17</v>
      </c>
      <c r="F72" s="217" t="s">
        <v>114</v>
      </c>
      <c r="G72" s="214"/>
      <c r="H72" s="214" t="s">
        <v>308</v>
      </c>
      <c r="I72" s="214"/>
      <c r="J72" s="217" t="s">
        <v>85</v>
      </c>
      <c r="K72" s="214" t="s">
        <v>309</v>
      </c>
      <c r="L72" s="230">
        <v>44307</v>
      </c>
      <c r="M72" s="231">
        <v>222727</v>
      </c>
      <c r="N72" s="214">
        <v>5</v>
      </c>
      <c r="O72" s="232">
        <f t="shared" si="5"/>
        <v>1113635</v>
      </c>
      <c r="P72" s="232">
        <v>279090.90999999997</v>
      </c>
      <c r="Q72" s="232">
        <f t="shared" si="2"/>
        <v>1395454.5499999998</v>
      </c>
    </row>
    <row r="73" spans="2:17">
      <c r="B73" s="200">
        <v>70</v>
      </c>
      <c r="C73" s="214" t="s">
        <v>310</v>
      </c>
      <c r="D73" s="215">
        <v>78868</v>
      </c>
      <c r="E73" s="216" t="s">
        <v>17</v>
      </c>
      <c r="F73" s="217" t="s">
        <v>114</v>
      </c>
      <c r="G73" s="214"/>
      <c r="H73" s="214" t="s">
        <v>302</v>
      </c>
      <c r="I73" s="214"/>
      <c r="J73" s="217" t="s">
        <v>92</v>
      </c>
      <c r="K73" s="214" t="s">
        <v>311</v>
      </c>
      <c r="L73" s="230">
        <v>44307</v>
      </c>
      <c r="M73" s="231">
        <v>46364</v>
      </c>
      <c r="N73" s="214">
        <v>4</v>
      </c>
      <c r="O73" s="232">
        <f t="shared" si="5"/>
        <v>185456</v>
      </c>
      <c r="P73" s="232">
        <v>58181.82</v>
      </c>
      <c r="Q73" s="232">
        <f t="shared" si="2"/>
        <v>232727.28</v>
      </c>
    </row>
    <row r="74" spans="2:17">
      <c r="B74" s="200">
        <v>71</v>
      </c>
      <c r="C74" s="214" t="s">
        <v>312</v>
      </c>
      <c r="D74" s="215">
        <v>78868</v>
      </c>
      <c r="E74" s="216" t="s">
        <v>17</v>
      </c>
      <c r="F74" s="217" t="s">
        <v>114</v>
      </c>
      <c r="G74" s="214"/>
      <c r="H74" s="214" t="s">
        <v>308</v>
      </c>
      <c r="I74" s="214"/>
      <c r="J74" s="217" t="s">
        <v>92</v>
      </c>
      <c r="K74" s="214" t="s">
        <v>313</v>
      </c>
      <c r="L74" s="230">
        <v>44307</v>
      </c>
      <c r="M74" s="231">
        <v>46364</v>
      </c>
      <c r="N74" s="214">
        <v>5</v>
      </c>
      <c r="O74" s="232">
        <f t="shared" si="5"/>
        <v>231820</v>
      </c>
      <c r="P74" s="232">
        <v>58181.82</v>
      </c>
      <c r="Q74" s="232">
        <f t="shared" si="2"/>
        <v>290909.09999999998</v>
      </c>
    </row>
    <row r="75" spans="2:17">
      <c r="B75" s="200">
        <v>72</v>
      </c>
      <c r="C75" s="214" t="s">
        <v>314</v>
      </c>
      <c r="D75" s="215" t="s">
        <v>315</v>
      </c>
      <c r="E75" s="216" t="s">
        <v>5</v>
      </c>
      <c r="F75" s="217" t="s">
        <v>131</v>
      </c>
      <c r="G75" s="214"/>
      <c r="H75" s="214" t="s">
        <v>316</v>
      </c>
      <c r="I75" s="214"/>
      <c r="J75" s="217" t="s">
        <v>50</v>
      </c>
      <c r="K75" s="214" t="s">
        <v>317</v>
      </c>
      <c r="L75" s="230">
        <v>44308</v>
      </c>
      <c r="M75" s="231">
        <v>444545</v>
      </c>
      <c r="N75" s="214">
        <v>157</v>
      </c>
      <c r="O75" s="232">
        <f t="shared" si="5"/>
        <v>69793565</v>
      </c>
      <c r="P75" s="232">
        <v>545455</v>
      </c>
      <c r="Q75" s="232">
        <f t="shared" si="2"/>
        <v>85636435</v>
      </c>
    </row>
    <row r="76" spans="2:17">
      <c r="B76" s="200">
        <v>73</v>
      </c>
      <c r="C76" s="214" t="s">
        <v>318</v>
      </c>
      <c r="D76" s="215" t="s">
        <v>319</v>
      </c>
      <c r="E76" s="216" t="s">
        <v>11</v>
      </c>
      <c r="F76" s="217" t="s">
        <v>320</v>
      </c>
      <c r="G76" s="214"/>
      <c r="H76" s="214" t="s">
        <v>321</v>
      </c>
      <c r="I76" s="214"/>
      <c r="J76" s="217" t="s">
        <v>85</v>
      </c>
      <c r="K76" s="214" t="s">
        <v>322</v>
      </c>
      <c r="L76" s="230">
        <v>44309</v>
      </c>
      <c r="M76" s="231">
        <v>222727</v>
      </c>
      <c r="N76" s="214">
        <v>25</v>
      </c>
      <c r="O76" s="232">
        <f t="shared" si="5"/>
        <v>5568175</v>
      </c>
      <c r="P76" s="232">
        <v>279090.90999999997</v>
      </c>
      <c r="Q76" s="232">
        <f t="shared" si="2"/>
        <v>6977272.7499999991</v>
      </c>
    </row>
    <row r="77" spans="2:17">
      <c r="B77" s="200">
        <v>74</v>
      </c>
      <c r="C77" s="214" t="s">
        <v>323</v>
      </c>
      <c r="D77" s="215" t="s">
        <v>324</v>
      </c>
      <c r="E77" s="216" t="s">
        <v>20</v>
      </c>
      <c r="F77" s="217" t="s">
        <v>325</v>
      </c>
      <c r="G77" s="214"/>
      <c r="H77" s="214" t="s">
        <v>326</v>
      </c>
      <c r="I77" s="214"/>
      <c r="J77" s="217" t="s">
        <v>63</v>
      </c>
      <c r="K77" s="214" t="s">
        <v>327</v>
      </c>
      <c r="L77" s="230">
        <v>44309</v>
      </c>
      <c r="M77" s="231">
        <v>92727</v>
      </c>
      <c r="N77" s="214">
        <v>250</v>
      </c>
      <c r="O77" s="232">
        <f t="shared" si="5"/>
        <v>23181750</v>
      </c>
      <c r="P77" s="232">
        <v>135273</v>
      </c>
      <c r="Q77" s="232">
        <f t="shared" si="2"/>
        <v>33818250</v>
      </c>
    </row>
    <row r="78" spans="2:17">
      <c r="B78" s="200">
        <v>75</v>
      </c>
      <c r="C78" s="233" t="s">
        <v>328</v>
      </c>
      <c r="D78" s="234" t="s">
        <v>329</v>
      </c>
      <c r="E78" s="235" t="s">
        <v>9</v>
      </c>
      <c r="F78" s="236" t="s">
        <v>330</v>
      </c>
      <c r="G78" s="233"/>
      <c r="H78" s="233" t="s">
        <v>331</v>
      </c>
      <c r="I78" s="233"/>
      <c r="J78" s="236" t="s">
        <v>50</v>
      </c>
      <c r="K78" s="233" t="s">
        <v>332</v>
      </c>
      <c r="L78" s="245">
        <v>44307</v>
      </c>
      <c r="M78" s="246">
        <v>254545</v>
      </c>
      <c r="N78" s="233">
        <v>1</v>
      </c>
      <c r="O78" s="247">
        <f t="shared" si="5"/>
        <v>254545</v>
      </c>
      <c r="P78" s="247">
        <v>275000</v>
      </c>
      <c r="Q78" s="247">
        <f t="shared" si="2"/>
        <v>275000</v>
      </c>
    </row>
    <row r="79" spans="2:17">
      <c r="B79" s="200">
        <v>76</v>
      </c>
      <c r="C79" s="233" t="s">
        <v>333</v>
      </c>
      <c r="D79" s="234" t="s">
        <v>329</v>
      </c>
      <c r="E79" s="235" t="s">
        <v>9</v>
      </c>
      <c r="F79" s="236" t="s">
        <v>334</v>
      </c>
      <c r="G79" s="233"/>
      <c r="H79" s="233" t="s">
        <v>331</v>
      </c>
      <c r="I79" s="233"/>
      <c r="J79" s="236" t="s">
        <v>50</v>
      </c>
      <c r="K79" s="233" t="s">
        <v>335</v>
      </c>
      <c r="L79" s="245">
        <v>44307</v>
      </c>
      <c r="M79" s="246">
        <v>254545</v>
      </c>
      <c r="N79" s="233">
        <v>4</v>
      </c>
      <c r="O79" s="247">
        <f t="shared" si="5"/>
        <v>1018180</v>
      </c>
      <c r="P79" s="247">
        <v>275000</v>
      </c>
      <c r="Q79" s="247">
        <f t="shared" si="2"/>
        <v>1100000</v>
      </c>
    </row>
    <row r="80" spans="2:17">
      <c r="B80" s="200">
        <v>77</v>
      </c>
      <c r="C80" s="233" t="s">
        <v>336</v>
      </c>
      <c r="D80" s="234" t="s">
        <v>329</v>
      </c>
      <c r="E80" s="235" t="s">
        <v>9</v>
      </c>
      <c r="F80" s="236" t="s">
        <v>337</v>
      </c>
      <c r="G80" s="233"/>
      <c r="H80" s="233" t="s">
        <v>331</v>
      </c>
      <c r="I80" s="233"/>
      <c r="J80" s="236" t="s">
        <v>50</v>
      </c>
      <c r="K80" s="233" t="s">
        <v>338</v>
      </c>
      <c r="L80" s="245">
        <v>44307</v>
      </c>
      <c r="M80" s="246">
        <v>254545</v>
      </c>
      <c r="N80" s="233">
        <v>6</v>
      </c>
      <c r="O80" s="247">
        <f t="shared" si="5"/>
        <v>1527270</v>
      </c>
      <c r="P80" s="247">
        <v>275000</v>
      </c>
      <c r="Q80" s="247">
        <f t="shared" ref="Q80:Q143" si="6">P80*N80</f>
        <v>1650000</v>
      </c>
    </row>
    <row r="81" spans="2:17">
      <c r="B81" s="200">
        <v>78</v>
      </c>
      <c r="C81" s="233" t="s">
        <v>339</v>
      </c>
      <c r="D81" s="234" t="s">
        <v>340</v>
      </c>
      <c r="E81" s="235" t="s">
        <v>11</v>
      </c>
      <c r="F81" s="236" t="s">
        <v>320</v>
      </c>
      <c r="G81" s="233"/>
      <c r="H81" s="233" t="s">
        <v>341</v>
      </c>
      <c r="I81" s="233"/>
      <c r="J81" s="236" t="s">
        <v>50</v>
      </c>
      <c r="K81" s="233" t="s">
        <v>342</v>
      </c>
      <c r="L81" s="245">
        <v>44335</v>
      </c>
      <c r="M81" s="246">
        <v>444545</v>
      </c>
      <c r="N81" s="233">
        <v>1</v>
      </c>
      <c r="O81" s="247">
        <f t="shared" si="5"/>
        <v>444545</v>
      </c>
      <c r="P81" s="247">
        <v>556363.63</v>
      </c>
      <c r="Q81" s="247">
        <f t="shared" si="6"/>
        <v>556363.63</v>
      </c>
    </row>
    <row r="82" spans="2:17">
      <c r="B82" s="200">
        <v>79</v>
      </c>
      <c r="C82" s="233" t="s">
        <v>343</v>
      </c>
      <c r="D82" s="234" t="s">
        <v>344</v>
      </c>
      <c r="E82" s="235" t="s">
        <v>82</v>
      </c>
      <c r="F82" s="236" t="s">
        <v>83</v>
      </c>
      <c r="G82" s="233"/>
      <c r="H82" s="233" t="s">
        <v>345</v>
      </c>
      <c r="I82" s="233"/>
      <c r="J82" s="236" t="s">
        <v>85</v>
      </c>
      <c r="K82" s="233" t="s">
        <v>346</v>
      </c>
      <c r="L82" s="245">
        <v>44335</v>
      </c>
      <c r="M82" s="246">
        <v>222727</v>
      </c>
      <c r="N82" s="233">
        <v>350</v>
      </c>
      <c r="O82" s="247">
        <f t="shared" si="5"/>
        <v>77954450</v>
      </c>
      <c r="P82" s="247">
        <v>279090.90999999997</v>
      </c>
      <c r="Q82" s="247">
        <f t="shared" si="6"/>
        <v>97681818.499999985</v>
      </c>
    </row>
    <row r="83" spans="2:17">
      <c r="B83" s="200">
        <v>80</v>
      </c>
      <c r="C83" s="233" t="s">
        <v>347</v>
      </c>
      <c r="D83" s="234" t="s">
        <v>348</v>
      </c>
      <c r="E83" s="235" t="s">
        <v>9</v>
      </c>
      <c r="F83" s="236" t="s">
        <v>349</v>
      </c>
      <c r="G83" s="233"/>
      <c r="H83" s="233" t="s">
        <v>350</v>
      </c>
      <c r="I83" s="233"/>
      <c r="J83" s="236" t="s">
        <v>50</v>
      </c>
      <c r="K83" s="233" t="s">
        <v>351</v>
      </c>
      <c r="L83" s="245">
        <v>44336</v>
      </c>
      <c r="M83" s="246">
        <v>254545</v>
      </c>
      <c r="N83" s="233">
        <v>2</v>
      </c>
      <c r="O83" s="247">
        <f t="shared" si="5"/>
        <v>509090</v>
      </c>
      <c r="P83" s="247">
        <v>275000</v>
      </c>
      <c r="Q83" s="247">
        <f t="shared" si="6"/>
        <v>550000</v>
      </c>
    </row>
    <row r="84" spans="2:17">
      <c r="B84" s="200">
        <v>81</v>
      </c>
      <c r="C84" s="237" t="s">
        <v>352</v>
      </c>
      <c r="D84" s="238" t="s">
        <v>353</v>
      </c>
      <c r="E84" s="239" t="s">
        <v>9</v>
      </c>
      <c r="F84" s="240" t="s">
        <v>354</v>
      </c>
      <c r="G84" s="237"/>
      <c r="H84" s="237" t="s">
        <v>355</v>
      </c>
      <c r="I84" s="237"/>
      <c r="J84" s="240" t="s">
        <v>50</v>
      </c>
      <c r="K84" s="237" t="s">
        <v>356</v>
      </c>
      <c r="L84" s="248">
        <v>44349</v>
      </c>
      <c r="M84" s="249">
        <v>254545</v>
      </c>
      <c r="N84" s="237">
        <v>1</v>
      </c>
      <c r="O84" s="250">
        <f t="shared" si="5"/>
        <v>254545</v>
      </c>
      <c r="P84" s="250">
        <v>275000</v>
      </c>
      <c r="Q84" s="250">
        <f t="shared" si="6"/>
        <v>275000</v>
      </c>
    </row>
    <row r="85" spans="2:17">
      <c r="B85" s="200">
        <v>82</v>
      </c>
      <c r="C85" s="237" t="s">
        <v>357</v>
      </c>
      <c r="D85" s="238" t="s">
        <v>353</v>
      </c>
      <c r="E85" s="239" t="s">
        <v>9</v>
      </c>
      <c r="F85" s="240" t="s">
        <v>358</v>
      </c>
      <c r="G85" s="237"/>
      <c r="H85" s="237" t="s">
        <v>355</v>
      </c>
      <c r="I85" s="237"/>
      <c r="J85" s="240" t="s">
        <v>50</v>
      </c>
      <c r="K85" s="237" t="s">
        <v>359</v>
      </c>
      <c r="L85" s="248">
        <v>44349</v>
      </c>
      <c r="M85" s="249">
        <v>254545</v>
      </c>
      <c r="N85" s="237">
        <v>7</v>
      </c>
      <c r="O85" s="250">
        <f t="shared" si="5"/>
        <v>1781815</v>
      </c>
      <c r="P85" s="250">
        <v>275000</v>
      </c>
      <c r="Q85" s="250">
        <f t="shared" si="6"/>
        <v>1925000</v>
      </c>
    </row>
    <row r="86" spans="2:17">
      <c r="B86" s="200">
        <v>83</v>
      </c>
      <c r="C86" s="237" t="s">
        <v>360</v>
      </c>
      <c r="D86" s="238" t="s">
        <v>353</v>
      </c>
      <c r="E86" s="239" t="s">
        <v>9</v>
      </c>
      <c r="F86" s="240" t="s">
        <v>361</v>
      </c>
      <c r="G86" s="237"/>
      <c r="H86" s="237" t="s">
        <v>355</v>
      </c>
      <c r="I86" s="237"/>
      <c r="J86" s="240" t="s">
        <v>50</v>
      </c>
      <c r="K86" s="237" t="s">
        <v>362</v>
      </c>
      <c r="L86" s="248">
        <v>44349</v>
      </c>
      <c r="M86" s="249">
        <v>254545</v>
      </c>
      <c r="N86" s="237">
        <v>1</v>
      </c>
      <c r="O86" s="250">
        <f t="shared" si="5"/>
        <v>254545</v>
      </c>
      <c r="P86" s="250">
        <v>275000</v>
      </c>
      <c r="Q86" s="250">
        <f t="shared" si="6"/>
        <v>275000</v>
      </c>
    </row>
    <row r="87" spans="2:17">
      <c r="B87" s="200">
        <v>84</v>
      </c>
      <c r="C87" s="237" t="s">
        <v>363</v>
      </c>
      <c r="D87" s="238" t="s">
        <v>353</v>
      </c>
      <c r="E87" s="239" t="s">
        <v>9</v>
      </c>
      <c r="F87" s="240" t="s">
        <v>364</v>
      </c>
      <c r="G87" s="237"/>
      <c r="H87" s="237" t="s">
        <v>355</v>
      </c>
      <c r="I87" s="237"/>
      <c r="J87" s="240" t="s">
        <v>50</v>
      </c>
      <c r="K87" s="237" t="s">
        <v>365</v>
      </c>
      <c r="L87" s="248">
        <v>44349</v>
      </c>
      <c r="M87" s="249">
        <v>254545</v>
      </c>
      <c r="N87" s="237">
        <v>6</v>
      </c>
      <c r="O87" s="250">
        <f t="shared" si="5"/>
        <v>1527270</v>
      </c>
      <c r="P87" s="250">
        <v>275000</v>
      </c>
      <c r="Q87" s="250">
        <f t="shared" si="6"/>
        <v>1650000</v>
      </c>
    </row>
    <row r="88" spans="2:17">
      <c r="B88" s="200">
        <v>85</v>
      </c>
      <c r="C88" s="237" t="s">
        <v>366</v>
      </c>
      <c r="D88" s="238" t="s">
        <v>367</v>
      </c>
      <c r="E88" s="239" t="s">
        <v>9</v>
      </c>
      <c r="F88" s="240" t="s">
        <v>368</v>
      </c>
      <c r="G88" s="237"/>
      <c r="H88" s="237" t="s">
        <v>369</v>
      </c>
      <c r="I88" s="237"/>
      <c r="J88" s="240" t="s">
        <v>50</v>
      </c>
      <c r="K88" s="237" t="s">
        <v>370</v>
      </c>
      <c r="L88" s="248">
        <v>44357</v>
      </c>
      <c r="M88" s="249">
        <v>254545</v>
      </c>
      <c r="N88" s="237">
        <v>2</v>
      </c>
      <c r="O88" s="250">
        <f t="shared" si="5"/>
        <v>509090</v>
      </c>
      <c r="P88" s="250">
        <v>275000</v>
      </c>
      <c r="Q88" s="250">
        <f t="shared" si="6"/>
        <v>550000</v>
      </c>
    </row>
    <row r="89" spans="2:17">
      <c r="B89" s="200">
        <v>86</v>
      </c>
      <c r="C89" s="237" t="s">
        <v>371</v>
      </c>
      <c r="D89" s="238" t="s">
        <v>367</v>
      </c>
      <c r="E89" s="239" t="s">
        <v>9</v>
      </c>
      <c r="F89" s="240" t="s">
        <v>372</v>
      </c>
      <c r="G89" s="237"/>
      <c r="H89" s="237" t="s">
        <v>369</v>
      </c>
      <c r="I89" s="237"/>
      <c r="J89" s="240" t="s">
        <v>50</v>
      </c>
      <c r="K89" s="237" t="s">
        <v>373</v>
      </c>
      <c r="L89" s="248">
        <v>44357</v>
      </c>
      <c r="M89" s="249">
        <v>254545</v>
      </c>
      <c r="N89" s="237">
        <v>1</v>
      </c>
      <c r="O89" s="250">
        <f t="shared" si="5"/>
        <v>254545</v>
      </c>
      <c r="P89" s="250">
        <v>275000</v>
      </c>
      <c r="Q89" s="250">
        <f t="shared" si="6"/>
        <v>275000</v>
      </c>
    </row>
    <row r="90" spans="2:17">
      <c r="B90" s="200">
        <v>87</v>
      </c>
      <c r="C90" s="237" t="s">
        <v>374</v>
      </c>
      <c r="D90" s="238" t="s">
        <v>375</v>
      </c>
      <c r="E90" s="239" t="s">
        <v>17</v>
      </c>
      <c r="F90" s="240" t="s">
        <v>114</v>
      </c>
      <c r="G90" s="237"/>
      <c r="H90" s="237" t="s">
        <v>376</v>
      </c>
      <c r="I90" s="237"/>
      <c r="J90" s="240" t="s">
        <v>85</v>
      </c>
      <c r="K90" s="237" t="s">
        <v>377</v>
      </c>
      <c r="L90" s="248">
        <v>44361</v>
      </c>
      <c r="M90" s="249">
        <v>222727</v>
      </c>
      <c r="N90" s="237">
        <v>1</v>
      </c>
      <c r="O90" s="250">
        <f t="shared" si="5"/>
        <v>222727</v>
      </c>
      <c r="P90" s="250">
        <v>279090.90999999997</v>
      </c>
      <c r="Q90" s="250">
        <f t="shared" si="6"/>
        <v>279090.90999999997</v>
      </c>
    </row>
    <row r="91" spans="2:17">
      <c r="B91" s="200">
        <v>88</v>
      </c>
      <c r="C91" s="237" t="s">
        <v>378</v>
      </c>
      <c r="D91" s="238" t="s">
        <v>375</v>
      </c>
      <c r="E91" s="239" t="s">
        <v>17</v>
      </c>
      <c r="F91" s="240" t="s">
        <v>114</v>
      </c>
      <c r="G91" s="237"/>
      <c r="H91" s="237" t="s">
        <v>379</v>
      </c>
      <c r="I91" s="237"/>
      <c r="J91" s="240" t="s">
        <v>85</v>
      </c>
      <c r="K91" s="237" t="s">
        <v>380</v>
      </c>
      <c r="L91" s="248">
        <v>44361</v>
      </c>
      <c r="M91" s="249">
        <v>222727</v>
      </c>
      <c r="N91" s="237">
        <v>11</v>
      </c>
      <c r="O91" s="250">
        <f t="shared" si="5"/>
        <v>2449997</v>
      </c>
      <c r="P91" s="250">
        <v>279090.90999999997</v>
      </c>
      <c r="Q91" s="250">
        <f t="shared" si="6"/>
        <v>3070000.01</v>
      </c>
    </row>
    <row r="92" spans="2:17">
      <c r="B92" s="200">
        <v>89</v>
      </c>
      <c r="C92" s="237" t="s">
        <v>381</v>
      </c>
      <c r="D92" s="238" t="s">
        <v>375</v>
      </c>
      <c r="E92" s="239" t="s">
        <v>17</v>
      </c>
      <c r="F92" s="240" t="s">
        <v>114</v>
      </c>
      <c r="G92" s="237"/>
      <c r="H92" s="237" t="s">
        <v>382</v>
      </c>
      <c r="I92" s="237"/>
      <c r="J92" s="240" t="s">
        <v>92</v>
      </c>
      <c r="K92" s="237" t="s">
        <v>383</v>
      </c>
      <c r="L92" s="248">
        <v>44361</v>
      </c>
      <c r="M92" s="249">
        <v>46364</v>
      </c>
      <c r="N92" s="237">
        <v>3</v>
      </c>
      <c r="O92" s="250">
        <f t="shared" si="5"/>
        <v>139092</v>
      </c>
      <c r="P92" s="250">
        <v>58181.82</v>
      </c>
      <c r="Q92" s="250">
        <f t="shared" si="6"/>
        <v>174545.46</v>
      </c>
    </row>
    <row r="93" spans="2:17">
      <c r="B93" s="200">
        <v>90</v>
      </c>
      <c r="C93" s="237" t="s">
        <v>384</v>
      </c>
      <c r="D93" s="238" t="s">
        <v>375</v>
      </c>
      <c r="E93" s="239" t="s">
        <v>17</v>
      </c>
      <c r="F93" s="240" t="s">
        <v>114</v>
      </c>
      <c r="G93" s="237"/>
      <c r="H93" s="237" t="s">
        <v>385</v>
      </c>
      <c r="I93" s="237"/>
      <c r="J93" s="240" t="s">
        <v>92</v>
      </c>
      <c r="K93" s="237" t="s">
        <v>386</v>
      </c>
      <c r="L93" s="248">
        <v>44361</v>
      </c>
      <c r="M93" s="249">
        <v>46364</v>
      </c>
      <c r="N93" s="237">
        <v>1</v>
      </c>
      <c r="O93" s="250">
        <f t="shared" si="5"/>
        <v>46364</v>
      </c>
      <c r="P93" s="250">
        <v>58181.82</v>
      </c>
      <c r="Q93" s="250">
        <f t="shared" si="6"/>
        <v>58181.82</v>
      </c>
    </row>
    <row r="94" spans="2:17">
      <c r="B94" s="200">
        <v>91</v>
      </c>
      <c r="C94" s="237" t="s">
        <v>387</v>
      </c>
      <c r="D94" s="238" t="s">
        <v>375</v>
      </c>
      <c r="E94" s="239" t="s">
        <v>17</v>
      </c>
      <c r="F94" s="240" t="s">
        <v>114</v>
      </c>
      <c r="G94" s="237"/>
      <c r="H94" s="237" t="s">
        <v>388</v>
      </c>
      <c r="I94" s="237"/>
      <c r="J94" s="240" t="s">
        <v>92</v>
      </c>
      <c r="K94" s="237" t="s">
        <v>389</v>
      </c>
      <c r="L94" s="248">
        <v>44361</v>
      </c>
      <c r="M94" s="249">
        <v>46364</v>
      </c>
      <c r="N94" s="237">
        <v>11</v>
      </c>
      <c r="O94" s="250">
        <f t="shared" si="5"/>
        <v>510004</v>
      </c>
      <c r="P94" s="250">
        <v>58181.82</v>
      </c>
      <c r="Q94" s="250">
        <f t="shared" si="6"/>
        <v>640000.02</v>
      </c>
    </row>
    <row r="95" spans="2:17">
      <c r="B95" s="200">
        <v>92</v>
      </c>
      <c r="C95" s="237" t="s">
        <v>390</v>
      </c>
      <c r="D95" s="238" t="s">
        <v>391</v>
      </c>
      <c r="E95" s="239" t="s">
        <v>9</v>
      </c>
      <c r="F95" s="240" t="s">
        <v>392</v>
      </c>
      <c r="G95" s="237"/>
      <c r="H95" s="237" t="s">
        <v>393</v>
      </c>
      <c r="I95" s="237"/>
      <c r="J95" s="240" t="s">
        <v>50</v>
      </c>
      <c r="K95" s="237" t="s">
        <v>394</v>
      </c>
      <c r="L95" s="248">
        <v>44363</v>
      </c>
      <c r="M95" s="249">
        <v>254545</v>
      </c>
      <c r="N95" s="237">
        <v>8</v>
      </c>
      <c r="O95" s="250">
        <f t="shared" si="5"/>
        <v>2036360</v>
      </c>
      <c r="P95" s="250">
        <v>275000</v>
      </c>
      <c r="Q95" s="250">
        <f t="shared" si="6"/>
        <v>2200000</v>
      </c>
    </row>
    <row r="96" spans="2:17">
      <c r="B96" s="200">
        <v>93</v>
      </c>
      <c r="C96" s="237" t="s">
        <v>395</v>
      </c>
      <c r="D96" s="238" t="s">
        <v>396</v>
      </c>
      <c r="E96" s="239"/>
      <c r="F96" s="240" t="s">
        <v>397</v>
      </c>
      <c r="G96" s="237"/>
      <c r="H96" s="237" t="s">
        <v>398</v>
      </c>
      <c r="I96" s="237"/>
      <c r="J96" s="240" t="s">
        <v>63</v>
      </c>
      <c r="K96" s="237" t="s">
        <v>399</v>
      </c>
      <c r="L96" s="248">
        <v>44363</v>
      </c>
      <c r="M96" s="249">
        <v>92727</v>
      </c>
      <c r="N96" s="237">
        <v>10</v>
      </c>
      <c r="O96" s="250">
        <f t="shared" si="5"/>
        <v>927270</v>
      </c>
      <c r="P96" s="250">
        <v>198400</v>
      </c>
      <c r="Q96" s="250">
        <f t="shared" si="6"/>
        <v>1984000</v>
      </c>
    </row>
    <row r="97" spans="2:17">
      <c r="B97" s="200">
        <v>94</v>
      </c>
      <c r="C97" s="237" t="s">
        <v>400</v>
      </c>
      <c r="D97" s="238" t="s">
        <v>401</v>
      </c>
      <c r="E97" s="239" t="s">
        <v>9</v>
      </c>
      <c r="F97" s="240" t="s">
        <v>402</v>
      </c>
      <c r="G97" s="237"/>
      <c r="H97" s="237" t="s">
        <v>403</v>
      </c>
      <c r="I97" s="237"/>
      <c r="J97" s="240" t="s">
        <v>50</v>
      </c>
      <c r="K97" s="237" t="s">
        <v>404</v>
      </c>
      <c r="L97" s="248">
        <v>44370</v>
      </c>
      <c r="M97" s="249">
        <v>254545</v>
      </c>
      <c r="N97" s="237">
        <v>3</v>
      </c>
      <c r="O97" s="250">
        <f t="shared" si="5"/>
        <v>763635</v>
      </c>
      <c r="P97" s="250">
        <v>275000</v>
      </c>
      <c r="Q97" s="250">
        <f t="shared" si="6"/>
        <v>825000</v>
      </c>
    </row>
    <row r="98" spans="2:17">
      <c r="B98" s="200">
        <v>95</v>
      </c>
      <c r="C98" s="237" t="s">
        <v>405</v>
      </c>
      <c r="D98" s="238" t="s">
        <v>401</v>
      </c>
      <c r="E98" s="239" t="s">
        <v>9</v>
      </c>
      <c r="F98" s="240" t="s">
        <v>406</v>
      </c>
      <c r="G98" s="237"/>
      <c r="H98" s="237" t="s">
        <v>403</v>
      </c>
      <c r="I98" s="237"/>
      <c r="J98" s="240" t="s">
        <v>50</v>
      </c>
      <c r="K98" s="237" t="s">
        <v>407</v>
      </c>
      <c r="L98" s="248">
        <v>44370</v>
      </c>
      <c r="M98" s="249">
        <v>254545</v>
      </c>
      <c r="N98" s="237">
        <v>1</v>
      </c>
      <c r="O98" s="250">
        <f t="shared" si="5"/>
        <v>254545</v>
      </c>
      <c r="P98" s="250">
        <v>275000</v>
      </c>
      <c r="Q98" s="250">
        <f t="shared" si="6"/>
        <v>275000</v>
      </c>
    </row>
    <row r="99" spans="2:17">
      <c r="B99" s="200">
        <v>96</v>
      </c>
      <c r="C99" s="237" t="s">
        <v>408</v>
      </c>
      <c r="D99" s="238" t="s">
        <v>401</v>
      </c>
      <c r="E99" s="239" t="s">
        <v>9</v>
      </c>
      <c r="F99" s="240" t="s">
        <v>409</v>
      </c>
      <c r="G99" s="237"/>
      <c r="H99" s="237" t="s">
        <v>403</v>
      </c>
      <c r="I99" s="237"/>
      <c r="J99" s="240" t="s">
        <v>50</v>
      </c>
      <c r="K99" s="237" t="s">
        <v>407</v>
      </c>
      <c r="L99" s="248">
        <v>44370</v>
      </c>
      <c r="M99" s="249">
        <v>254545</v>
      </c>
      <c r="N99" s="237">
        <v>1</v>
      </c>
      <c r="O99" s="250">
        <f t="shared" si="5"/>
        <v>254545</v>
      </c>
      <c r="P99" s="250">
        <v>275000</v>
      </c>
      <c r="Q99" s="250">
        <f t="shared" si="6"/>
        <v>275000</v>
      </c>
    </row>
    <row r="100" spans="2:17">
      <c r="B100" s="200">
        <v>97</v>
      </c>
      <c r="C100" s="237" t="s">
        <v>410</v>
      </c>
      <c r="D100" s="238" t="s">
        <v>401</v>
      </c>
      <c r="E100" s="239" t="s">
        <v>9</v>
      </c>
      <c r="F100" s="240" t="s">
        <v>411</v>
      </c>
      <c r="G100" s="237"/>
      <c r="H100" s="237" t="s">
        <v>403</v>
      </c>
      <c r="I100" s="237"/>
      <c r="J100" s="240" t="s">
        <v>50</v>
      </c>
      <c r="K100" s="237" t="s">
        <v>412</v>
      </c>
      <c r="L100" s="248">
        <v>44370</v>
      </c>
      <c r="M100" s="249">
        <v>254545</v>
      </c>
      <c r="N100" s="237">
        <v>2</v>
      </c>
      <c r="O100" s="250">
        <f t="shared" si="5"/>
        <v>509090</v>
      </c>
      <c r="P100" s="250">
        <v>275000</v>
      </c>
      <c r="Q100" s="250">
        <f t="shared" si="6"/>
        <v>550000</v>
      </c>
    </row>
    <row r="101" spans="2:17">
      <c r="B101" s="200">
        <v>98</v>
      </c>
      <c r="C101" s="237" t="s">
        <v>413</v>
      </c>
      <c r="D101" s="320" t="s">
        <v>414</v>
      </c>
      <c r="E101" s="239" t="s">
        <v>4</v>
      </c>
      <c r="F101" s="240" t="s">
        <v>415</v>
      </c>
      <c r="G101" s="237"/>
      <c r="H101" s="237" t="s">
        <v>416</v>
      </c>
      <c r="I101" s="237"/>
      <c r="J101" s="240" t="s">
        <v>85</v>
      </c>
      <c r="K101" s="237" t="s">
        <v>417</v>
      </c>
      <c r="L101" s="248">
        <v>44377</v>
      </c>
      <c r="M101" s="249">
        <v>222727</v>
      </c>
      <c r="N101" s="237">
        <v>96</v>
      </c>
      <c r="O101" s="250">
        <f t="shared" si="5"/>
        <v>21381792</v>
      </c>
      <c r="P101" s="250">
        <v>279090.90999999997</v>
      </c>
      <c r="Q101" s="250">
        <f t="shared" si="6"/>
        <v>26792727.359999999</v>
      </c>
    </row>
    <row r="102" spans="2:17">
      <c r="B102" s="200">
        <v>99</v>
      </c>
      <c r="C102" s="237" t="s">
        <v>418</v>
      </c>
      <c r="D102" s="238" t="s">
        <v>419</v>
      </c>
      <c r="E102" s="239"/>
      <c r="F102" s="240" t="s">
        <v>420</v>
      </c>
      <c r="G102" s="237"/>
      <c r="H102" s="237" t="s">
        <v>421</v>
      </c>
      <c r="I102" s="237"/>
      <c r="J102" s="240" t="s">
        <v>85</v>
      </c>
      <c r="K102" s="237" t="s">
        <v>422</v>
      </c>
      <c r="L102" s="248">
        <v>44377</v>
      </c>
      <c r="M102" s="249">
        <v>222727</v>
      </c>
      <c r="N102" s="237">
        <v>50</v>
      </c>
      <c r="O102" s="250">
        <f t="shared" si="5"/>
        <v>11136350</v>
      </c>
      <c r="P102" s="250">
        <v>170000</v>
      </c>
      <c r="Q102" s="250">
        <f t="shared" si="6"/>
        <v>8500000</v>
      </c>
    </row>
    <row r="103" spans="2:17">
      <c r="B103" s="200">
        <v>100</v>
      </c>
      <c r="C103" s="237" t="s">
        <v>423</v>
      </c>
      <c r="D103" s="238" t="s">
        <v>419</v>
      </c>
      <c r="E103" s="239"/>
      <c r="F103" s="240" t="s">
        <v>420</v>
      </c>
      <c r="G103" s="237"/>
      <c r="H103" s="237" t="s">
        <v>421</v>
      </c>
      <c r="I103" s="237"/>
      <c r="J103" s="240" t="s">
        <v>85</v>
      </c>
      <c r="K103" s="237" t="s">
        <v>424</v>
      </c>
      <c r="L103" s="248">
        <v>44377</v>
      </c>
      <c r="M103" s="249">
        <v>92727</v>
      </c>
      <c r="N103" s="237">
        <v>200</v>
      </c>
      <c r="O103" s="250">
        <f t="shared" si="5"/>
        <v>18545400</v>
      </c>
      <c r="P103" s="250">
        <v>319000</v>
      </c>
      <c r="Q103" s="250">
        <f t="shared" si="6"/>
        <v>63800000</v>
      </c>
    </row>
    <row r="104" spans="2:17">
      <c r="B104" s="200">
        <v>101</v>
      </c>
      <c r="C104" s="237" t="s">
        <v>425</v>
      </c>
      <c r="D104" s="238" t="s">
        <v>426</v>
      </c>
      <c r="E104" s="239"/>
      <c r="F104" s="240" t="s">
        <v>427</v>
      </c>
      <c r="G104" s="237"/>
      <c r="H104" s="237" t="s">
        <v>428</v>
      </c>
      <c r="I104" s="237"/>
      <c r="J104" s="240" t="s">
        <v>85</v>
      </c>
      <c r="K104" s="237" t="s">
        <v>429</v>
      </c>
      <c r="L104" s="248">
        <v>44375</v>
      </c>
      <c r="M104" s="249">
        <v>222727</v>
      </c>
      <c r="N104" s="237">
        <v>300</v>
      </c>
      <c r="O104" s="250">
        <f t="shared" si="5"/>
        <v>66818100</v>
      </c>
      <c r="P104" s="250">
        <v>324545</v>
      </c>
      <c r="Q104" s="250">
        <f t="shared" si="6"/>
        <v>97363500</v>
      </c>
    </row>
    <row r="105" spans="2:17">
      <c r="B105" s="200">
        <v>102</v>
      </c>
      <c r="C105" s="237" t="s">
        <v>430</v>
      </c>
      <c r="D105" s="238" t="s">
        <v>431</v>
      </c>
      <c r="E105" s="239" t="s">
        <v>9</v>
      </c>
      <c r="F105" s="240" t="s">
        <v>432</v>
      </c>
      <c r="G105" s="237"/>
      <c r="H105" s="237" t="s">
        <v>433</v>
      </c>
      <c r="I105" s="237"/>
      <c r="J105" s="240" t="s">
        <v>50</v>
      </c>
      <c r="K105" s="237" t="s">
        <v>434</v>
      </c>
      <c r="L105" s="248">
        <v>44376</v>
      </c>
      <c r="M105" s="249">
        <v>254545</v>
      </c>
      <c r="N105" s="237">
        <v>2</v>
      </c>
      <c r="O105" s="250">
        <f t="shared" si="5"/>
        <v>509090</v>
      </c>
      <c r="P105" s="250">
        <v>275000</v>
      </c>
      <c r="Q105" s="250">
        <f t="shared" si="6"/>
        <v>550000</v>
      </c>
    </row>
    <row r="106" spans="2:17">
      <c r="B106" s="200">
        <v>103</v>
      </c>
      <c r="C106" s="237" t="s">
        <v>435</v>
      </c>
      <c r="D106" s="238" t="s">
        <v>431</v>
      </c>
      <c r="E106" s="239" t="s">
        <v>9</v>
      </c>
      <c r="F106" s="240" t="s">
        <v>436</v>
      </c>
      <c r="G106" s="237"/>
      <c r="H106" s="237" t="s">
        <v>433</v>
      </c>
      <c r="I106" s="237"/>
      <c r="J106" s="240" t="s">
        <v>50</v>
      </c>
      <c r="K106" s="237" t="s">
        <v>437</v>
      </c>
      <c r="L106" s="248">
        <v>44376</v>
      </c>
      <c r="M106" s="249">
        <v>254545</v>
      </c>
      <c r="N106" s="237">
        <v>3</v>
      </c>
      <c r="O106" s="250">
        <f t="shared" si="5"/>
        <v>763635</v>
      </c>
      <c r="P106" s="250">
        <v>275000</v>
      </c>
      <c r="Q106" s="250">
        <f t="shared" si="6"/>
        <v>825000</v>
      </c>
    </row>
    <row r="107" spans="2:17">
      <c r="B107" s="200">
        <v>104</v>
      </c>
      <c r="C107" s="237" t="s">
        <v>438</v>
      </c>
      <c r="D107" s="238" t="s">
        <v>439</v>
      </c>
      <c r="E107" s="239" t="s">
        <v>9</v>
      </c>
      <c r="F107" s="240" t="s">
        <v>440</v>
      </c>
      <c r="G107" s="237"/>
      <c r="H107" s="237" t="s">
        <v>441</v>
      </c>
      <c r="I107" s="237"/>
      <c r="J107" s="240" t="s">
        <v>50</v>
      </c>
      <c r="K107" s="237" t="s">
        <v>442</v>
      </c>
      <c r="L107" s="248">
        <v>44377</v>
      </c>
      <c r="M107" s="249">
        <v>254545</v>
      </c>
      <c r="N107" s="237">
        <v>1</v>
      </c>
      <c r="O107" s="250">
        <f t="shared" si="5"/>
        <v>254545</v>
      </c>
      <c r="P107" s="250">
        <v>275000</v>
      </c>
      <c r="Q107" s="250">
        <f t="shared" si="6"/>
        <v>275000</v>
      </c>
    </row>
    <row r="108" spans="2:17">
      <c r="B108" s="200">
        <v>105</v>
      </c>
      <c r="C108" s="241" t="s">
        <v>443</v>
      </c>
      <c r="D108" s="242" t="s">
        <v>444</v>
      </c>
      <c r="E108" s="243" t="s">
        <v>9</v>
      </c>
      <c r="F108" s="244" t="s">
        <v>445</v>
      </c>
      <c r="G108" s="241"/>
      <c r="H108" s="241" t="s">
        <v>446</v>
      </c>
      <c r="I108" s="241"/>
      <c r="J108" s="244" t="s">
        <v>50</v>
      </c>
      <c r="K108" s="241" t="s">
        <v>447</v>
      </c>
      <c r="L108" s="251">
        <v>44407</v>
      </c>
      <c r="M108" s="252">
        <v>254545</v>
      </c>
      <c r="N108" s="241">
        <v>1</v>
      </c>
      <c r="O108" s="253">
        <f t="shared" si="5"/>
        <v>254545</v>
      </c>
      <c r="P108" s="253">
        <v>275000</v>
      </c>
      <c r="Q108" s="253">
        <f t="shared" si="6"/>
        <v>275000</v>
      </c>
    </row>
    <row r="109" spans="2:17">
      <c r="B109" s="200">
        <v>106</v>
      </c>
      <c r="C109" s="241" t="s">
        <v>448</v>
      </c>
      <c r="D109" s="242" t="s">
        <v>449</v>
      </c>
      <c r="E109" s="243" t="s">
        <v>9</v>
      </c>
      <c r="F109" s="244" t="s">
        <v>450</v>
      </c>
      <c r="G109" s="241"/>
      <c r="H109" s="241" t="s">
        <v>451</v>
      </c>
      <c r="I109" s="241"/>
      <c r="J109" s="244" t="s">
        <v>50</v>
      </c>
      <c r="K109" s="241" t="s">
        <v>452</v>
      </c>
      <c r="L109" s="251">
        <v>44385</v>
      </c>
      <c r="M109" s="252">
        <v>254545</v>
      </c>
      <c r="N109" s="241">
        <v>3</v>
      </c>
      <c r="O109" s="253">
        <f t="shared" si="5"/>
        <v>763635</v>
      </c>
      <c r="P109" s="253">
        <v>275000</v>
      </c>
      <c r="Q109" s="253">
        <f t="shared" si="6"/>
        <v>825000</v>
      </c>
    </row>
    <row r="110" spans="2:17">
      <c r="B110" s="200">
        <v>107</v>
      </c>
      <c r="C110" s="241" t="s">
        <v>453</v>
      </c>
      <c r="D110" s="242" t="s">
        <v>449</v>
      </c>
      <c r="E110" s="243" t="s">
        <v>9</v>
      </c>
      <c r="F110" s="244" t="s">
        <v>454</v>
      </c>
      <c r="G110" s="241"/>
      <c r="H110" s="241" t="s">
        <v>455</v>
      </c>
      <c r="I110" s="241"/>
      <c r="J110" s="244" t="s">
        <v>50</v>
      </c>
      <c r="K110" s="241" t="s">
        <v>456</v>
      </c>
      <c r="L110" s="251">
        <v>44385</v>
      </c>
      <c r="M110" s="252">
        <v>254545</v>
      </c>
      <c r="N110" s="241">
        <v>2</v>
      </c>
      <c r="O110" s="253">
        <f t="shared" si="5"/>
        <v>509090</v>
      </c>
      <c r="P110" s="253">
        <v>275000</v>
      </c>
      <c r="Q110" s="253">
        <f t="shared" si="6"/>
        <v>550000</v>
      </c>
    </row>
    <row r="111" spans="2:17">
      <c r="B111" s="200">
        <v>108</v>
      </c>
      <c r="C111" s="241" t="s">
        <v>457</v>
      </c>
      <c r="D111" s="242" t="s">
        <v>449</v>
      </c>
      <c r="E111" s="243" t="s">
        <v>9</v>
      </c>
      <c r="F111" s="244" t="s">
        <v>458</v>
      </c>
      <c r="G111" s="241"/>
      <c r="H111" s="241" t="s">
        <v>459</v>
      </c>
      <c r="I111" s="241"/>
      <c r="J111" s="244" t="s">
        <v>50</v>
      </c>
      <c r="K111" s="241" t="s">
        <v>460</v>
      </c>
      <c r="L111" s="251">
        <v>44385</v>
      </c>
      <c r="M111" s="252">
        <v>254545</v>
      </c>
      <c r="N111" s="241">
        <v>1</v>
      </c>
      <c r="O111" s="253">
        <f t="shared" si="5"/>
        <v>254545</v>
      </c>
      <c r="P111" s="253">
        <v>275000</v>
      </c>
      <c r="Q111" s="253">
        <f t="shared" si="6"/>
        <v>275000</v>
      </c>
    </row>
    <row r="112" spans="2:17">
      <c r="B112" s="200">
        <v>109</v>
      </c>
      <c r="C112" s="241" t="s">
        <v>461</v>
      </c>
      <c r="D112" s="242" t="s">
        <v>2</v>
      </c>
      <c r="E112" s="243" t="s">
        <v>15</v>
      </c>
      <c r="F112" s="244" t="s">
        <v>462</v>
      </c>
      <c r="G112" s="241"/>
      <c r="H112" s="241" t="s">
        <v>463</v>
      </c>
      <c r="I112" s="241"/>
      <c r="J112" s="244" t="s">
        <v>85</v>
      </c>
      <c r="K112" s="241" t="s">
        <v>464</v>
      </c>
      <c r="L112" s="251">
        <v>44390</v>
      </c>
      <c r="M112" s="252">
        <v>222727</v>
      </c>
      <c r="N112" s="241">
        <v>21</v>
      </c>
      <c r="O112" s="253">
        <f t="shared" si="5"/>
        <v>4677267</v>
      </c>
      <c r="P112" s="253">
        <v>279090.90999999997</v>
      </c>
      <c r="Q112" s="253">
        <f t="shared" si="6"/>
        <v>5860909.1099999994</v>
      </c>
    </row>
    <row r="113" spans="2:17">
      <c r="B113" s="200">
        <v>110</v>
      </c>
      <c r="C113" s="241" t="s">
        <v>465</v>
      </c>
      <c r="D113" s="242">
        <v>4800420059</v>
      </c>
      <c r="E113" s="243" t="s">
        <v>12</v>
      </c>
      <c r="F113" s="244" t="s">
        <v>466</v>
      </c>
      <c r="G113" s="241"/>
      <c r="H113" s="241" t="s">
        <v>467</v>
      </c>
      <c r="I113" s="241"/>
      <c r="J113" s="244" t="s">
        <v>85</v>
      </c>
      <c r="K113" s="241" t="s">
        <v>468</v>
      </c>
      <c r="L113" s="251">
        <v>44392</v>
      </c>
      <c r="M113" s="252">
        <v>222727</v>
      </c>
      <c r="N113" s="241">
        <v>83</v>
      </c>
      <c r="O113" s="253">
        <f t="shared" si="5"/>
        <v>18486341</v>
      </c>
      <c r="P113" s="253">
        <v>265136</v>
      </c>
      <c r="Q113" s="253">
        <f t="shared" si="6"/>
        <v>22006288</v>
      </c>
    </row>
    <row r="114" spans="2:17">
      <c r="B114" s="200">
        <v>111</v>
      </c>
      <c r="C114" s="241" t="s">
        <v>469</v>
      </c>
      <c r="D114" s="242" t="s">
        <v>470</v>
      </c>
      <c r="E114" s="243" t="s">
        <v>6</v>
      </c>
      <c r="F114" s="244" t="s">
        <v>185</v>
      </c>
      <c r="G114" s="241"/>
      <c r="H114" s="241" t="s">
        <v>471</v>
      </c>
      <c r="I114" s="241"/>
      <c r="J114" s="244" t="s">
        <v>50</v>
      </c>
      <c r="K114" s="241" t="s">
        <v>472</v>
      </c>
      <c r="L114" s="251">
        <v>44395</v>
      </c>
      <c r="M114" s="252">
        <v>345455</v>
      </c>
      <c r="N114" s="241">
        <v>258</v>
      </c>
      <c r="O114" s="253">
        <f t="shared" si="5"/>
        <v>89127390</v>
      </c>
      <c r="P114" s="253">
        <v>388181.82</v>
      </c>
      <c r="Q114" s="253">
        <f t="shared" si="6"/>
        <v>100150909.56</v>
      </c>
    </row>
    <row r="115" spans="2:17">
      <c r="B115" s="200">
        <v>112</v>
      </c>
      <c r="C115" s="241" t="s">
        <v>473</v>
      </c>
      <c r="D115" s="242" t="s">
        <v>474</v>
      </c>
      <c r="E115" s="243" t="s">
        <v>13</v>
      </c>
      <c r="F115" s="244" t="s">
        <v>475</v>
      </c>
      <c r="G115" s="241"/>
      <c r="H115" s="241" t="s">
        <v>376</v>
      </c>
      <c r="I115" s="241"/>
      <c r="J115" s="244" t="s">
        <v>63</v>
      </c>
      <c r="K115" s="241" t="s">
        <v>476</v>
      </c>
      <c r="L115" s="251">
        <v>44392</v>
      </c>
      <c r="M115" s="252">
        <v>92727</v>
      </c>
      <c r="N115" s="241">
        <v>150</v>
      </c>
      <c r="O115" s="253">
        <f t="shared" si="5"/>
        <v>13909050</v>
      </c>
      <c r="P115" s="253">
        <f>138000/1.1</f>
        <v>125454.54545454544</v>
      </c>
      <c r="Q115" s="253">
        <f t="shared" si="6"/>
        <v>18818181.818181816</v>
      </c>
    </row>
    <row r="116" spans="2:17">
      <c r="B116" s="200">
        <v>113</v>
      </c>
      <c r="C116" s="241" t="s">
        <v>477</v>
      </c>
      <c r="D116" s="242" t="s">
        <v>478</v>
      </c>
      <c r="E116" s="243" t="s">
        <v>9</v>
      </c>
      <c r="F116" s="244" t="s">
        <v>479</v>
      </c>
      <c r="G116" s="241"/>
      <c r="H116" s="241" t="s">
        <v>480</v>
      </c>
      <c r="I116" s="241"/>
      <c r="J116" s="244" t="s">
        <v>50</v>
      </c>
      <c r="K116" s="241" t="s">
        <v>481</v>
      </c>
      <c r="L116" s="251">
        <v>44398</v>
      </c>
      <c r="M116" s="252">
        <v>254545</v>
      </c>
      <c r="N116" s="241">
        <v>1</v>
      </c>
      <c r="O116" s="253">
        <f t="shared" si="5"/>
        <v>254545</v>
      </c>
      <c r="P116" s="253">
        <v>275000</v>
      </c>
      <c r="Q116" s="253">
        <f t="shared" si="6"/>
        <v>275000</v>
      </c>
    </row>
    <row r="117" spans="2:17">
      <c r="B117" s="200">
        <v>114</v>
      </c>
      <c r="C117" s="241" t="s">
        <v>482</v>
      </c>
      <c r="D117" s="242" t="s">
        <v>478</v>
      </c>
      <c r="E117" s="243" t="s">
        <v>9</v>
      </c>
      <c r="F117" s="244" t="s">
        <v>483</v>
      </c>
      <c r="G117" s="241"/>
      <c r="H117" s="241" t="s">
        <v>480</v>
      </c>
      <c r="I117" s="241"/>
      <c r="J117" s="244" t="s">
        <v>50</v>
      </c>
      <c r="K117" s="241" t="s">
        <v>484</v>
      </c>
      <c r="L117" s="251">
        <v>44398</v>
      </c>
      <c r="M117" s="252">
        <v>254545</v>
      </c>
      <c r="N117" s="241">
        <v>8</v>
      </c>
      <c r="O117" s="253">
        <f t="shared" si="5"/>
        <v>2036360</v>
      </c>
      <c r="P117" s="253">
        <v>275000</v>
      </c>
      <c r="Q117" s="253">
        <f t="shared" si="6"/>
        <v>2200000</v>
      </c>
    </row>
    <row r="118" spans="2:17">
      <c r="B118" s="200">
        <v>115</v>
      </c>
      <c r="C118" s="241" t="s">
        <v>485</v>
      </c>
      <c r="D118" s="242" t="s">
        <v>444</v>
      </c>
      <c r="E118" s="243" t="s">
        <v>9</v>
      </c>
      <c r="F118" s="244" t="s">
        <v>203</v>
      </c>
      <c r="G118" s="241"/>
      <c r="H118" s="241" t="s">
        <v>446</v>
      </c>
      <c r="I118" s="241"/>
      <c r="J118" s="244" t="s">
        <v>50</v>
      </c>
      <c r="K118" s="241" t="s">
        <v>486</v>
      </c>
      <c r="L118" s="251">
        <v>44407</v>
      </c>
      <c r="M118" s="252">
        <v>254545</v>
      </c>
      <c r="N118" s="241">
        <v>1</v>
      </c>
      <c r="O118" s="253">
        <f t="shared" si="5"/>
        <v>254545</v>
      </c>
      <c r="P118" s="253">
        <v>275000</v>
      </c>
      <c r="Q118" s="253">
        <f t="shared" si="6"/>
        <v>275000</v>
      </c>
    </row>
    <row r="119" spans="2:17">
      <c r="B119" s="200">
        <v>116</v>
      </c>
      <c r="C119" s="241" t="s">
        <v>487</v>
      </c>
      <c r="D119" s="242" t="s">
        <v>488</v>
      </c>
      <c r="E119" s="243" t="s">
        <v>9</v>
      </c>
      <c r="F119" s="244" t="s">
        <v>489</v>
      </c>
      <c r="G119" s="241"/>
      <c r="H119" s="241" t="s">
        <v>490</v>
      </c>
      <c r="I119" s="241"/>
      <c r="J119" s="244" t="s">
        <v>50</v>
      </c>
      <c r="K119" s="241" t="s">
        <v>491</v>
      </c>
      <c r="L119" s="251">
        <v>44404</v>
      </c>
      <c r="M119" s="252">
        <v>254545</v>
      </c>
      <c r="N119" s="241">
        <v>1</v>
      </c>
      <c r="O119" s="253">
        <f t="shared" si="5"/>
        <v>254545</v>
      </c>
      <c r="P119" s="253">
        <v>275000</v>
      </c>
      <c r="Q119" s="253">
        <f t="shared" si="6"/>
        <v>275000</v>
      </c>
    </row>
    <row r="120" spans="2:17">
      <c r="B120" s="200">
        <v>117</v>
      </c>
      <c r="C120" s="241" t="s">
        <v>492</v>
      </c>
      <c r="D120" s="242" t="s">
        <v>444</v>
      </c>
      <c r="E120" s="243" t="s">
        <v>9</v>
      </c>
      <c r="F120" s="244" t="s">
        <v>445</v>
      </c>
      <c r="G120" s="241"/>
      <c r="H120" s="241" t="s">
        <v>446</v>
      </c>
      <c r="I120" s="241"/>
      <c r="J120" s="244" t="s">
        <v>50</v>
      </c>
      <c r="K120" s="241" t="s">
        <v>493</v>
      </c>
      <c r="L120" s="251">
        <v>44407</v>
      </c>
      <c r="M120" s="252">
        <v>254545</v>
      </c>
      <c r="N120" s="241">
        <v>1</v>
      </c>
      <c r="O120" s="253">
        <f t="shared" si="5"/>
        <v>254545</v>
      </c>
      <c r="P120" s="253">
        <v>275000</v>
      </c>
      <c r="Q120" s="253">
        <f t="shared" si="6"/>
        <v>275000</v>
      </c>
    </row>
    <row r="121" spans="2:17">
      <c r="B121" s="200">
        <v>118</v>
      </c>
      <c r="C121" s="241" t="s">
        <v>494</v>
      </c>
      <c r="D121" s="242" t="s">
        <v>444</v>
      </c>
      <c r="E121" s="243" t="s">
        <v>9</v>
      </c>
      <c r="F121" s="244" t="s">
        <v>495</v>
      </c>
      <c r="G121" s="241"/>
      <c r="H121" s="241" t="s">
        <v>496</v>
      </c>
      <c r="I121" s="241"/>
      <c r="J121" s="244" t="s">
        <v>50</v>
      </c>
      <c r="K121" s="241" t="s">
        <v>497</v>
      </c>
      <c r="L121" s="251">
        <v>44407</v>
      </c>
      <c r="M121" s="252">
        <v>254545</v>
      </c>
      <c r="N121" s="241">
        <v>1</v>
      </c>
      <c r="O121" s="253">
        <f t="shared" si="5"/>
        <v>254545</v>
      </c>
      <c r="P121" s="253">
        <v>275000</v>
      </c>
      <c r="Q121" s="253">
        <f t="shared" si="6"/>
        <v>275000</v>
      </c>
    </row>
    <row r="122" spans="2:17">
      <c r="B122" s="200">
        <v>119</v>
      </c>
      <c r="C122" s="237" t="s">
        <v>498</v>
      </c>
      <c r="D122" s="238" t="s">
        <v>499</v>
      </c>
      <c r="E122" s="239" t="s">
        <v>11</v>
      </c>
      <c r="F122" s="240" t="s">
        <v>320</v>
      </c>
      <c r="G122" s="237"/>
      <c r="H122" s="237" t="s">
        <v>500</v>
      </c>
      <c r="I122" s="237"/>
      <c r="J122" s="240" t="s">
        <v>50</v>
      </c>
      <c r="K122" s="237" t="s">
        <v>501</v>
      </c>
      <c r="L122" s="248">
        <v>44410</v>
      </c>
      <c r="M122" s="249">
        <v>444545</v>
      </c>
      <c r="N122" s="237">
        <v>19</v>
      </c>
      <c r="O122" s="250">
        <f t="shared" si="5"/>
        <v>8446355</v>
      </c>
      <c r="P122" s="250">
        <v>556363.63</v>
      </c>
      <c r="Q122" s="250">
        <f t="shared" si="6"/>
        <v>10570908.970000001</v>
      </c>
    </row>
    <row r="123" spans="2:17">
      <c r="B123" s="200">
        <v>120</v>
      </c>
      <c r="C123" s="237" t="s">
        <v>502</v>
      </c>
      <c r="D123" s="238" t="s">
        <v>503</v>
      </c>
      <c r="E123" s="239" t="s">
        <v>9</v>
      </c>
      <c r="F123" s="240" t="s">
        <v>504</v>
      </c>
      <c r="G123" s="237"/>
      <c r="H123" s="237" t="s">
        <v>505</v>
      </c>
      <c r="I123" s="237"/>
      <c r="J123" s="240" t="s">
        <v>50</v>
      </c>
      <c r="K123" s="237" t="s">
        <v>506</v>
      </c>
      <c r="L123" s="248">
        <v>44410</v>
      </c>
      <c r="M123" s="249">
        <v>254545</v>
      </c>
      <c r="N123" s="237">
        <v>5</v>
      </c>
      <c r="O123" s="250">
        <f t="shared" si="5"/>
        <v>1272725</v>
      </c>
      <c r="P123" s="250">
        <v>275000</v>
      </c>
      <c r="Q123" s="250">
        <f t="shared" si="6"/>
        <v>1375000</v>
      </c>
    </row>
    <row r="124" spans="2:17">
      <c r="B124" s="200">
        <v>121</v>
      </c>
      <c r="C124" s="237" t="s">
        <v>507</v>
      </c>
      <c r="D124" s="238" t="s">
        <v>508</v>
      </c>
      <c r="E124" s="239" t="s">
        <v>6</v>
      </c>
      <c r="F124" s="240" t="s">
        <v>509</v>
      </c>
      <c r="G124" s="237"/>
      <c r="H124" s="237" t="s">
        <v>510</v>
      </c>
      <c r="I124" s="237"/>
      <c r="J124" s="240" t="s">
        <v>50</v>
      </c>
      <c r="K124" s="237" t="s">
        <v>511</v>
      </c>
      <c r="L124" s="248">
        <v>44414</v>
      </c>
      <c r="M124" s="249">
        <v>444545</v>
      </c>
      <c r="N124" s="237">
        <v>73</v>
      </c>
      <c r="O124" s="250">
        <f t="shared" si="5"/>
        <v>32451785</v>
      </c>
      <c r="P124" s="250">
        <v>530000</v>
      </c>
      <c r="Q124" s="250">
        <f t="shared" si="6"/>
        <v>38690000</v>
      </c>
    </row>
    <row r="125" spans="2:17">
      <c r="B125" s="200">
        <v>122</v>
      </c>
      <c r="C125" s="237" t="s">
        <v>512</v>
      </c>
      <c r="D125" s="238" t="s">
        <v>513</v>
      </c>
      <c r="E125" s="239" t="s">
        <v>9</v>
      </c>
      <c r="F125" s="240" t="s">
        <v>514</v>
      </c>
      <c r="G125" s="237"/>
      <c r="H125" s="237" t="s">
        <v>515</v>
      </c>
      <c r="I125" s="237"/>
      <c r="J125" s="240" t="s">
        <v>50</v>
      </c>
      <c r="K125" s="237" t="s">
        <v>516</v>
      </c>
      <c r="L125" s="248">
        <v>44417</v>
      </c>
      <c r="M125" s="249">
        <v>254545</v>
      </c>
      <c r="N125" s="237">
        <v>2</v>
      </c>
      <c r="O125" s="250">
        <f t="shared" ref="O125:O188" si="7">N125*M125</f>
        <v>509090</v>
      </c>
      <c r="P125" s="250">
        <v>275000</v>
      </c>
      <c r="Q125" s="250">
        <f t="shared" si="6"/>
        <v>550000</v>
      </c>
    </row>
    <row r="126" spans="2:17">
      <c r="B126" s="200">
        <v>123</v>
      </c>
      <c r="C126" s="237" t="s">
        <v>517</v>
      </c>
      <c r="D126" s="238" t="s">
        <v>513</v>
      </c>
      <c r="E126" s="239" t="s">
        <v>9</v>
      </c>
      <c r="F126" s="240" t="s">
        <v>518</v>
      </c>
      <c r="G126" s="237"/>
      <c r="H126" s="237" t="s">
        <v>515</v>
      </c>
      <c r="I126" s="237"/>
      <c r="J126" s="240" t="s">
        <v>50</v>
      </c>
      <c r="K126" s="237" t="s">
        <v>519</v>
      </c>
      <c r="L126" s="248">
        <v>44417</v>
      </c>
      <c r="M126" s="249">
        <v>254545</v>
      </c>
      <c r="N126" s="237">
        <v>3</v>
      </c>
      <c r="O126" s="250">
        <f t="shared" si="7"/>
        <v>763635</v>
      </c>
      <c r="P126" s="250">
        <v>275000</v>
      </c>
      <c r="Q126" s="250">
        <f t="shared" si="6"/>
        <v>825000</v>
      </c>
    </row>
    <row r="127" spans="2:17">
      <c r="B127" s="200">
        <v>124</v>
      </c>
      <c r="C127" s="237" t="s">
        <v>520</v>
      </c>
      <c r="D127" s="238" t="s">
        <v>521</v>
      </c>
      <c r="E127" s="239" t="s">
        <v>9</v>
      </c>
      <c r="F127" s="240" t="s">
        <v>522</v>
      </c>
      <c r="G127" s="237"/>
      <c r="H127" s="237" t="s">
        <v>446</v>
      </c>
      <c r="I127" s="237"/>
      <c r="J127" s="240" t="s">
        <v>50</v>
      </c>
      <c r="K127" s="237" t="s">
        <v>523</v>
      </c>
      <c r="L127" s="248">
        <v>44417</v>
      </c>
      <c r="M127" s="249">
        <v>254545</v>
      </c>
      <c r="N127" s="237">
        <v>1</v>
      </c>
      <c r="O127" s="250">
        <f t="shared" si="7"/>
        <v>254545</v>
      </c>
      <c r="P127" s="250">
        <v>275000</v>
      </c>
      <c r="Q127" s="250">
        <f t="shared" si="6"/>
        <v>275000</v>
      </c>
    </row>
    <row r="128" spans="2:17">
      <c r="B128" s="200">
        <v>125</v>
      </c>
      <c r="C128" s="237" t="s">
        <v>524</v>
      </c>
      <c r="D128" s="238" t="s">
        <v>525</v>
      </c>
      <c r="E128" s="239" t="s">
        <v>9</v>
      </c>
      <c r="F128" s="240" t="s">
        <v>368</v>
      </c>
      <c r="G128" s="237"/>
      <c r="H128" s="237" t="s">
        <v>526</v>
      </c>
      <c r="I128" s="237"/>
      <c r="J128" s="240" t="s">
        <v>50</v>
      </c>
      <c r="K128" s="237" t="s">
        <v>527</v>
      </c>
      <c r="L128" s="248">
        <v>44418</v>
      </c>
      <c r="M128" s="249">
        <v>254545</v>
      </c>
      <c r="N128" s="237">
        <v>5</v>
      </c>
      <c r="O128" s="250">
        <f t="shared" si="7"/>
        <v>1272725</v>
      </c>
      <c r="P128" s="250">
        <v>275000</v>
      </c>
      <c r="Q128" s="250">
        <f t="shared" si="6"/>
        <v>1375000</v>
      </c>
    </row>
    <row r="129" spans="2:17">
      <c r="B129" s="200">
        <v>126</v>
      </c>
      <c r="C129" s="237" t="s">
        <v>528</v>
      </c>
      <c r="D129" s="238" t="s">
        <v>525</v>
      </c>
      <c r="E129" s="239" t="s">
        <v>9</v>
      </c>
      <c r="F129" s="240" t="s">
        <v>368</v>
      </c>
      <c r="G129" s="237"/>
      <c r="H129" s="237" t="s">
        <v>510</v>
      </c>
      <c r="I129" s="237"/>
      <c r="J129" s="240" t="s">
        <v>50</v>
      </c>
      <c r="K129" s="237" t="s">
        <v>529</v>
      </c>
      <c r="L129" s="248">
        <v>44418</v>
      </c>
      <c r="M129" s="249">
        <v>254545</v>
      </c>
      <c r="N129" s="237">
        <v>2</v>
      </c>
      <c r="O129" s="250">
        <f t="shared" si="7"/>
        <v>509090</v>
      </c>
      <c r="P129" s="250">
        <v>275000</v>
      </c>
      <c r="Q129" s="250">
        <f t="shared" si="6"/>
        <v>550000</v>
      </c>
    </row>
    <row r="130" spans="2:17">
      <c r="B130" s="200">
        <v>127</v>
      </c>
      <c r="C130" s="237" t="s">
        <v>530</v>
      </c>
      <c r="D130" s="238" t="s">
        <v>531</v>
      </c>
      <c r="E130" s="239" t="s">
        <v>15</v>
      </c>
      <c r="F130" s="240" t="s">
        <v>462</v>
      </c>
      <c r="G130" s="237"/>
      <c r="H130" s="237" t="s">
        <v>532</v>
      </c>
      <c r="I130" s="237"/>
      <c r="J130" s="240" t="s">
        <v>533</v>
      </c>
      <c r="K130" s="237" t="s">
        <v>534</v>
      </c>
      <c r="L130" s="248">
        <v>44431</v>
      </c>
      <c r="M130" s="249">
        <v>222727</v>
      </c>
      <c r="N130" s="237">
        <v>69</v>
      </c>
      <c r="O130" s="250">
        <f t="shared" si="7"/>
        <v>15368163</v>
      </c>
      <c r="P130" s="250">
        <v>250000</v>
      </c>
      <c r="Q130" s="250">
        <f t="shared" si="6"/>
        <v>17250000</v>
      </c>
    </row>
    <row r="131" spans="2:17">
      <c r="B131" s="200">
        <v>128</v>
      </c>
      <c r="C131" s="237" t="s">
        <v>535</v>
      </c>
      <c r="D131" s="238" t="s">
        <v>536</v>
      </c>
      <c r="E131" s="239" t="s">
        <v>9</v>
      </c>
      <c r="F131" s="240" t="s">
        <v>537</v>
      </c>
      <c r="G131" s="237"/>
      <c r="H131" s="237" t="s">
        <v>538</v>
      </c>
      <c r="I131" s="237"/>
      <c r="J131" s="240" t="s">
        <v>50</v>
      </c>
      <c r="K131" s="237" t="s">
        <v>539</v>
      </c>
      <c r="L131" s="248">
        <v>44438</v>
      </c>
      <c r="M131" s="249">
        <v>254545</v>
      </c>
      <c r="N131" s="237">
        <v>6</v>
      </c>
      <c r="O131" s="250">
        <f t="shared" si="7"/>
        <v>1527270</v>
      </c>
      <c r="P131" s="250">
        <v>275000</v>
      </c>
      <c r="Q131" s="250">
        <f t="shared" si="6"/>
        <v>1650000</v>
      </c>
    </row>
    <row r="132" spans="2:17">
      <c r="B132" s="200">
        <v>129</v>
      </c>
      <c r="C132" s="237" t="s">
        <v>540</v>
      </c>
      <c r="D132" s="238" t="s">
        <v>536</v>
      </c>
      <c r="E132" s="239" t="s">
        <v>9</v>
      </c>
      <c r="F132" s="240" t="s">
        <v>537</v>
      </c>
      <c r="G132" s="237"/>
      <c r="H132" s="237" t="s">
        <v>538</v>
      </c>
      <c r="I132" s="237"/>
      <c r="J132" s="240" t="s">
        <v>50</v>
      </c>
      <c r="K132" s="237" t="s">
        <v>541</v>
      </c>
      <c r="L132" s="248">
        <v>44438</v>
      </c>
      <c r="M132" s="249">
        <v>254545</v>
      </c>
      <c r="N132" s="237">
        <v>4</v>
      </c>
      <c r="O132" s="250">
        <f t="shared" si="7"/>
        <v>1018180</v>
      </c>
      <c r="P132" s="250">
        <v>275000</v>
      </c>
      <c r="Q132" s="250">
        <f t="shared" si="6"/>
        <v>1100000</v>
      </c>
    </row>
    <row r="133" spans="2:17">
      <c r="B133" s="200">
        <v>130</v>
      </c>
      <c r="C133" s="241" t="s">
        <v>542</v>
      </c>
      <c r="D133" s="242" t="s">
        <v>543</v>
      </c>
      <c r="E133" s="243" t="s">
        <v>9</v>
      </c>
      <c r="F133" s="244" t="s">
        <v>544</v>
      </c>
      <c r="G133" s="241"/>
      <c r="H133" s="241" t="s">
        <v>545</v>
      </c>
      <c r="I133" s="241"/>
      <c r="J133" s="244" t="s">
        <v>50</v>
      </c>
      <c r="K133" s="241" t="s">
        <v>546</v>
      </c>
      <c r="L133" s="251">
        <v>44469</v>
      </c>
      <c r="M133" s="252">
        <v>254545</v>
      </c>
      <c r="N133" s="241">
        <v>8</v>
      </c>
      <c r="O133" s="253">
        <f t="shared" si="7"/>
        <v>2036360</v>
      </c>
      <c r="P133" s="253">
        <v>275000</v>
      </c>
      <c r="Q133" s="253">
        <f t="shared" si="6"/>
        <v>2200000</v>
      </c>
    </row>
    <row r="134" spans="2:17">
      <c r="B134" s="200">
        <v>131</v>
      </c>
      <c r="C134" s="241" t="s">
        <v>547</v>
      </c>
      <c r="D134" s="242" t="s">
        <v>548</v>
      </c>
      <c r="E134" s="243" t="s">
        <v>9</v>
      </c>
      <c r="F134" s="244" t="s">
        <v>549</v>
      </c>
      <c r="G134" s="241"/>
      <c r="H134" s="241" t="s">
        <v>550</v>
      </c>
      <c r="I134" s="241"/>
      <c r="J134" s="244" t="s">
        <v>50</v>
      </c>
      <c r="K134" s="241" t="s">
        <v>551</v>
      </c>
      <c r="L134" s="251">
        <v>44446</v>
      </c>
      <c r="M134" s="252">
        <v>254545</v>
      </c>
      <c r="N134" s="241">
        <v>1</v>
      </c>
      <c r="O134" s="253">
        <f t="shared" si="7"/>
        <v>254545</v>
      </c>
      <c r="P134" s="253">
        <v>275000</v>
      </c>
      <c r="Q134" s="253">
        <f t="shared" si="6"/>
        <v>275000</v>
      </c>
    </row>
    <row r="135" spans="2:17">
      <c r="B135" s="200">
        <v>132</v>
      </c>
      <c r="C135" s="241" t="s">
        <v>552</v>
      </c>
      <c r="D135" s="242" t="s">
        <v>548</v>
      </c>
      <c r="E135" s="243" t="s">
        <v>9</v>
      </c>
      <c r="F135" s="244" t="s">
        <v>445</v>
      </c>
      <c r="G135" s="241"/>
      <c r="H135" s="241" t="s">
        <v>446</v>
      </c>
      <c r="I135" s="241"/>
      <c r="J135" s="244" t="s">
        <v>50</v>
      </c>
      <c r="K135" s="241" t="s">
        <v>553</v>
      </c>
      <c r="L135" s="251">
        <v>44446</v>
      </c>
      <c r="M135" s="252">
        <v>254545</v>
      </c>
      <c r="N135" s="241">
        <v>1</v>
      </c>
      <c r="O135" s="253">
        <f t="shared" si="7"/>
        <v>254545</v>
      </c>
      <c r="P135" s="253">
        <v>275000</v>
      </c>
      <c r="Q135" s="253">
        <f t="shared" si="6"/>
        <v>275000</v>
      </c>
    </row>
    <row r="136" spans="2:17">
      <c r="B136" s="200">
        <v>133</v>
      </c>
      <c r="C136" s="241" t="s">
        <v>554</v>
      </c>
      <c r="D136" s="242" t="s">
        <v>555</v>
      </c>
      <c r="E136" s="243" t="s">
        <v>2</v>
      </c>
      <c r="F136" s="244" t="s">
        <v>556</v>
      </c>
      <c r="G136" s="241"/>
      <c r="H136" s="241" t="s">
        <v>557</v>
      </c>
      <c r="I136" s="241"/>
      <c r="J136" s="244" t="s">
        <v>85</v>
      </c>
      <c r="K136" s="241" t="s">
        <v>558</v>
      </c>
      <c r="L136" s="251">
        <v>44447</v>
      </c>
      <c r="M136" s="252">
        <v>222727</v>
      </c>
      <c r="N136" s="241">
        <v>350</v>
      </c>
      <c r="O136" s="253">
        <f t="shared" si="7"/>
        <v>77954450</v>
      </c>
      <c r="P136" s="253">
        <v>392700</v>
      </c>
      <c r="Q136" s="253">
        <f t="shared" si="6"/>
        <v>137445000</v>
      </c>
    </row>
    <row r="137" spans="2:17">
      <c r="B137" s="200">
        <v>134</v>
      </c>
      <c r="C137" s="241" t="s">
        <v>559</v>
      </c>
      <c r="D137" s="242" t="s">
        <v>560</v>
      </c>
      <c r="E137" s="243" t="s">
        <v>9</v>
      </c>
      <c r="F137" s="244" t="s">
        <v>561</v>
      </c>
      <c r="G137" s="241"/>
      <c r="H137" s="241" t="s">
        <v>538</v>
      </c>
      <c r="I137" s="241"/>
      <c r="J137" s="244" t="s">
        <v>50</v>
      </c>
      <c r="K137" s="241" t="s">
        <v>562</v>
      </c>
      <c r="L137" s="251">
        <v>44447</v>
      </c>
      <c r="M137" s="252">
        <v>254545</v>
      </c>
      <c r="N137" s="241">
        <v>1</v>
      </c>
      <c r="O137" s="253">
        <f t="shared" si="7"/>
        <v>254545</v>
      </c>
      <c r="P137" s="253">
        <v>275000</v>
      </c>
      <c r="Q137" s="253">
        <f t="shared" si="6"/>
        <v>275000</v>
      </c>
    </row>
    <row r="138" spans="2:17">
      <c r="B138" s="200">
        <v>135</v>
      </c>
      <c r="C138" s="241" t="s">
        <v>563</v>
      </c>
      <c r="D138" s="242" t="s">
        <v>564</v>
      </c>
      <c r="E138" s="243" t="s">
        <v>9</v>
      </c>
      <c r="F138" s="244" t="s">
        <v>565</v>
      </c>
      <c r="G138" s="241"/>
      <c r="H138" s="241" t="s">
        <v>566</v>
      </c>
      <c r="I138" s="241"/>
      <c r="J138" s="244" t="s">
        <v>50</v>
      </c>
      <c r="K138" s="241" t="s">
        <v>567</v>
      </c>
      <c r="L138" s="251">
        <v>44448</v>
      </c>
      <c r="M138" s="252">
        <v>254545</v>
      </c>
      <c r="N138" s="241">
        <v>1</v>
      </c>
      <c r="O138" s="253">
        <f t="shared" si="7"/>
        <v>254545</v>
      </c>
      <c r="P138" s="253">
        <v>275000</v>
      </c>
      <c r="Q138" s="253">
        <f t="shared" si="6"/>
        <v>275000</v>
      </c>
    </row>
    <row r="139" spans="2:17">
      <c r="B139" s="200">
        <v>136</v>
      </c>
      <c r="C139" s="241" t="s">
        <v>568</v>
      </c>
      <c r="D139" s="242" t="s">
        <v>569</v>
      </c>
      <c r="E139" s="243" t="s">
        <v>9</v>
      </c>
      <c r="F139" s="244" t="s">
        <v>570</v>
      </c>
      <c r="G139" s="241"/>
      <c r="H139" s="241" t="s">
        <v>571</v>
      </c>
      <c r="I139" s="241"/>
      <c r="J139" s="244" t="s">
        <v>50</v>
      </c>
      <c r="K139" s="241" t="s">
        <v>572</v>
      </c>
      <c r="L139" s="251">
        <v>44449</v>
      </c>
      <c r="M139" s="252">
        <v>254545</v>
      </c>
      <c r="N139" s="241">
        <v>3</v>
      </c>
      <c r="O139" s="253">
        <f t="shared" si="7"/>
        <v>763635</v>
      </c>
      <c r="P139" s="253">
        <v>275000</v>
      </c>
      <c r="Q139" s="253">
        <f t="shared" si="6"/>
        <v>825000</v>
      </c>
    </row>
    <row r="140" spans="2:17">
      <c r="B140" s="200">
        <v>137</v>
      </c>
      <c r="C140" s="241" t="s">
        <v>573</v>
      </c>
      <c r="D140" s="242" t="s">
        <v>574</v>
      </c>
      <c r="E140" s="243" t="s">
        <v>7</v>
      </c>
      <c r="F140" s="244" t="s">
        <v>83</v>
      </c>
      <c r="G140" s="241"/>
      <c r="H140" s="241" t="s">
        <v>575</v>
      </c>
      <c r="I140" s="241"/>
      <c r="J140" s="244" t="s">
        <v>85</v>
      </c>
      <c r="K140" s="241" t="s">
        <v>576</v>
      </c>
      <c r="L140" s="251">
        <v>44449</v>
      </c>
      <c r="M140" s="252">
        <v>222727</v>
      </c>
      <c r="N140" s="241">
        <v>165</v>
      </c>
      <c r="O140" s="253">
        <f t="shared" si="7"/>
        <v>36749955</v>
      </c>
      <c r="P140" s="253">
        <v>279090.90999999997</v>
      </c>
      <c r="Q140" s="253">
        <f t="shared" si="6"/>
        <v>46050000.149999999</v>
      </c>
    </row>
    <row r="141" spans="2:17">
      <c r="B141" s="200">
        <v>138</v>
      </c>
      <c r="C141" s="241" t="s">
        <v>577</v>
      </c>
      <c r="D141" s="242">
        <v>79921</v>
      </c>
      <c r="E141" s="243" t="s">
        <v>17</v>
      </c>
      <c r="F141" s="244" t="s">
        <v>114</v>
      </c>
      <c r="G141" s="241"/>
      <c r="H141" s="241" t="s">
        <v>578</v>
      </c>
      <c r="I141" s="241"/>
      <c r="J141" s="244" t="s">
        <v>85</v>
      </c>
      <c r="K141" s="241" t="s">
        <v>377</v>
      </c>
      <c r="L141" s="251">
        <v>44454</v>
      </c>
      <c r="M141" s="252">
        <v>222727</v>
      </c>
      <c r="N141" s="241">
        <v>5</v>
      </c>
      <c r="O141" s="253">
        <f t="shared" si="7"/>
        <v>1113635</v>
      </c>
      <c r="P141" s="253">
        <v>279090.90999999997</v>
      </c>
      <c r="Q141" s="253">
        <f t="shared" si="6"/>
        <v>1395454.5499999998</v>
      </c>
    </row>
    <row r="142" spans="2:17">
      <c r="B142" s="200">
        <v>139</v>
      </c>
      <c r="C142" s="241" t="s">
        <v>579</v>
      </c>
      <c r="D142" s="242">
        <v>79921</v>
      </c>
      <c r="E142" s="243" t="s">
        <v>17</v>
      </c>
      <c r="F142" s="244" t="s">
        <v>114</v>
      </c>
      <c r="G142" s="241"/>
      <c r="H142" s="241" t="s">
        <v>580</v>
      </c>
      <c r="I142" s="241"/>
      <c r="J142" s="244" t="s">
        <v>85</v>
      </c>
      <c r="K142" s="241" t="s">
        <v>380</v>
      </c>
      <c r="L142" s="251">
        <v>44454</v>
      </c>
      <c r="M142" s="252">
        <v>222727</v>
      </c>
      <c r="N142" s="241">
        <v>24</v>
      </c>
      <c r="O142" s="253">
        <f t="shared" si="7"/>
        <v>5345448</v>
      </c>
      <c r="P142" s="253">
        <v>279090.90999999997</v>
      </c>
      <c r="Q142" s="253">
        <f t="shared" si="6"/>
        <v>6698181.8399999999</v>
      </c>
    </row>
    <row r="143" spans="2:17">
      <c r="B143" s="200">
        <v>140</v>
      </c>
      <c r="C143" s="241" t="s">
        <v>581</v>
      </c>
      <c r="D143" s="242">
        <v>79921</v>
      </c>
      <c r="E143" s="243" t="s">
        <v>17</v>
      </c>
      <c r="F143" s="244" t="s">
        <v>114</v>
      </c>
      <c r="G143" s="241"/>
      <c r="H143" s="241" t="s">
        <v>578</v>
      </c>
      <c r="I143" s="241"/>
      <c r="J143" s="244" t="s">
        <v>92</v>
      </c>
      <c r="K143" s="241" t="s">
        <v>383</v>
      </c>
      <c r="L143" s="251">
        <v>44454</v>
      </c>
      <c r="M143" s="252">
        <v>46364</v>
      </c>
      <c r="N143" s="241">
        <v>5</v>
      </c>
      <c r="O143" s="253">
        <f t="shared" si="7"/>
        <v>231820</v>
      </c>
      <c r="P143" s="253">
        <v>58181.82</v>
      </c>
      <c r="Q143" s="253">
        <f t="shared" si="6"/>
        <v>290909.09999999998</v>
      </c>
    </row>
    <row r="144" spans="2:17">
      <c r="B144" s="200">
        <v>141</v>
      </c>
      <c r="C144" s="241" t="s">
        <v>582</v>
      </c>
      <c r="D144" s="242">
        <v>79921</v>
      </c>
      <c r="E144" s="243" t="s">
        <v>17</v>
      </c>
      <c r="F144" s="244" t="s">
        <v>114</v>
      </c>
      <c r="G144" s="241"/>
      <c r="H144" s="241" t="s">
        <v>580</v>
      </c>
      <c r="I144" s="241"/>
      <c r="J144" s="244" t="s">
        <v>92</v>
      </c>
      <c r="K144" s="241" t="s">
        <v>386</v>
      </c>
      <c r="L144" s="251">
        <v>44454</v>
      </c>
      <c r="M144" s="252">
        <v>46364</v>
      </c>
      <c r="N144" s="241">
        <v>24</v>
      </c>
      <c r="O144" s="253">
        <f t="shared" si="7"/>
        <v>1112736</v>
      </c>
      <c r="P144" s="253">
        <v>58181.82</v>
      </c>
      <c r="Q144" s="253">
        <f t="shared" ref="Q144:Q202" si="8">P144*N144</f>
        <v>1396363.68</v>
      </c>
    </row>
    <row r="145" spans="2:17">
      <c r="B145" s="200">
        <v>142</v>
      </c>
      <c r="C145" s="241" t="s">
        <v>583</v>
      </c>
      <c r="D145" s="242">
        <v>4800426981</v>
      </c>
      <c r="E145" s="243" t="s">
        <v>12</v>
      </c>
      <c r="F145" s="244" t="s">
        <v>584</v>
      </c>
      <c r="G145" s="241"/>
      <c r="H145" s="241" t="s">
        <v>585</v>
      </c>
      <c r="I145" s="241"/>
      <c r="J145" s="244" t="s">
        <v>92</v>
      </c>
      <c r="K145" s="241" t="s">
        <v>586</v>
      </c>
      <c r="L145" s="251">
        <v>44455</v>
      </c>
      <c r="M145" s="252">
        <v>32272.73</v>
      </c>
      <c r="N145" s="241">
        <v>811</v>
      </c>
      <c r="O145" s="253">
        <f t="shared" si="7"/>
        <v>26173184.030000001</v>
      </c>
      <c r="P145" s="253">
        <v>35500</v>
      </c>
      <c r="Q145" s="253">
        <f t="shared" si="8"/>
        <v>28790500</v>
      </c>
    </row>
    <row r="146" spans="2:17">
      <c r="B146" s="200">
        <v>143</v>
      </c>
      <c r="C146" s="241" t="s">
        <v>587</v>
      </c>
      <c r="D146" s="242" t="s">
        <v>588</v>
      </c>
      <c r="E146" s="243" t="s">
        <v>9</v>
      </c>
      <c r="F146" s="244" t="s">
        <v>445</v>
      </c>
      <c r="G146" s="241"/>
      <c r="H146" s="241" t="s">
        <v>589</v>
      </c>
      <c r="I146" s="241"/>
      <c r="J146" s="244" t="s">
        <v>50</v>
      </c>
      <c r="K146" s="241" t="s">
        <v>590</v>
      </c>
      <c r="L146" s="251">
        <v>44459</v>
      </c>
      <c r="M146" s="252">
        <v>254545</v>
      </c>
      <c r="N146" s="241">
        <v>1</v>
      </c>
      <c r="O146" s="253">
        <f t="shared" si="7"/>
        <v>254545</v>
      </c>
      <c r="P146" s="253">
        <v>275000</v>
      </c>
      <c r="Q146" s="253">
        <f t="shared" si="8"/>
        <v>275000</v>
      </c>
    </row>
    <row r="147" spans="2:17">
      <c r="B147" s="200">
        <v>144</v>
      </c>
      <c r="C147" s="241" t="s">
        <v>591</v>
      </c>
      <c r="D147" s="242" t="s">
        <v>588</v>
      </c>
      <c r="E147" s="243" t="s">
        <v>9</v>
      </c>
      <c r="F147" s="244" t="s">
        <v>206</v>
      </c>
      <c r="G147" s="241"/>
      <c r="H147" s="241" t="s">
        <v>592</v>
      </c>
      <c r="I147" s="241"/>
      <c r="J147" s="244" t="s">
        <v>50</v>
      </c>
      <c r="K147" s="241" t="s">
        <v>593</v>
      </c>
      <c r="L147" s="251">
        <v>44459</v>
      </c>
      <c r="M147" s="252">
        <v>254545</v>
      </c>
      <c r="N147" s="241">
        <v>1</v>
      </c>
      <c r="O147" s="253">
        <f t="shared" si="7"/>
        <v>254545</v>
      </c>
      <c r="P147" s="253">
        <v>275000</v>
      </c>
      <c r="Q147" s="253">
        <f t="shared" si="8"/>
        <v>275000</v>
      </c>
    </row>
    <row r="148" spans="2:17">
      <c r="B148" s="200">
        <v>145</v>
      </c>
      <c r="C148" s="241" t="s">
        <v>594</v>
      </c>
      <c r="D148" s="242" t="s">
        <v>588</v>
      </c>
      <c r="E148" s="243" t="s">
        <v>9</v>
      </c>
      <c r="F148" s="244" t="s">
        <v>595</v>
      </c>
      <c r="G148" s="241"/>
      <c r="H148" s="241" t="s">
        <v>592</v>
      </c>
      <c r="I148" s="241"/>
      <c r="J148" s="244" t="s">
        <v>50</v>
      </c>
      <c r="K148" s="241" t="s">
        <v>596</v>
      </c>
      <c r="L148" s="251">
        <v>44459</v>
      </c>
      <c r="M148" s="252">
        <v>254545</v>
      </c>
      <c r="N148" s="241">
        <v>1</v>
      </c>
      <c r="O148" s="253">
        <f t="shared" si="7"/>
        <v>254545</v>
      </c>
      <c r="P148" s="253">
        <v>275000</v>
      </c>
      <c r="Q148" s="253">
        <f t="shared" si="8"/>
        <v>275000</v>
      </c>
    </row>
    <row r="149" spans="2:17">
      <c r="B149" s="200">
        <v>146</v>
      </c>
      <c r="C149" s="241" t="s">
        <v>597</v>
      </c>
      <c r="D149" s="242" t="s">
        <v>598</v>
      </c>
      <c r="E149" s="243" t="s">
        <v>9</v>
      </c>
      <c r="F149" s="244" t="s">
        <v>599</v>
      </c>
      <c r="G149" s="241"/>
      <c r="H149" s="241" t="s">
        <v>600</v>
      </c>
      <c r="I149" s="241"/>
      <c r="J149" s="244" t="s">
        <v>50</v>
      </c>
      <c r="K149" s="241" t="s">
        <v>601</v>
      </c>
      <c r="L149" s="251">
        <v>44461</v>
      </c>
      <c r="M149" s="252">
        <v>254545</v>
      </c>
      <c r="N149" s="241">
        <v>6</v>
      </c>
      <c r="O149" s="253">
        <f t="shared" si="7"/>
        <v>1527270</v>
      </c>
      <c r="P149" s="253">
        <v>275000</v>
      </c>
      <c r="Q149" s="253">
        <f t="shared" si="8"/>
        <v>1650000</v>
      </c>
    </row>
    <row r="150" spans="2:17">
      <c r="B150" s="200">
        <v>147</v>
      </c>
      <c r="C150" s="241" t="s">
        <v>602</v>
      </c>
      <c r="D150" s="242" t="s">
        <v>598</v>
      </c>
      <c r="E150" s="243" t="s">
        <v>9</v>
      </c>
      <c r="F150" s="244" t="s">
        <v>603</v>
      </c>
      <c r="G150" s="241"/>
      <c r="H150" s="241" t="s">
        <v>604</v>
      </c>
      <c r="I150" s="241"/>
      <c r="J150" s="244" t="s">
        <v>50</v>
      </c>
      <c r="K150" s="241" t="s">
        <v>605</v>
      </c>
      <c r="L150" s="251">
        <v>44461</v>
      </c>
      <c r="M150" s="252">
        <v>254545</v>
      </c>
      <c r="N150" s="241">
        <v>2</v>
      </c>
      <c r="O150" s="253">
        <f t="shared" si="7"/>
        <v>509090</v>
      </c>
      <c r="P150" s="253">
        <v>275000</v>
      </c>
      <c r="Q150" s="253">
        <f t="shared" si="8"/>
        <v>550000</v>
      </c>
    </row>
    <row r="151" spans="2:17">
      <c r="B151" s="200">
        <v>148</v>
      </c>
      <c r="C151" s="241" t="s">
        <v>606</v>
      </c>
      <c r="D151" s="242" t="s">
        <v>598</v>
      </c>
      <c r="E151" s="243" t="s">
        <v>9</v>
      </c>
      <c r="F151" s="244" t="s">
        <v>607</v>
      </c>
      <c r="G151" s="241"/>
      <c r="H151" s="241" t="s">
        <v>608</v>
      </c>
      <c r="I151" s="241"/>
      <c r="J151" s="244" t="s">
        <v>50</v>
      </c>
      <c r="K151" s="241" t="s">
        <v>609</v>
      </c>
      <c r="L151" s="251">
        <v>44461</v>
      </c>
      <c r="M151" s="252">
        <v>254545</v>
      </c>
      <c r="N151" s="241">
        <v>3</v>
      </c>
      <c r="O151" s="253">
        <f t="shared" si="7"/>
        <v>763635</v>
      </c>
      <c r="P151" s="253">
        <v>275000</v>
      </c>
      <c r="Q151" s="253">
        <f t="shared" si="8"/>
        <v>825000</v>
      </c>
    </row>
    <row r="152" spans="2:17">
      <c r="B152" s="200">
        <v>149</v>
      </c>
      <c r="C152" s="241" t="s">
        <v>610</v>
      </c>
      <c r="D152" s="242" t="s">
        <v>598</v>
      </c>
      <c r="E152" s="243" t="s">
        <v>9</v>
      </c>
      <c r="F152" s="244" t="s">
        <v>611</v>
      </c>
      <c r="G152" s="241"/>
      <c r="H152" s="241" t="s">
        <v>612</v>
      </c>
      <c r="I152" s="241"/>
      <c r="J152" s="244" t="s">
        <v>50</v>
      </c>
      <c r="K152" s="241" t="s">
        <v>613</v>
      </c>
      <c r="L152" s="251">
        <v>44461</v>
      </c>
      <c r="M152" s="252">
        <v>254545</v>
      </c>
      <c r="N152" s="241">
        <v>6</v>
      </c>
      <c r="O152" s="253">
        <f t="shared" si="7"/>
        <v>1527270</v>
      </c>
      <c r="P152" s="253">
        <v>275000</v>
      </c>
      <c r="Q152" s="253">
        <f t="shared" si="8"/>
        <v>1650000</v>
      </c>
    </row>
    <row r="153" spans="2:17">
      <c r="B153" s="200">
        <v>150</v>
      </c>
      <c r="C153" s="241" t="s">
        <v>614</v>
      </c>
      <c r="D153" s="242" t="s">
        <v>615</v>
      </c>
      <c r="E153" s="243" t="s">
        <v>9</v>
      </c>
      <c r="F153" s="244" t="s">
        <v>77</v>
      </c>
      <c r="G153" s="241"/>
      <c r="H153" s="241" t="s">
        <v>616</v>
      </c>
      <c r="I153" s="241"/>
      <c r="J153" s="244" t="s">
        <v>50</v>
      </c>
      <c r="K153" s="241" t="s">
        <v>617</v>
      </c>
      <c r="L153" s="251">
        <v>44463</v>
      </c>
      <c r="M153" s="252">
        <v>254545</v>
      </c>
      <c r="N153" s="241">
        <v>1</v>
      </c>
      <c r="O153" s="253">
        <f t="shared" si="7"/>
        <v>254545</v>
      </c>
      <c r="P153" s="253">
        <v>275000</v>
      </c>
      <c r="Q153" s="253">
        <f t="shared" si="8"/>
        <v>275000</v>
      </c>
    </row>
    <row r="154" spans="2:17">
      <c r="B154" s="200">
        <v>151</v>
      </c>
      <c r="C154" s="241" t="s">
        <v>618</v>
      </c>
      <c r="D154" s="242" t="s">
        <v>615</v>
      </c>
      <c r="E154" s="243" t="s">
        <v>9</v>
      </c>
      <c r="F154" s="244" t="s">
        <v>619</v>
      </c>
      <c r="G154" s="241"/>
      <c r="H154" s="241" t="s">
        <v>620</v>
      </c>
      <c r="I154" s="241"/>
      <c r="J154" s="244" t="s">
        <v>50</v>
      </c>
      <c r="K154" s="241" t="s">
        <v>621</v>
      </c>
      <c r="L154" s="251">
        <v>44463</v>
      </c>
      <c r="M154" s="252">
        <v>254545</v>
      </c>
      <c r="N154" s="241">
        <v>1</v>
      </c>
      <c r="O154" s="253">
        <f t="shared" si="7"/>
        <v>254545</v>
      </c>
      <c r="P154" s="253">
        <v>275000</v>
      </c>
      <c r="Q154" s="253">
        <f t="shared" si="8"/>
        <v>275000</v>
      </c>
    </row>
    <row r="155" spans="2:17">
      <c r="B155" s="200">
        <v>152</v>
      </c>
      <c r="C155" s="241" t="s">
        <v>622</v>
      </c>
      <c r="D155" s="242" t="s">
        <v>615</v>
      </c>
      <c r="E155" s="243" t="s">
        <v>9</v>
      </c>
      <c r="F155" s="244" t="s">
        <v>623</v>
      </c>
      <c r="G155" s="241"/>
      <c r="H155" s="241" t="s">
        <v>620</v>
      </c>
      <c r="I155" s="241"/>
      <c r="J155" s="244" t="s">
        <v>50</v>
      </c>
      <c r="K155" s="241" t="s">
        <v>624</v>
      </c>
      <c r="L155" s="251">
        <v>44463</v>
      </c>
      <c r="M155" s="252">
        <v>254545</v>
      </c>
      <c r="N155" s="241">
        <v>5</v>
      </c>
      <c r="O155" s="253">
        <f t="shared" si="7"/>
        <v>1272725</v>
      </c>
      <c r="P155" s="253">
        <v>275000</v>
      </c>
      <c r="Q155" s="253">
        <f t="shared" si="8"/>
        <v>1375000</v>
      </c>
    </row>
    <row r="156" spans="2:17">
      <c r="B156" s="200">
        <v>153</v>
      </c>
      <c r="C156" s="241" t="s">
        <v>625</v>
      </c>
      <c r="D156" s="242" t="s">
        <v>626</v>
      </c>
      <c r="E156" s="243" t="s">
        <v>7</v>
      </c>
      <c r="F156" s="244" t="s">
        <v>627</v>
      </c>
      <c r="G156" s="241"/>
      <c r="H156" s="241" t="s">
        <v>628</v>
      </c>
      <c r="I156" s="241"/>
      <c r="J156" s="244" t="s">
        <v>629</v>
      </c>
      <c r="K156" s="241" t="s">
        <v>630</v>
      </c>
      <c r="L156" s="251">
        <v>44463</v>
      </c>
      <c r="M156" s="252">
        <v>185455</v>
      </c>
      <c r="N156" s="241">
        <v>2</v>
      </c>
      <c r="O156" s="253">
        <f t="shared" si="7"/>
        <v>370910</v>
      </c>
      <c r="P156" s="253">
        <v>231818.81</v>
      </c>
      <c r="Q156" s="253">
        <f t="shared" si="8"/>
        <v>463637.62</v>
      </c>
    </row>
    <row r="157" spans="2:17">
      <c r="B157" s="200">
        <v>154</v>
      </c>
      <c r="C157" s="241" t="s">
        <v>631</v>
      </c>
      <c r="D157" s="242" t="s">
        <v>626</v>
      </c>
      <c r="E157" s="243" t="s">
        <v>7</v>
      </c>
      <c r="F157" s="244" t="s">
        <v>627</v>
      </c>
      <c r="G157" s="241"/>
      <c r="H157" s="241" t="s">
        <v>632</v>
      </c>
      <c r="I157" s="241"/>
      <c r="J157" s="244" t="s">
        <v>63</v>
      </c>
      <c r="K157" s="241" t="s">
        <v>630</v>
      </c>
      <c r="L157" s="251">
        <v>44463</v>
      </c>
      <c r="M157" s="252">
        <v>92727</v>
      </c>
      <c r="N157" s="241">
        <v>2</v>
      </c>
      <c r="O157" s="253">
        <f t="shared" si="7"/>
        <v>185454</v>
      </c>
      <c r="P157" s="253">
        <v>116363.63</v>
      </c>
      <c r="Q157" s="253">
        <f t="shared" si="8"/>
        <v>232727.26</v>
      </c>
    </row>
    <row r="158" spans="2:17" s="1" customFormat="1" ht="12.75">
      <c r="B158" s="200">
        <v>155</v>
      </c>
      <c r="C158" s="237" t="s">
        <v>633</v>
      </c>
      <c r="D158" s="238">
        <v>4800428229</v>
      </c>
      <c r="E158" s="239" t="s">
        <v>12</v>
      </c>
      <c r="F158" s="240" t="s">
        <v>466</v>
      </c>
      <c r="G158" s="237"/>
      <c r="H158" s="237" t="s">
        <v>634</v>
      </c>
      <c r="I158" s="237"/>
      <c r="J158" s="240" t="s">
        <v>85</v>
      </c>
      <c r="K158" s="237" t="s">
        <v>635</v>
      </c>
      <c r="L158" s="248">
        <v>44469</v>
      </c>
      <c r="M158" s="249">
        <v>222727</v>
      </c>
      <c r="N158" s="237">
        <v>8</v>
      </c>
      <c r="O158" s="250">
        <f t="shared" si="7"/>
        <v>1781816</v>
      </c>
      <c r="P158" s="250">
        <v>265136</v>
      </c>
      <c r="Q158" s="250">
        <f t="shared" si="8"/>
        <v>2121088</v>
      </c>
    </row>
    <row r="159" spans="2:17" s="1" customFormat="1" ht="12.75">
      <c r="B159" s="200">
        <v>156</v>
      </c>
      <c r="C159" s="237" t="s">
        <v>636</v>
      </c>
      <c r="D159" s="238" t="s">
        <v>637</v>
      </c>
      <c r="E159" s="239" t="s">
        <v>9</v>
      </c>
      <c r="F159" s="240" t="s">
        <v>638</v>
      </c>
      <c r="G159" s="237"/>
      <c r="H159" s="237" t="s">
        <v>526</v>
      </c>
      <c r="I159" s="237"/>
      <c r="J159" s="240" t="s">
        <v>50</v>
      </c>
      <c r="K159" s="237" t="s">
        <v>639</v>
      </c>
      <c r="L159" s="248">
        <v>44475</v>
      </c>
      <c r="M159" s="249">
        <v>254545</v>
      </c>
      <c r="N159" s="237">
        <v>1</v>
      </c>
      <c r="O159" s="250">
        <f t="shared" si="7"/>
        <v>254545</v>
      </c>
      <c r="P159" s="250">
        <v>275000</v>
      </c>
      <c r="Q159" s="250">
        <f t="shared" si="8"/>
        <v>275000</v>
      </c>
    </row>
    <row r="160" spans="2:17">
      <c r="B160" s="200">
        <v>157</v>
      </c>
      <c r="C160" s="237" t="s">
        <v>640</v>
      </c>
      <c r="D160" s="238" t="s">
        <v>641</v>
      </c>
      <c r="E160" s="239" t="s">
        <v>9</v>
      </c>
      <c r="F160" s="240" t="s">
        <v>206</v>
      </c>
      <c r="G160" s="237"/>
      <c r="H160" s="237" t="s">
        <v>642</v>
      </c>
      <c r="I160" s="237"/>
      <c r="J160" s="240" t="s">
        <v>50</v>
      </c>
      <c r="K160" s="237" t="s">
        <v>643</v>
      </c>
      <c r="L160" s="248">
        <v>44475</v>
      </c>
      <c r="M160" s="249">
        <v>254545</v>
      </c>
      <c r="N160" s="237">
        <v>1</v>
      </c>
      <c r="O160" s="250">
        <f t="shared" si="7"/>
        <v>254545</v>
      </c>
      <c r="P160" s="250">
        <v>275000</v>
      </c>
      <c r="Q160" s="250">
        <f t="shared" si="8"/>
        <v>275000</v>
      </c>
    </row>
    <row r="161" spans="2:17">
      <c r="B161" s="200">
        <v>158</v>
      </c>
      <c r="C161" s="237" t="s">
        <v>644</v>
      </c>
      <c r="D161" s="238" t="s">
        <v>641</v>
      </c>
      <c r="E161" s="239" t="s">
        <v>9</v>
      </c>
      <c r="F161" s="240" t="s">
        <v>645</v>
      </c>
      <c r="G161" s="237"/>
      <c r="H161" s="237" t="s">
        <v>642</v>
      </c>
      <c r="I161" s="237"/>
      <c r="J161" s="240" t="s">
        <v>50</v>
      </c>
      <c r="K161" s="237" t="s">
        <v>646</v>
      </c>
      <c r="L161" s="248">
        <v>44475</v>
      </c>
      <c r="M161" s="249">
        <v>254545</v>
      </c>
      <c r="N161" s="237">
        <v>1</v>
      </c>
      <c r="O161" s="250">
        <f t="shared" si="7"/>
        <v>254545</v>
      </c>
      <c r="P161" s="250">
        <v>275000</v>
      </c>
      <c r="Q161" s="250">
        <f t="shared" si="8"/>
        <v>275000</v>
      </c>
    </row>
    <row r="162" spans="2:17">
      <c r="B162" s="200">
        <v>159</v>
      </c>
      <c r="C162" s="237" t="s">
        <v>647</v>
      </c>
      <c r="D162" s="238" t="s">
        <v>641</v>
      </c>
      <c r="E162" s="239" t="s">
        <v>9</v>
      </c>
      <c r="F162" s="240" t="s">
        <v>648</v>
      </c>
      <c r="G162" s="237"/>
      <c r="H162" s="237" t="s">
        <v>642</v>
      </c>
      <c r="I162" s="237"/>
      <c r="J162" s="240" t="s">
        <v>50</v>
      </c>
      <c r="K162" s="237" t="s">
        <v>649</v>
      </c>
      <c r="L162" s="248">
        <v>44475</v>
      </c>
      <c r="M162" s="249">
        <v>254545</v>
      </c>
      <c r="N162" s="237">
        <v>1</v>
      </c>
      <c r="O162" s="250">
        <f t="shared" si="7"/>
        <v>254545</v>
      </c>
      <c r="P162" s="250">
        <v>275000</v>
      </c>
      <c r="Q162" s="250">
        <f t="shared" si="8"/>
        <v>275000</v>
      </c>
    </row>
    <row r="163" spans="2:17">
      <c r="B163" s="200">
        <v>160</v>
      </c>
      <c r="C163" s="237" t="s">
        <v>650</v>
      </c>
      <c r="D163" s="238" t="s">
        <v>651</v>
      </c>
      <c r="E163" s="239" t="s">
        <v>9</v>
      </c>
      <c r="F163" s="240" t="s">
        <v>652</v>
      </c>
      <c r="G163" s="237"/>
      <c r="H163" s="237" t="s">
        <v>642</v>
      </c>
      <c r="I163" s="237"/>
      <c r="J163" s="240" t="s">
        <v>50</v>
      </c>
      <c r="K163" s="237" t="s">
        <v>653</v>
      </c>
      <c r="L163" s="248">
        <v>44476</v>
      </c>
      <c r="M163" s="249">
        <v>254545</v>
      </c>
      <c r="N163" s="237">
        <v>1</v>
      </c>
      <c r="O163" s="250">
        <f t="shared" si="7"/>
        <v>254545</v>
      </c>
      <c r="P163" s="250">
        <v>275000</v>
      </c>
      <c r="Q163" s="250">
        <f t="shared" si="8"/>
        <v>275000</v>
      </c>
    </row>
    <row r="164" spans="2:17">
      <c r="B164" s="200">
        <v>161</v>
      </c>
      <c r="C164" s="237" t="s">
        <v>654</v>
      </c>
      <c r="D164" s="238" t="s">
        <v>655</v>
      </c>
      <c r="E164" s="239" t="s">
        <v>9</v>
      </c>
      <c r="F164" s="240" t="s">
        <v>206</v>
      </c>
      <c r="G164" s="237"/>
      <c r="H164" s="237" t="s">
        <v>656</v>
      </c>
      <c r="I164" s="237"/>
      <c r="J164" s="240" t="s">
        <v>50</v>
      </c>
      <c r="K164" s="237" t="s">
        <v>657</v>
      </c>
      <c r="L164" s="248">
        <v>44480</v>
      </c>
      <c r="M164" s="249">
        <v>254545</v>
      </c>
      <c r="N164" s="237">
        <v>1</v>
      </c>
      <c r="O164" s="250">
        <f t="shared" si="7"/>
        <v>254545</v>
      </c>
      <c r="P164" s="250">
        <v>275000</v>
      </c>
      <c r="Q164" s="250">
        <f t="shared" si="8"/>
        <v>275000</v>
      </c>
    </row>
    <row r="165" spans="2:17">
      <c r="B165" s="200">
        <v>162</v>
      </c>
      <c r="C165" s="237" t="s">
        <v>658</v>
      </c>
      <c r="D165" s="238" t="s">
        <v>659</v>
      </c>
      <c r="E165" s="239" t="s">
        <v>9</v>
      </c>
      <c r="F165" s="240" t="s">
        <v>660</v>
      </c>
      <c r="G165" s="237"/>
      <c r="H165" s="237" t="s">
        <v>661</v>
      </c>
      <c r="I165" s="237"/>
      <c r="J165" s="240" t="s">
        <v>50</v>
      </c>
      <c r="K165" s="237" t="s">
        <v>662</v>
      </c>
      <c r="L165" s="248">
        <v>44481</v>
      </c>
      <c r="M165" s="249">
        <v>254545</v>
      </c>
      <c r="N165" s="237">
        <v>1</v>
      </c>
      <c r="O165" s="250">
        <f t="shared" si="7"/>
        <v>254545</v>
      </c>
      <c r="P165" s="250">
        <v>275000</v>
      </c>
      <c r="Q165" s="250">
        <f t="shared" si="8"/>
        <v>275000</v>
      </c>
    </row>
    <row r="166" spans="2:17">
      <c r="B166" s="200">
        <v>163</v>
      </c>
      <c r="C166" s="237" t="s">
        <v>663</v>
      </c>
      <c r="D166" s="238" t="s">
        <v>664</v>
      </c>
      <c r="E166" s="239" t="s">
        <v>9</v>
      </c>
      <c r="F166" s="240" t="s">
        <v>665</v>
      </c>
      <c r="G166" s="237"/>
      <c r="H166" s="237" t="s">
        <v>666</v>
      </c>
      <c r="I166" s="237"/>
      <c r="J166" s="240" t="s">
        <v>50</v>
      </c>
      <c r="K166" s="237" t="s">
        <v>667</v>
      </c>
      <c r="L166" s="248">
        <v>44488</v>
      </c>
      <c r="M166" s="249">
        <v>254545</v>
      </c>
      <c r="N166" s="237">
        <v>1</v>
      </c>
      <c r="O166" s="250">
        <f t="shared" si="7"/>
        <v>254545</v>
      </c>
      <c r="P166" s="250">
        <v>275000</v>
      </c>
      <c r="Q166" s="250">
        <f t="shared" si="8"/>
        <v>275000</v>
      </c>
    </row>
    <row r="167" spans="2:17">
      <c r="B167" s="200">
        <v>164</v>
      </c>
      <c r="C167" s="237" t="s">
        <v>668</v>
      </c>
      <c r="D167" s="238" t="s">
        <v>664</v>
      </c>
      <c r="E167" s="239" t="s">
        <v>9</v>
      </c>
      <c r="F167" s="240" t="s">
        <v>669</v>
      </c>
      <c r="G167" s="237"/>
      <c r="H167" s="237" t="s">
        <v>666</v>
      </c>
      <c r="I167" s="237"/>
      <c r="J167" s="240" t="s">
        <v>50</v>
      </c>
      <c r="K167" s="237" t="s">
        <v>670</v>
      </c>
      <c r="L167" s="248">
        <v>44488</v>
      </c>
      <c r="M167" s="249">
        <v>254545</v>
      </c>
      <c r="N167" s="237">
        <v>1</v>
      </c>
      <c r="O167" s="250">
        <f t="shared" si="7"/>
        <v>254545</v>
      </c>
      <c r="P167" s="250">
        <v>275000</v>
      </c>
      <c r="Q167" s="250">
        <f t="shared" si="8"/>
        <v>275000</v>
      </c>
    </row>
    <row r="168" spans="2:17">
      <c r="B168" s="200">
        <v>165</v>
      </c>
      <c r="C168" s="237" t="s">
        <v>671</v>
      </c>
      <c r="D168" s="238" t="s">
        <v>672</v>
      </c>
      <c r="E168" s="239" t="s">
        <v>9</v>
      </c>
      <c r="F168" s="240" t="s">
        <v>673</v>
      </c>
      <c r="G168" s="237"/>
      <c r="H168" s="237" t="s">
        <v>674</v>
      </c>
      <c r="I168" s="237"/>
      <c r="J168" s="240" t="s">
        <v>50</v>
      </c>
      <c r="K168" s="237" t="s">
        <v>675</v>
      </c>
      <c r="L168" s="248">
        <v>44490</v>
      </c>
      <c r="M168" s="249">
        <v>254545</v>
      </c>
      <c r="N168" s="237">
        <v>1</v>
      </c>
      <c r="O168" s="250">
        <f t="shared" si="7"/>
        <v>254545</v>
      </c>
      <c r="P168" s="250">
        <v>275000</v>
      </c>
      <c r="Q168" s="250">
        <f t="shared" si="8"/>
        <v>275000</v>
      </c>
    </row>
    <row r="169" spans="2:17">
      <c r="B169" s="200">
        <v>166</v>
      </c>
      <c r="C169" s="237" t="s">
        <v>676</v>
      </c>
      <c r="D169" s="238" t="s">
        <v>672</v>
      </c>
      <c r="E169" s="239" t="s">
        <v>9</v>
      </c>
      <c r="F169" s="240" t="s">
        <v>206</v>
      </c>
      <c r="G169" s="237"/>
      <c r="H169" s="237" t="s">
        <v>674</v>
      </c>
      <c r="I169" s="237"/>
      <c r="J169" s="240" t="s">
        <v>50</v>
      </c>
      <c r="K169" s="237" t="s">
        <v>677</v>
      </c>
      <c r="L169" s="248">
        <v>44490</v>
      </c>
      <c r="M169" s="249">
        <v>254545</v>
      </c>
      <c r="N169" s="237">
        <v>2</v>
      </c>
      <c r="O169" s="250">
        <f t="shared" si="7"/>
        <v>509090</v>
      </c>
      <c r="P169" s="250">
        <v>275000</v>
      </c>
      <c r="Q169" s="250">
        <f t="shared" si="8"/>
        <v>550000</v>
      </c>
    </row>
    <row r="170" spans="2:17">
      <c r="B170" s="200">
        <v>167</v>
      </c>
      <c r="C170" s="237" t="s">
        <v>678</v>
      </c>
      <c r="D170" s="238" t="s">
        <v>672</v>
      </c>
      <c r="E170" s="239" t="s">
        <v>9</v>
      </c>
      <c r="F170" s="240" t="s">
        <v>679</v>
      </c>
      <c r="G170" s="237"/>
      <c r="H170" s="237" t="s">
        <v>680</v>
      </c>
      <c r="I170" s="237"/>
      <c r="J170" s="240" t="s">
        <v>50</v>
      </c>
      <c r="K170" s="237" t="s">
        <v>681</v>
      </c>
      <c r="L170" s="248">
        <v>44490</v>
      </c>
      <c r="M170" s="249">
        <v>254545</v>
      </c>
      <c r="N170" s="237">
        <v>1</v>
      </c>
      <c r="O170" s="250">
        <f t="shared" si="7"/>
        <v>254545</v>
      </c>
      <c r="P170" s="250">
        <v>275000</v>
      </c>
      <c r="Q170" s="250">
        <f t="shared" si="8"/>
        <v>275000</v>
      </c>
    </row>
    <row r="171" spans="2:17">
      <c r="B171" s="200">
        <v>168</v>
      </c>
      <c r="C171" s="237" t="s">
        <v>682</v>
      </c>
      <c r="D171" s="238" t="s">
        <v>683</v>
      </c>
      <c r="E171" s="239" t="s">
        <v>9</v>
      </c>
      <c r="F171" s="240" t="s">
        <v>684</v>
      </c>
      <c r="G171" s="237"/>
      <c r="H171" s="237" t="s">
        <v>685</v>
      </c>
      <c r="I171" s="237"/>
      <c r="J171" s="240" t="s">
        <v>50</v>
      </c>
      <c r="K171" s="237" t="s">
        <v>686</v>
      </c>
      <c r="L171" s="248">
        <v>44497</v>
      </c>
      <c r="M171" s="249">
        <v>254545</v>
      </c>
      <c r="N171" s="237">
        <v>1</v>
      </c>
      <c r="O171" s="250">
        <f t="shared" si="7"/>
        <v>254545</v>
      </c>
      <c r="P171" s="250">
        <v>275000</v>
      </c>
      <c r="Q171" s="250">
        <f t="shared" si="8"/>
        <v>275000</v>
      </c>
    </row>
    <row r="172" spans="2:17">
      <c r="B172" s="200">
        <v>169</v>
      </c>
      <c r="C172" s="237" t="s">
        <v>687</v>
      </c>
      <c r="D172" s="238" t="s">
        <v>683</v>
      </c>
      <c r="E172" s="239" t="s">
        <v>9</v>
      </c>
      <c r="F172" s="240" t="s">
        <v>238</v>
      </c>
      <c r="G172" s="237"/>
      <c r="H172" s="237" t="s">
        <v>688</v>
      </c>
      <c r="I172" s="237"/>
      <c r="J172" s="240" t="s">
        <v>50</v>
      </c>
      <c r="K172" s="237" t="s">
        <v>689</v>
      </c>
      <c r="L172" s="248">
        <v>44497</v>
      </c>
      <c r="M172" s="249">
        <v>254545</v>
      </c>
      <c r="N172" s="237">
        <v>1</v>
      </c>
      <c r="O172" s="250">
        <f t="shared" si="7"/>
        <v>254545</v>
      </c>
      <c r="P172" s="250">
        <v>275000</v>
      </c>
      <c r="Q172" s="250">
        <f t="shared" si="8"/>
        <v>275000</v>
      </c>
    </row>
    <row r="173" spans="2:17">
      <c r="B173" s="200">
        <v>170</v>
      </c>
      <c r="C173" s="241" t="s">
        <v>690</v>
      </c>
      <c r="D173" s="242" t="s">
        <v>691</v>
      </c>
      <c r="E173" s="243" t="s">
        <v>9</v>
      </c>
      <c r="F173" s="244" t="s">
        <v>692</v>
      </c>
      <c r="G173" s="241"/>
      <c r="H173" s="241" t="s">
        <v>693</v>
      </c>
      <c r="I173" s="241"/>
      <c r="J173" s="244" t="s">
        <v>50</v>
      </c>
      <c r="K173" s="241" t="s">
        <v>694</v>
      </c>
      <c r="L173" s="251">
        <v>44508</v>
      </c>
      <c r="M173" s="252">
        <v>254545</v>
      </c>
      <c r="N173" s="241">
        <v>3</v>
      </c>
      <c r="O173" s="253">
        <f t="shared" si="7"/>
        <v>763635</v>
      </c>
      <c r="P173" s="253">
        <v>275000</v>
      </c>
      <c r="Q173" s="253">
        <f t="shared" si="8"/>
        <v>825000</v>
      </c>
    </row>
    <row r="174" spans="2:17">
      <c r="B174" s="200">
        <v>171</v>
      </c>
      <c r="C174" s="241" t="s">
        <v>695</v>
      </c>
      <c r="D174" s="242" t="s">
        <v>696</v>
      </c>
      <c r="E174" s="243" t="s">
        <v>9</v>
      </c>
      <c r="F174" s="244" t="s">
        <v>697</v>
      </c>
      <c r="G174" s="241"/>
      <c r="H174" s="241" t="s">
        <v>693</v>
      </c>
      <c r="I174" s="241"/>
      <c r="J174" s="244" t="s">
        <v>50</v>
      </c>
      <c r="K174" s="241" t="s">
        <v>698</v>
      </c>
      <c r="L174" s="251">
        <v>44508</v>
      </c>
      <c r="M174" s="252">
        <v>254545</v>
      </c>
      <c r="N174" s="241">
        <v>2</v>
      </c>
      <c r="O174" s="253">
        <f t="shared" si="7"/>
        <v>509090</v>
      </c>
      <c r="P174" s="253">
        <v>275000</v>
      </c>
      <c r="Q174" s="253">
        <f t="shared" si="8"/>
        <v>550000</v>
      </c>
    </row>
    <row r="175" spans="2:17">
      <c r="B175" s="200">
        <v>172</v>
      </c>
      <c r="C175" s="241" t="s">
        <v>699</v>
      </c>
      <c r="D175" s="242" t="s">
        <v>700</v>
      </c>
      <c r="E175" s="243" t="s">
        <v>9</v>
      </c>
      <c r="F175" s="244" t="s">
        <v>701</v>
      </c>
      <c r="G175" s="241"/>
      <c r="H175" s="241" t="s">
        <v>688</v>
      </c>
      <c r="I175" s="241"/>
      <c r="J175" s="244" t="s">
        <v>50</v>
      </c>
      <c r="K175" s="241" t="s">
        <v>702</v>
      </c>
      <c r="L175" s="251">
        <v>44509</v>
      </c>
      <c r="M175" s="252">
        <v>254545</v>
      </c>
      <c r="N175" s="241">
        <v>1</v>
      </c>
      <c r="O175" s="253">
        <f t="shared" si="7"/>
        <v>254545</v>
      </c>
      <c r="P175" s="253">
        <v>275000</v>
      </c>
      <c r="Q175" s="253">
        <f t="shared" si="8"/>
        <v>275000</v>
      </c>
    </row>
    <row r="176" spans="2:17">
      <c r="B176" s="200">
        <v>173</v>
      </c>
      <c r="C176" s="241" t="s">
        <v>703</v>
      </c>
      <c r="D176" s="242" t="s">
        <v>704</v>
      </c>
      <c r="E176" s="243" t="s">
        <v>9</v>
      </c>
      <c r="F176" s="244" t="s">
        <v>705</v>
      </c>
      <c r="G176" s="241"/>
      <c r="H176" s="241" t="s">
        <v>706</v>
      </c>
      <c r="I176" s="241"/>
      <c r="J176" s="244" t="s">
        <v>50</v>
      </c>
      <c r="K176" s="241" t="s">
        <v>707</v>
      </c>
      <c r="L176" s="251">
        <v>44510</v>
      </c>
      <c r="M176" s="252">
        <v>254545</v>
      </c>
      <c r="N176" s="241">
        <v>3</v>
      </c>
      <c r="O176" s="253">
        <f t="shared" si="7"/>
        <v>763635</v>
      </c>
      <c r="P176" s="253">
        <v>275000</v>
      </c>
      <c r="Q176" s="253">
        <f t="shared" si="8"/>
        <v>825000</v>
      </c>
    </row>
    <row r="177" spans="2:17">
      <c r="B177" s="200">
        <v>174</v>
      </c>
      <c r="C177" s="241" t="s">
        <v>708</v>
      </c>
      <c r="D177" s="242" t="s">
        <v>709</v>
      </c>
      <c r="E177" s="243" t="s">
        <v>9</v>
      </c>
      <c r="F177" s="244" t="s">
        <v>72</v>
      </c>
      <c r="G177" s="241"/>
      <c r="H177" s="241" t="s">
        <v>710</v>
      </c>
      <c r="I177" s="241"/>
      <c r="J177" s="244" t="s">
        <v>50</v>
      </c>
      <c r="K177" s="241" t="s">
        <v>711</v>
      </c>
      <c r="L177" s="251">
        <v>44515</v>
      </c>
      <c r="M177" s="252">
        <v>254545</v>
      </c>
      <c r="N177" s="241">
        <v>1</v>
      </c>
      <c r="O177" s="253">
        <f t="shared" si="7"/>
        <v>254545</v>
      </c>
      <c r="P177" s="253">
        <v>275000</v>
      </c>
      <c r="Q177" s="253">
        <f t="shared" si="8"/>
        <v>275000</v>
      </c>
    </row>
    <row r="178" spans="2:17">
      <c r="B178" s="200">
        <v>175</v>
      </c>
      <c r="C178" s="241" t="s">
        <v>712</v>
      </c>
      <c r="D178" s="242" t="s">
        <v>713</v>
      </c>
      <c r="E178" s="243" t="s">
        <v>7</v>
      </c>
      <c r="F178" s="244" t="s">
        <v>83</v>
      </c>
      <c r="G178" s="241"/>
      <c r="H178" s="241" t="s">
        <v>714</v>
      </c>
      <c r="I178" s="241"/>
      <c r="J178" s="244" t="s">
        <v>85</v>
      </c>
      <c r="K178" s="241" t="s">
        <v>715</v>
      </c>
      <c r="L178" s="251">
        <v>44516</v>
      </c>
      <c r="M178" s="252">
        <v>222727</v>
      </c>
      <c r="N178" s="241">
        <v>154</v>
      </c>
      <c r="O178" s="253">
        <f t="shared" si="7"/>
        <v>34299958</v>
      </c>
      <c r="P178" s="253">
        <v>279090.90999999997</v>
      </c>
      <c r="Q178" s="253">
        <f t="shared" si="8"/>
        <v>42980000.139999993</v>
      </c>
    </row>
    <row r="179" spans="2:17">
      <c r="B179" s="200">
        <v>176</v>
      </c>
      <c r="C179" s="241" t="s">
        <v>716</v>
      </c>
      <c r="D179" s="242" t="s">
        <v>717</v>
      </c>
      <c r="E179" s="243" t="s">
        <v>9</v>
      </c>
      <c r="F179" s="244" t="s">
        <v>718</v>
      </c>
      <c r="G179" s="241"/>
      <c r="H179" s="241" t="s">
        <v>719</v>
      </c>
      <c r="I179" s="241"/>
      <c r="J179" s="244" t="s">
        <v>50</v>
      </c>
      <c r="K179" s="241" t="s">
        <v>720</v>
      </c>
      <c r="L179" s="251">
        <v>44515</v>
      </c>
      <c r="M179" s="252">
        <v>254545</v>
      </c>
      <c r="N179" s="241">
        <v>7</v>
      </c>
      <c r="O179" s="253">
        <f t="shared" si="7"/>
        <v>1781815</v>
      </c>
      <c r="P179" s="253">
        <v>275000</v>
      </c>
      <c r="Q179" s="253">
        <f t="shared" si="8"/>
        <v>1925000</v>
      </c>
    </row>
    <row r="180" spans="2:17">
      <c r="B180" s="200">
        <v>177</v>
      </c>
      <c r="C180" s="241" t="s">
        <v>721</v>
      </c>
      <c r="D180" s="242" t="s">
        <v>722</v>
      </c>
      <c r="E180" s="243" t="s">
        <v>9</v>
      </c>
      <c r="F180" s="244" t="s">
        <v>723</v>
      </c>
      <c r="G180" s="241"/>
      <c r="H180" s="241" t="s">
        <v>724</v>
      </c>
      <c r="I180" s="241"/>
      <c r="J180" s="244" t="s">
        <v>50</v>
      </c>
      <c r="K180" s="241" t="s">
        <v>725</v>
      </c>
      <c r="L180" s="251">
        <v>44517</v>
      </c>
      <c r="M180" s="252">
        <v>254545</v>
      </c>
      <c r="N180" s="241">
        <v>1</v>
      </c>
      <c r="O180" s="253">
        <f t="shared" si="7"/>
        <v>254545</v>
      </c>
      <c r="P180" s="253">
        <v>275000</v>
      </c>
      <c r="Q180" s="253">
        <f t="shared" si="8"/>
        <v>275000</v>
      </c>
    </row>
    <row r="181" spans="2:17">
      <c r="B181" s="200">
        <v>178</v>
      </c>
      <c r="C181" s="241" t="s">
        <v>726</v>
      </c>
      <c r="D181" s="242" t="s">
        <v>727</v>
      </c>
      <c r="E181" s="243" t="s">
        <v>9</v>
      </c>
      <c r="F181" s="244" t="s">
        <v>728</v>
      </c>
      <c r="G181" s="241"/>
      <c r="H181" s="241" t="s">
        <v>729</v>
      </c>
      <c r="I181" s="241"/>
      <c r="J181" s="244" t="s">
        <v>50</v>
      </c>
      <c r="K181" s="241" t="s">
        <v>730</v>
      </c>
      <c r="L181" s="251">
        <v>44522</v>
      </c>
      <c r="M181" s="252">
        <v>254545</v>
      </c>
      <c r="N181" s="241">
        <v>1</v>
      </c>
      <c r="O181" s="253">
        <f t="shared" si="7"/>
        <v>254545</v>
      </c>
      <c r="P181" s="253">
        <v>275000</v>
      </c>
      <c r="Q181" s="253">
        <f t="shared" si="8"/>
        <v>275000</v>
      </c>
    </row>
    <row r="182" spans="2:17">
      <c r="B182" s="200">
        <v>179</v>
      </c>
      <c r="C182" s="241" t="s">
        <v>731</v>
      </c>
      <c r="D182" s="242" t="s">
        <v>732</v>
      </c>
      <c r="E182" s="243" t="s">
        <v>10</v>
      </c>
      <c r="F182" s="244" t="s">
        <v>733</v>
      </c>
      <c r="G182" s="241"/>
      <c r="H182" s="241" t="s">
        <v>734</v>
      </c>
      <c r="I182" s="241"/>
      <c r="J182" s="244" t="s">
        <v>85</v>
      </c>
      <c r="K182" s="241" t="s">
        <v>735</v>
      </c>
      <c r="L182" s="251">
        <v>44522</v>
      </c>
      <c r="M182" s="252">
        <v>254545</v>
      </c>
      <c r="N182" s="241">
        <v>1</v>
      </c>
      <c r="O182" s="253">
        <f t="shared" si="7"/>
        <v>254545</v>
      </c>
      <c r="P182" s="253">
        <v>275000</v>
      </c>
      <c r="Q182" s="253">
        <f t="shared" si="8"/>
        <v>275000</v>
      </c>
    </row>
    <row r="183" spans="2:17">
      <c r="B183" s="200">
        <v>180</v>
      </c>
      <c r="C183" s="237" t="s">
        <v>736</v>
      </c>
      <c r="D183" s="238" t="s">
        <v>737</v>
      </c>
      <c r="E183" s="239" t="s">
        <v>9</v>
      </c>
      <c r="F183" s="240" t="s">
        <v>738</v>
      </c>
      <c r="G183" s="237"/>
      <c r="H183" s="254" t="s">
        <v>739</v>
      </c>
      <c r="I183" s="237"/>
      <c r="J183" s="240" t="s">
        <v>50</v>
      </c>
      <c r="K183" s="237" t="s">
        <v>740</v>
      </c>
      <c r="L183" s="248">
        <v>44543</v>
      </c>
      <c r="M183" s="249">
        <v>254545</v>
      </c>
      <c r="N183" s="237">
        <v>1</v>
      </c>
      <c r="O183" s="250">
        <f t="shared" si="7"/>
        <v>254545</v>
      </c>
      <c r="P183" s="250">
        <v>275000</v>
      </c>
      <c r="Q183" s="250">
        <f t="shared" si="8"/>
        <v>275000</v>
      </c>
    </row>
    <row r="184" spans="2:17">
      <c r="B184" s="200">
        <v>181</v>
      </c>
      <c r="C184" s="237" t="s">
        <v>741</v>
      </c>
      <c r="D184" s="238">
        <v>4800437545</v>
      </c>
      <c r="E184" s="239" t="s">
        <v>12</v>
      </c>
      <c r="F184" s="240" t="s">
        <v>742</v>
      </c>
      <c r="G184" s="237"/>
      <c r="H184" s="254" t="s">
        <v>743</v>
      </c>
      <c r="I184" s="237"/>
      <c r="J184" s="240" t="s">
        <v>92</v>
      </c>
      <c r="K184" s="237" t="s">
        <v>744</v>
      </c>
      <c r="L184" s="248">
        <v>44545</v>
      </c>
      <c r="M184" s="249">
        <v>32272.73</v>
      </c>
      <c r="N184" s="237">
        <v>292</v>
      </c>
      <c r="O184" s="250">
        <f t="shared" si="7"/>
        <v>9423637.1600000001</v>
      </c>
      <c r="P184" s="250">
        <v>35500</v>
      </c>
      <c r="Q184" s="250">
        <f t="shared" si="8"/>
        <v>10366000</v>
      </c>
    </row>
    <row r="185" spans="2:17">
      <c r="B185" s="200">
        <v>182</v>
      </c>
      <c r="C185" s="237" t="s">
        <v>745</v>
      </c>
      <c r="D185" s="238" t="s">
        <v>746</v>
      </c>
      <c r="E185" s="239" t="s">
        <v>9</v>
      </c>
      <c r="F185" s="240" t="s">
        <v>747</v>
      </c>
      <c r="G185" s="237"/>
      <c r="H185" s="237" t="s">
        <v>748</v>
      </c>
      <c r="I185" s="237"/>
      <c r="J185" s="240" t="s">
        <v>50</v>
      </c>
      <c r="K185" s="237" t="s">
        <v>749</v>
      </c>
      <c r="L185" s="248">
        <v>44551</v>
      </c>
      <c r="M185" s="249">
        <v>254545</v>
      </c>
      <c r="N185" s="237">
        <v>1</v>
      </c>
      <c r="O185" s="250">
        <f t="shared" si="7"/>
        <v>254545</v>
      </c>
      <c r="P185" s="250">
        <v>275000</v>
      </c>
      <c r="Q185" s="250">
        <f t="shared" si="8"/>
        <v>275000</v>
      </c>
    </row>
    <row r="186" spans="2:17">
      <c r="B186" s="200">
        <v>183</v>
      </c>
      <c r="C186" s="237" t="s">
        <v>750</v>
      </c>
      <c r="D186" s="238" t="s">
        <v>746</v>
      </c>
      <c r="E186" s="239" t="s">
        <v>9</v>
      </c>
      <c r="F186" s="240" t="s">
        <v>751</v>
      </c>
      <c r="G186" s="237"/>
      <c r="H186" s="237" t="s">
        <v>752</v>
      </c>
      <c r="I186" s="237"/>
      <c r="J186" s="240" t="s">
        <v>50</v>
      </c>
      <c r="K186" s="237" t="s">
        <v>753</v>
      </c>
      <c r="L186" s="248">
        <v>44551</v>
      </c>
      <c r="M186" s="249">
        <v>254545</v>
      </c>
      <c r="N186" s="237">
        <v>1</v>
      </c>
      <c r="O186" s="250">
        <f t="shared" si="7"/>
        <v>254545</v>
      </c>
      <c r="P186" s="250">
        <v>275000</v>
      </c>
      <c r="Q186" s="250">
        <f t="shared" si="8"/>
        <v>275000</v>
      </c>
    </row>
    <row r="187" spans="2:17">
      <c r="B187" s="200">
        <v>184</v>
      </c>
      <c r="C187" s="237" t="s">
        <v>754</v>
      </c>
      <c r="D187" s="238" t="s">
        <v>746</v>
      </c>
      <c r="E187" s="239" t="s">
        <v>9</v>
      </c>
      <c r="F187" s="240" t="s">
        <v>679</v>
      </c>
      <c r="G187" s="237"/>
      <c r="H187" s="237" t="s">
        <v>755</v>
      </c>
      <c r="I187" s="237"/>
      <c r="J187" s="240" t="s">
        <v>50</v>
      </c>
      <c r="K187" s="237" t="s">
        <v>756</v>
      </c>
      <c r="L187" s="248">
        <v>44551</v>
      </c>
      <c r="M187" s="249">
        <v>254545</v>
      </c>
      <c r="N187" s="237">
        <v>1</v>
      </c>
      <c r="O187" s="250">
        <f t="shared" si="7"/>
        <v>254545</v>
      </c>
      <c r="P187" s="250">
        <v>275000</v>
      </c>
      <c r="Q187" s="250">
        <f t="shared" si="8"/>
        <v>275000</v>
      </c>
    </row>
    <row r="188" spans="2:17">
      <c r="B188" s="200">
        <v>185</v>
      </c>
      <c r="C188" s="237" t="s">
        <v>757</v>
      </c>
      <c r="D188" s="238" t="s">
        <v>746</v>
      </c>
      <c r="E188" s="239" t="s">
        <v>9</v>
      </c>
      <c r="F188" s="240" t="s">
        <v>758</v>
      </c>
      <c r="G188" s="237"/>
      <c r="H188" s="237" t="s">
        <v>755</v>
      </c>
      <c r="I188" s="237"/>
      <c r="J188" s="240" t="s">
        <v>50</v>
      </c>
      <c r="K188" s="237" t="s">
        <v>759</v>
      </c>
      <c r="L188" s="248">
        <v>44551</v>
      </c>
      <c r="M188" s="249">
        <v>254545</v>
      </c>
      <c r="N188" s="237">
        <v>1</v>
      </c>
      <c r="O188" s="250">
        <f t="shared" si="7"/>
        <v>254545</v>
      </c>
      <c r="P188" s="250">
        <v>275000</v>
      </c>
      <c r="Q188" s="250">
        <f t="shared" si="8"/>
        <v>275000</v>
      </c>
    </row>
    <row r="189" spans="2:17">
      <c r="B189" s="200">
        <v>186</v>
      </c>
      <c r="C189" s="237" t="s">
        <v>760</v>
      </c>
      <c r="D189" s="238" t="s">
        <v>746</v>
      </c>
      <c r="E189" s="239" t="s">
        <v>9</v>
      </c>
      <c r="F189" s="240" t="s">
        <v>761</v>
      </c>
      <c r="G189" s="237"/>
      <c r="H189" s="237" t="s">
        <v>755</v>
      </c>
      <c r="I189" s="237"/>
      <c r="J189" s="240" t="s">
        <v>50</v>
      </c>
      <c r="K189" s="237" t="s">
        <v>762</v>
      </c>
      <c r="L189" s="248">
        <v>44551</v>
      </c>
      <c r="M189" s="249">
        <v>254545</v>
      </c>
      <c r="N189" s="237">
        <v>6</v>
      </c>
      <c r="O189" s="250">
        <f t="shared" ref="O189:O195" si="9">N189*M189</f>
        <v>1527270</v>
      </c>
      <c r="P189" s="250">
        <v>275000</v>
      </c>
      <c r="Q189" s="250">
        <f t="shared" si="8"/>
        <v>1650000</v>
      </c>
    </row>
    <row r="190" spans="2:17">
      <c r="B190" s="200">
        <v>187</v>
      </c>
      <c r="C190" s="237" t="s">
        <v>763</v>
      </c>
      <c r="D190" s="238" t="s">
        <v>764</v>
      </c>
      <c r="E190" s="239" t="s">
        <v>9</v>
      </c>
      <c r="F190" s="240" t="s">
        <v>765</v>
      </c>
      <c r="G190" s="237"/>
      <c r="H190" s="237" t="s">
        <v>766</v>
      </c>
      <c r="I190" s="237"/>
      <c r="J190" s="240" t="s">
        <v>50</v>
      </c>
      <c r="K190" s="237" t="s">
        <v>767</v>
      </c>
      <c r="L190" s="248">
        <v>44553</v>
      </c>
      <c r="M190" s="249">
        <v>254545</v>
      </c>
      <c r="N190" s="237">
        <v>1</v>
      </c>
      <c r="O190" s="250">
        <f t="shared" si="9"/>
        <v>254545</v>
      </c>
      <c r="P190" s="250">
        <v>275000</v>
      </c>
      <c r="Q190" s="250">
        <f t="shared" si="8"/>
        <v>275000</v>
      </c>
    </row>
    <row r="191" spans="2:17">
      <c r="B191" s="200">
        <v>188</v>
      </c>
      <c r="C191" s="237" t="s">
        <v>768</v>
      </c>
      <c r="D191" s="238" t="s">
        <v>769</v>
      </c>
      <c r="E191" s="239" t="s">
        <v>9</v>
      </c>
      <c r="F191" s="240" t="s">
        <v>770</v>
      </c>
      <c r="G191" s="237"/>
      <c r="H191" s="237" t="s">
        <v>771</v>
      </c>
      <c r="I191" s="237"/>
      <c r="J191" s="240" t="s">
        <v>50</v>
      </c>
      <c r="K191" s="237" t="s">
        <v>772</v>
      </c>
      <c r="L191" s="248">
        <v>44559</v>
      </c>
      <c r="M191" s="249">
        <v>254545</v>
      </c>
      <c r="N191" s="237">
        <v>5</v>
      </c>
      <c r="O191" s="250">
        <f t="shared" si="9"/>
        <v>1272725</v>
      </c>
      <c r="P191" s="250">
        <v>275000</v>
      </c>
      <c r="Q191" s="250">
        <f t="shared" si="8"/>
        <v>1375000</v>
      </c>
    </row>
    <row r="192" spans="2:17">
      <c r="B192" s="200">
        <v>189</v>
      </c>
      <c r="C192" s="237" t="s">
        <v>773</v>
      </c>
      <c r="D192" s="238" t="s">
        <v>774</v>
      </c>
      <c r="E192" s="239" t="s">
        <v>9</v>
      </c>
      <c r="F192" s="240" t="s">
        <v>775</v>
      </c>
      <c r="G192" s="237"/>
      <c r="H192" s="237" t="s">
        <v>776</v>
      </c>
      <c r="I192" s="237"/>
      <c r="J192" s="240" t="s">
        <v>50</v>
      </c>
      <c r="K192" s="237" t="s">
        <v>777</v>
      </c>
      <c r="L192" s="248">
        <v>44561</v>
      </c>
      <c r="M192" s="249">
        <v>254545</v>
      </c>
      <c r="N192" s="237">
        <v>1</v>
      </c>
      <c r="O192" s="250">
        <f t="shared" si="9"/>
        <v>254545</v>
      </c>
      <c r="P192" s="250">
        <v>275000</v>
      </c>
      <c r="Q192" s="250">
        <f t="shared" si="8"/>
        <v>275000</v>
      </c>
    </row>
    <row r="193" spans="2:17">
      <c r="B193" s="200">
        <v>190</v>
      </c>
      <c r="C193" s="237" t="s">
        <v>778</v>
      </c>
      <c r="D193" s="238" t="s">
        <v>779</v>
      </c>
      <c r="E193" s="239" t="s">
        <v>9</v>
      </c>
      <c r="F193" s="240" t="s">
        <v>780</v>
      </c>
      <c r="G193" s="237"/>
      <c r="H193" s="237" t="s">
        <v>776</v>
      </c>
      <c r="I193" s="237"/>
      <c r="J193" s="240" t="s">
        <v>50</v>
      </c>
      <c r="K193" s="237" t="s">
        <v>781</v>
      </c>
      <c r="L193" s="248">
        <v>44554</v>
      </c>
      <c r="M193" s="249">
        <v>254545</v>
      </c>
      <c r="N193" s="237">
        <v>5</v>
      </c>
      <c r="O193" s="250">
        <f t="shared" si="9"/>
        <v>1272725</v>
      </c>
      <c r="P193" s="250">
        <v>275000</v>
      </c>
      <c r="Q193" s="250">
        <f t="shared" si="8"/>
        <v>1375000</v>
      </c>
    </row>
    <row r="194" spans="2:17">
      <c r="B194" s="200">
        <v>191</v>
      </c>
      <c r="C194" s="237" t="s">
        <v>782</v>
      </c>
      <c r="D194" s="238" t="s">
        <v>779</v>
      </c>
      <c r="E194" s="239" t="s">
        <v>9</v>
      </c>
      <c r="F194" s="240" t="s">
        <v>349</v>
      </c>
      <c r="G194" s="237"/>
      <c r="H194" s="237" t="s">
        <v>783</v>
      </c>
      <c r="I194" s="237"/>
      <c r="J194" s="240" t="s">
        <v>50</v>
      </c>
      <c r="K194" s="237" t="s">
        <v>784</v>
      </c>
      <c r="L194" s="248">
        <v>44554</v>
      </c>
      <c r="M194" s="249">
        <v>254545</v>
      </c>
      <c r="N194" s="237">
        <v>3</v>
      </c>
      <c r="O194" s="250">
        <f t="shared" si="9"/>
        <v>763635</v>
      </c>
      <c r="P194" s="250">
        <v>275000</v>
      </c>
      <c r="Q194" s="250">
        <f t="shared" si="8"/>
        <v>825000</v>
      </c>
    </row>
    <row r="195" spans="2:17">
      <c r="B195" s="200">
        <v>192</v>
      </c>
      <c r="C195" s="237" t="s">
        <v>785</v>
      </c>
      <c r="D195" s="238" t="s">
        <v>779</v>
      </c>
      <c r="E195" s="239" t="s">
        <v>9</v>
      </c>
      <c r="F195" s="240" t="s">
        <v>786</v>
      </c>
      <c r="G195" s="237"/>
      <c r="H195" s="237" t="s">
        <v>776</v>
      </c>
      <c r="I195" s="237"/>
      <c r="J195" s="240" t="s">
        <v>50</v>
      </c>
      <c r="K195" s="237" t="s">
        <v>787</v>
      </c>
      <c r="L195" s="248">
        <v>44554</v>
      </c>
      <c r="M195" s="249">
        <v>254545</v>
      </c>
      <c r="N195" s="237">
        <v>8</v>
      </c>
      <c r="O195" s="250">
        <f t="shared" si="9"/>
        <v>2036360</v>
      </c>
      <c r="P195" s="250">
        <v>275000</v>
      </c>
      <c r="Q195" s="250">
        <f t="shared" si="8"/>
        <v>2200000</v>
      </c>
    </row>
    <row r="196" spans="2:17">
      <c r="B196" s="200">
        <v>193</v>
      </c>
      <c r="C196" s="237" t="s">
        <v>788</v>
      </c>
      <c r="D196" s="238">
        <v>80942</v>
      </c>
      <c r="E196" s="255" t="s">
        <v>17</v>
      </c>
      <c r="F196" s="255" t="s">
        <v>88</v>
      </c>
      <c r="G196" s="256"/>
      <c r="H196" s="256" t="s">
        <v>789</v>
      </c>
      <c r="I196" s="256"/>
      <c r="J196" s="255" t="s">
        <v>85</v>
      </c>
      <c r="K196" s="256" t="s">
        <v>90</v>
      </c>
      <c r="L196" s="248">
        <v>44557</v>
      </c>
      <c r="M196" s="257">
        <v>222727</v>
      </c>
      <c r="N196" s="258">
        <v>49</v>
      </c>
      <c r="O196" s="257">
        <f t="shared" ref="O196:O197" si="10">SUM(M196*N196)</f>
        <v>10913623</v>
      </c>
      <c r="P196" s="258">
        <v>279090.90999999997</v>
      </c>
      <c r="Q196" s="258">
        <f t="shared" si="8"/>
        <v>13675454.589999998</v>
      </c>
    </row>
    <row r="197" spans="2:17">
      <c r="B197" s="200">
        <v>194</v>
      </c>
      <c r="C197" s="237" t="s">
        <v>790</v>
      </c>
      <c r="D197" s="238">
        <v>80942</v>
      </c>
      <c r="E197" s="255" t="s">
        <v>17</v>
      </c>
      <c r="F197" s="255" t="s">
        <v>88</v>
      </c>
      <c r="G197" s="256"/>
      <c r="H197" s="256" t="s">
        <v>789</v>
      </c>
      <c r="I197" s="256"/>
      <c r="J197" s="255" t="s">
        <v>92</v>
      </c>
      <c r="K197" s="256" t="s">
        <v>93</v>
      </c>
      <c r="L197" s="248">
        <v>44557</v>
      </c>
      <c r="M197" s="257">
        <v>46364</v>
      </c>
      <c r="N197" s="258">
        <v>49</v>
      </c>
      <c r="O197" s="257">
        <f t="shared" si="10"/>
        <v>2271836</v>
      </c>
      <c r="P197" s="258">
        <v>58181.82</v>
      </c>
      <c r="Q197" s="258">
        <f t="shared" si="8"/>
        <v>2850909.18</v>
      </c>
    </row>
    <row r="198" spans="2:17">
      <c r="B198" s="200">
        <v>195</v>
      </c>
      <c r="C198" s="237" t="s">
        <v>791</v>
      </c>
      <c r="D198" s="238">
        <v>4800439628</v>
      </c>
      <c r="E198" s="239" t="s">
        <v>12</v>
      </c>
      <c r="F198" s="240" t="s">
        <v>466</v>
      </c>
      <c r="G198" s="237"/>
      <c r="H198" s="237" t="s">
        <v>792</v>
      </c>
      <c r="I198" s="237"/>
      <c r="J198" s="240" t="s">
        <v>85</v>
      </c>
      <c r="K198" s="237" t="s">
        <v>793</v>
      </c>
      <c r="L198" s="248">
        <v>44559</v>
      </c>
      <c r="M198" s="249">
        <v>222727</v>
      </c>
      <c r="N198" s="237">
        <v>50</v>
      </c>
      <c r="O198" s="257">
        <f t="shared" ref="O198" si="11">SUM(M198*N198)</f>
        <v>11136350</v>
      </c>
      <c r="P198" s="258">
        <v>265136</v>
      </c>
      <c r="Q198" s="258">
        <f t="shared" si="8"/>
        <v>13256800</v>
      </c>
    </row>
    <row r="199" spans="2:17">
      <c r="B199" s="200">
        <v>196</v>
      </c>
      <c r="C199" s="237" t="s">
        <v>794</v>
      </c>
      <c r="D199" s="238" t="s">
        <v>795</v>
      </c>
      <c r="E199" s="239" t="s">
        <v>9</v>
      </c>
      <c r="F199" s="240" t="s">
        <v>796</v>
      </c>
      <c r="G199" s="237"/>
      <c r="H199" s="237" t="s">
        <v>797</v>
      </c>
      <c r="I199" s="237"/>
      <c r="J199" s="240" t="s">
        <v>50</v>
      </c>
      <c r="K199" s="237" t="s">
        <v>798</v>
      </c>
      <c r="L199" s="248">
        <v>44561</v>
      </c>
      <c r="M199" s="249">
        <v>254545</v>
      </c>
      <c r="N199" s="237">
        <v>1</v>
      </c>
      <c r="O199" s="250">
        <f t="shared" ref="O199:O200" si="12">N199*M199</f>
        <v>254545</v>
      </c>
      <c r="P199" s="250">
        <v>275000</v>
      </c>
      <c r="Q199" s="250">
        <f t="shared" si="8"/>
        <v>275000</v>
      </c>
    </row>
    <row r="200" spans="2:17">
      <c r="B200" s="200">
        <v>197</v>
      </c>
      <c r="C200" s="237" t="s">
        <v>799</v>
      </c>
      <c r="D200" s="238" t="s">
        <v>795</v>
      </c>
      <c r="E200" s="239" t="s">
        <v>9</v>
      </c>
      <c r="F200" s="240" t="s">
        <v>800</v>
      </c>
      <c r="G200" s="237"/>
      <c r="H200" s="237" t="s">
        <v>801</v>
      </c>
      <c r="I200" s="237"/>
      <c r="J200" s="240" t="s">
        <v>50</v>
      </c>
      <c r="K200" s="237" t="s">
        <v>802</v>
      </c>
      <c r="L200" s="248">
        <v>44561</v>
      </c>
      <c r="M200" s="249">
        <v>254545</v>
      </c>
      <c r="N200" s="237">
        <v>1</v>
      </c>
      <c r="O200" s="250">
        <f t="shared" si="12"/>
        <v>254545</v>
      </c>
      <c r="P200" s="250">
        <v>275000</v>
      </c>
      <c r="Q200" s="250">
        <f t="shared" si="8"/>
        <v>275000</v>
      </c>
    </row>
    <row r="201" spans="2:17">
      <c r="B201" s="200">
        <v>198</v>
      </c>
      <c r="C201" s="241" t="s">
        <v>803</v>
      </c>
      <c r="D201" s="242" t="s">
        <v>804</v>
      </c>
      <c r="E201" s="243" t="s">
        <v>9</v>
      </c>
      <c r="F201" s="244" t="s">
        <v>805</v>
      </c>
      <c r="G201" s="241"/>
      <c r="H201" s="241" t="s">
        <v>806</v>
      </c>
      <c r="I201" s="241"/>
      <c r="J201" s="244" t="s">
        <v>50</v>
      </c>
      <c r="K201" s="241" t="s">
        <v>807</v>
      </c>
      <c r="L201" s="251">
        <v>44564</v>
      </c>
      <c r="M201" s="252">
        <v>254545</v>
      </c>
      <c r="N201" s="241">
        <v>2</v>
      </c>
      <c r="O201" s="253">
        <f>M201*N201</f>
        <v>509090</v>
      </c>
      <c r="P201" s="253">
        <v>275000</v>
      </c>
      <c r="Q201" s="253">
        <f t="shared" si="8"/>
        <v>550000</v>
      </c>
    </row>
    <row r="202" spans="2:17">
      <c r="B202" s="200">
        <v>199</v>
      </c>
      <c r="C202" s="241" t="s">
        <v>808</v>
      </c>
      <c r="D202" s="242" t="s">
        <v>804</v>
      </c>
      <c r="E202" s="243" t="s">
        <v>9</v>
      </c>
      <c r="F202" s="244" t="s">
        <v>809</v>
      </c>
      <c r="G202" s="241"/>
      <c r="H202" s="241" t="s">
        <v>810</v>
      </c>
      <c r="I202" s="241"/>
      <c r="J202" s="244" t="s">
        <v>50</v>
      </c>
      <c r="K202" s="241" t="s">
        <v>811</v>
      </c>
      <c r="L202" s="251">
        <v>44564</v>
      </c>
      <c r="M202" s="252">
        <v>254545</v>
      </c>
      <c r="N202" s="241">
        <v>3</v>
      </c>
      <c r="O202" s="253">
        <f>M202*N202</f>
        <v>763635</v>
      </c>
      <c r="P202" s="253">
        <v>275001</v>
      </c>
      <c r="Q202" s="253">
        <f t="shared" si="8"/>
        <v>825003</v>
      </c>
    </row>
    <row r="203" spans="2:17">
      <c r="B203" s="200">
        <v>200</v>
      </c>
      <c r="C203" s="241" t="s">
        <v>812</v>
      </c>
      <c r="D203" s="242" t="s">
        <v>813</v>
      </c>
      <c r="E203" s="243" t="s">
        <v>10</v>
      </c>
      <c r="F203" s="244" t="s">
        <v>814</v>
      </c>
      <c r="G203" s="241" t="s">
        <v>815</v>
      </c>
      <c r="H203" s="241" t="s">
        <v>2</v>
      </c>
      <c r="I203" s="241"/>
      <c r="J203" s="244" t="s">
        <v>816</v>
      </c>
      <c r="K203" s="241" t="s">
        <v>817</v>
      </c>
      <c r="L203" s="251">
        <v>44568</v>
      </c>
      <c r="M203" s="252">
        <v>22727</v>
      </c>
      <c r="N203" s="241">
        <v>150</v>
      </c>
      <c r="O203" s="253">
        <f t="shared" ref="O203:O352" si="13">M203*N203</f>
        <v>3409050</v>
      </c>
      <c r="P203" s="253">
        <v>29090.91</v>
      </c>
      <c r="Q203" s="253">
        <f t="shared" ref="Q203:Q356" si="14">P203*N203</f>
        <v>4363636.5</v>
      </c>
    </row>
    <row r="204" spans="2:17">
      <c r="B204" s="200">
        <v>201</v>
      </c>
      <c r="C204" s="241" t="s">
        <v>818</v>
      </c>
      <c r="D204" s="242" t="s">
        <v>819</v>
      </c>
      <c r="E204" s="243" t="s">
        <v>9</v>
      </c>
      <c r="F204" s="244" t="s">
        <v>820</v>
      </c>
      <c r="G204" s="241"/>
      <c r="H204" s="241" t="s">
        <v>821</v>
      </c>
      <c r="I204" s="241"/>
      <c r="J204" s="244" t="s">
        <v>50</v>
      </c>
      <c r="K204" s="241" t="s">
        <v>822</v>
      </c>
      <c r="L204" s="251">
        <v>44567</v>
      </c>
      <c r="M204" s="252">
        <v>254545</v>
      </c>
      <c r="N204" s="241">
        <v>7</v>
      </c>
      <c r="O204" s="253">
        <f t="shared" si="13"/>
        <v>1781815</v>
      </c>
      <c r="P204" s="253">
        <v>275000</v>
      </c>
      <c r="Q204" s="253">
        <f t="shared" si="14"/>
        <v>1925000</v>
      </c>
    </row>
    <row r="205" spans="2:17">
      <c r="B205" s="200">
        <v>202</v>
      </c>
      <c r="C205" s="241" t="s">
        <v>823</v>
      </c>
      <c r="D205" s="242" t="s">
        <v>824</v>
      </c>
      <c r="E205" s="243" t="s">
        <v>9</v>
      </c>
      <c r="F205" s="244" t="s">
        <v>825</v>
      </c>
      <c r="G205" s="241"/>
      <c r="H205" s="241" t="s">
        <v>826</v>
      </c>
      <c r="I205" s="241"/>
      <c r="J205" s="244" t="s">
        <v>50</v>
      </c>
      <c r="K205" s="241" t="s">
        <v>827</v>
      </c>
      <c r="L205" s="251">
        <v>44568</v>
      </c>
      <c r="M205" s="252">
        <v>254545</v>
      </c>
      <c r="N205" s="241">
        <v>3</v>
      </c>
      <c r="O205" s="253">
        <f t="shared" si="13"/>
        <v>763635</v>
      </c>
      <c r="P205" s="253">
        <v>275000</v>
      </c>
      <c r="Q205" s="253">
        <f t="shared" si="14"/>
        <v>825000</v>
      </c>
    </row>
    <row r="206" spans="2:17">
      <c r="B206" s="200">
        <v>203</v>
      </c>
      <c r="C206" s="241" t="s">
        <v>828</v>
      </c>
      <c r="D206" s="242" t="s">
        <v>824</v>
      </c>
      <c r="E206" s="243" t="s">
        <v>9</v>
      </c>
      <c r="F206" s="244" t="s">
        <v>829</v>
      </c>
      <c r="G206" s="241"/>
      <c r="H206" s="241" t="s">
        <v>826</v>
      </c>
      <c r="I206" s="241"/>
      <c r="J206" s="244" t="s">
        <v>50</v>
      </c>
      <c r="K206" s="241" t="s">
        <v>830</v>
      </c>
      <c r="L206" s="251">
        <v>44568</v>
      </c>
      <c r="M206" s="252">
        <v>254545</v>
      </c>
      <c r="N206" s="241">
        <v>3</v>
      </c>
      <c r="O206" s="253">
        <f t="shared" si="13"/>
        <v>763635</v>
      </c>
      <c r="P206" s="253">
        <v>275000</v>
      </c>
      <c r="Q206" s="253">
        <f t="shared" si="14"/>
        <v>825000</v>
      </c>
    </row>
    <row r="207" spans="2:17">
      <c r="B207" s="200">
        <v>204</v>
      </c>
      <c r="C207" s="241" t="s">
        <v>831</v>
      </c>
      <c r="D207" s="242" t="s">
        <v>824</v>
      </c>
      <c r="E207" s="243" t="s">
        <v>9</v>
      </c>
      <c r="F207" s="244" t="s">
        <v>832</v>
      </c>
      <c r="G207" s="241"/>
      <c r="H207" s="241" t="s">
        <v>826</v>
      </c>
      <c r="I207" s="241"/>
      <c r="J207" s="244" t="s">
        <v>50</v>
      </c>
      <c r="K207" s="241" t="s">
        <v>833</v>
      </c>
      <c r="L207" s="251">
        <v>44568</v>
      </c>
      <c r="M207" s="252">
        <v>254545</v>
      </c>
      <c r="N207" s="241">
        <v>5</v>
      </c>
      <c r="O207" s="253">
        <f t="shared" si="13"/>
        <v>1272725</v>
      </c>
      <c r="P207" s="253">
        <v>275000</v>
      </c>
      <c r="Q207" s="253">
        <f t="shared" si="14"/>
        <v>1375000</v>
      </c>
    </row>
    <row r="208" spans="2:17">
      <c r="B208" s="200">
        <v>205</v>
      </c>
      <c r="C208" s="241" t="s">
        <v>834</v>
      </c>
      <c r="D208" s="242" t="s">
        <v>835</v>
      </c>
      <c r="E208" s="243" t="s">
        <v>9</v>
      </c>
      <c r="F208" s="244" t="s">
        <v>836</v>
      </c>
      <c r="G208" s="241"/>
      <c r="H208" s="241" t="s">
        <v>837</v>
      </c>
      <c r="I208" s="241"/>
      <c r="J208" s="244" t="s">
        <v>50</v>
      </c>
      <c r="K208" s="241" t="s">
        <v>838</v>
      </c>
      <c r="L208" s="251">
        <v>44572</v>
      </c>
      <c r="M208" s="252">
        <v>254545</v>
      </c>
      <c r="N208" s="241">
        <v>2</v>
      </c>
      <c r="O208" s="253">
        <f t="shared" si="13"/>
        <v>509090</v>
      </c>
      <c r="P208" s="253">
        <v>275000</v>
      </c>
      <c r="Q208" s="253">
        <f t="shared" si="14"/>
        <v>550000</v>
      </c>
    </row>
    <row r="209" spans="2:17">
      <c r="B209" s="200">
        <v>206</v>
      </c>
      <c r="C209" s="241" t="s">
        <v>839</v>
      </c>
      <c r="D209" s="242" t="s">
        <v>835</v>
      </c>
      <c r="E209" s="243" t="s">
        <v>9</v>
      </c>
      <c r="F209" s="244" t="s">
        <v>840</v>
      </c>
      <c r="G209" s="241"/>
      <c r="H209" s="241" t="s">
        <v>837</v>
      </c>
      <c r="I209" s="241"/>
      <c r="J209" s="244" t="s">
        <v>50</v>
      </c>
      <c r="K209" s="241" t="s">
        <v>841</v>
      </c>
      <c r="L209" s="251">
        <v>44572</v>
      </c>
      <c r="M209" s="252">
        <v>254545</v>
      </c>
      <c r="N209" s="241">
        <v>1</v>
      </c>
      <c r="O209" s="253">
        <f t="shared" si="13"/>
        <v>254545</v>
      </c>
      <c r="P209" s="253">
        <v>275000</v>
      </c>
      <c r="Q209" s="253">
        <f t="shared" si="14"/>
        <v>275000</v>
      </c>
    </row>
    <row r="210" spans="2:17">
      <c r="B210" s="200">
        <v>207</v>
      </c>
      <c r="C210" s="241" t="s">
        <v>842</v>
      </c>
      <c r="D210" s="242" t="s">
        <v>835</v>
      </c>
      <c r="E210" s="243" t="s">
        <v>9</v>
      </c>
      <c r="F210" s="244" t="s">
        <v>843</v>
      </c>
      <c r="G210" s="241"/>
      <c r="H210" s="241" t="s">
        <v>837</v>
      </c>
      <c r="I210" s="241"/>
      <c r="J210" s="244" t="s">
        <v>50</v>
      </c>
      <c r="K210" s="241" t="s">
        <v>844</v>
      </c>
      <c r="L210" s="251">
        <v>44572</v>
      </c>
      <c r="M210" s="252">
        <v>254545</v>
      </c>
      <c r="N210" s="241">
        <v>1</v>
      </c>
      <c r="O210" s="253">
        <f t="shared" si="13"/>
        <v>254545</v>
      </c>
      <c r="P210" s="253">
        <v>275000</v>
      </c>
      <c r="Q210" s="253">
        <f t="shared" si="14"/>
        <v>275000</v>
      </c>
    </row>
    <row r="211" spans="2:17">
      <c r="B211" s="200">
        <v>208</v>
      </c>
      <c r="C211" s="241" t="s">
        <v>845</v>
      </c>
      <c r="D211" s="242" t="s">
        <v>835</v>
      </c>
      <c r="E211" s="243" t="s">
        <v>9</v>
      </c>
      <c r="F211" s="244" t="s">
        <v>846</v>
      </c>
      <c r="G211" s="241"/>
      <c r="H211" s="241" t="s">
        <v>847</v>
      </c>
      <c r="I211" s="241"/>
      <c r="J211" s="244" t="s">
        <v>50</v>
      </c>
      <c r="K211" s="241" t="s">
        <v>848</v>
      </c>
      <c r="L211" s="251">
        <v>44572</v>
      </c>
      <c r="M211" s="252">
        <v>254545</v>
      </c>
      <c r="N211" s="241">
        <v>2</v>
      </c>
      <c r="O211" s="253">
        <f t="shared" si="13"/>
        <v>509090</v>
      </c>
      <c r="P211" s="253">
        <v>275000</v>
      </c>
      <c r="Q211" s="253">
        <f t="shared" si="14"/>
        <v>550000</v>
      </c>
    </row>
    <row r="212" spans="2:17">
      <c r="B212" s="200">
        <v>209</v>
      </c>
      <c r="C212" s="241" t="s">
        <v>849</v>
      </c>
      <c r="D212" s="242" t="s">
        <v>835</v>
      </c>
      <c r="E212" s="243" t="s">
        <v>9</v>
      </c>
      <c r="F212" s="244" t="s">
        <v>549</v>
      </c>
      <c r="G212" s="241"/>
      <c r="H212" s="241" t="s">
        <v>837</v>
      </c>
      <c r="I212" s="241"/>
      <c r="J212" s="244" t="s">
        <v>50</v>
      </c>
      <c r="K212" s="241" t="s">
        <v>850</v>
      </c>
      <c r="L212" s="251">
        <v>44572</v>
      </c>
      <c r="M212" s="252">
        <v>254545</v>
      </c>
      <c r="N212" s="241">
        <v>1</v>
      </c>
      <c r="O212" s="253">
        <f t="shared" si="13"/>
        <v>254545</v>
      </c>
      <c r="P212" s="253">
        <v>275000</v>
      </c>
      <c r="Q212" s="253">
        <f t="shared" si="14"/>
        <v>275000</v>
      </c>
    </row>
    <row r="213" spans="2:17">
      <c r="B213" s="200">
        <v>210</v>
      </c>
      <c r="C213" s="241" t="s">
        <v>851</v>
      </c>
      <c r="D213" s="242" t="s">
        <v>835</v>
      </c>
      <c r="E213" s="243" t="s">
        <v>9</v>
      </c>
      <c r="F213" s="244" t="s">
        <v>141</v>
      </c>
      <c r="G213" s="241"/>
      <c r="H213" s="241" t="s">
        <v>837</v>
      </c>
      <c r="I213" s="241"/>
      <c r="J213" s="244" t="s">
        <v>50</v>
      </c>
      <c r="K213" s="241" t="s">
        <v>852</v>
      </c>
      <c r="L213" s="251">
        <v>44572</v>
      </c>
      <c r="M213" s="252">
        <v>254545</v>
      </c>
      <c r="N213" s="241">
        <v>1</v>
      </c>
      <c r="O213" s="253">
        <f t="shared" si="13"/>
        <v>254545</v>
      </c>
      <c r="P213" s="253">
        <v>275000</v>
      </c>
      <c r="Q213" s="253">
        <f t="shared" si="14"/>
        <v>275000</v>
      </c>
    </row>
    <row r="214" spans="2:17">
      <c r="B214" s="200">
        <v>211</v>
      </c>
      <c r="C214" s="241" t="s">
        <v>853</v>
      </c>
      <c r="D214" s="242">
        <v>4800440725</v>
      </c>
      <c r="E214" s="243" t="s">
        <v>12</v>
      </c>
      <c r="F214" s="244" t="s">
        <v>466</v>
      </c>
      <c r="G214" s="241"/>
      <c r="H214" s="241" t="s">
        <v>854</v>
      </c>
      <c r="I214" s="241"/>
      <c r="J214" s="244" t="s">
        <v>85</v>
      </c>
      <c r="K214" s="241" t="s">
        <v>855</v>
      </c>
      <c r="L214" s="251">
        <v>44574</v>
      </c>
      <c r="M214" s="252">
        <v>222727</v>
      </c>
      <c r="N214" s="241">
        <v>60</v>
      </c>
      <c r="O214" s="253">
        <f t="shared" si="13"/>
        <v>13363620</v>
      </c>
      <c r="P214" s="253">
        <v>265136</v>
      </c>
      <c r="Q214" s="253">
        <f t="shared" si="14"/>
        <v>15908160</v>
      </c>
    </row>
    <row r="215" spans="2:17">
      <c r="B215" s="200">
        <v>212</v>
      </c>
      <c r="C215" s="241" t="s">
        <v>856</v>
      </c>
      <c r="D215" s="242" t="s">
        <v>857</v>
      </c>
      <c r="E215" s="243" t="s">
        <v>9</v>
      </c>
      <c r="F215" s="244" t="s">
        <v>858</v>
      </c>
      <c r="G215" s="241"/>
      <c r="H215" s="241" t="s">
        <v>859</v>
      </c>
      <c r="I215" s="241"/>
      <c r="J215" s="244" t="s">
        <v>50</v>
      </c>
      <c r="K215" s="241" t="s">
        <v>860</v>
      </c>
      <c r="L215" s="251">
        <v>44579</v>
      </c>
      <c r="M215" s="252">
        <v>254545</v>
      </c>
      <c r="N215" s="241">
        <v>4</v>
      </c>
      <c r="O215" s="253">
        <f t="shared" si="13"/>
        <v>1018180</v>
      </c>
      <c r="P215" s="253">
        <v>275000</v>
      </c>
      <c r="Q215" s="253">
        <f t="shared" si="14"/>
        <v>1100000</v>
      </c>
    </row>
    <row r="216" spans="2:17">
      <c r="B216" s="200">
        <v>213</v>
      </c>
      <c r="C216" s="241" t="s">
        <v>861</v>
      </c>
      <c r="D216" s="242" t="s">
        <v>857</v>
      </c>
      <c r="E216" s="243" t="s">
        <v>9</v>
      </c>
      <c r="F216" s="244" t="s">
        <v>862</v>
      </c>
      <c r="G216" s="241"/>
      <c r="H216" s="241" t="s">
        <v>863</v>
      </c>
      <c r="I216" s="241"/>
      <c r="J216" s="244" t="s">
        <v>50</v>
      </c>
      <c r="K216" s="241" t="s">
        <v>864</v>
      </c>
      <c r="L216" s="251">
        <v>44579</v>
      </c>
      <c r="M216" s="252">
        <v>254545</v>
      </c>
      <c r="N216" s="241">
        <v>3</v>
      </c>
      <c r="O216" s="253">
        <f t="shared" si="13"/>
        <v>763635</v>
      </c>
      <c r="P216" s="253">
        <v>275000</v>
      </c>
      <c r="Q216" s="253">
        <f t="shared" si="14"/>
        <v>825000</v>
      </c>
    </row>
    <row r="217" spans="2:17">
      <c r="B217" s="200">
        <v>214</v>
      </c>
      <c r="C217" s="241" t="s">
        <v>865</v>
      </c>
      <c r="D217" s="242" t="s">
        <v>857</v>
      </c>
      <c r="E217" s="243" t="s">
        <v>9</v>
      </c>
      <c r="F217" s="244" t="s">
        <v>866</v>
      </c>
      <c r="G217" s="241"/>
      <c r="H217" s="241" t="s">
        <v>837</v>
      </c>
      <c r="I217" s="241"/>
      <c r="J217" s="244" t="s">
        <v>50</v>
      </c>
      <c r="K217" s="241" t="s">
        <v>867</v>
      </c>
      <c r="L217" s="251">
        <v>44579</v>
      </c>
      <c r="M217" s="252">
        <v>254545</v>
      </c>
      <c r="N217" s="241">
        <v>2</v>
      </c>
      <c r="O217" s="253">
        <f t="shared" si="13"/>
        <v>509090</v>
      </c>
      <c r="P217" s="253">
        <v>275000</v>
      </c>
      <c r="Q217" s="253">
        <f t="shared" si="14"/>
        <v>550000</v>
      </c>
    </row>
    <row r="218" spans="2:17">
      <c r="B218" s="200">
        <v>215</v>
      </c>
      <c r="C218" s="241" t="s">
        <v>868</v>
      </c>
      <c r="D218" s="242" t="s">
        <v>869</v>
      </c>
      <c r="E218" s="243" t="s">
        <v>9</v>
      </c>
      <c r="F218" s="244" t="s">
        <v>870</v>
      </c>
      <c r="G218" s="241"/>
      <c r="H218" s="241" t="s">
        <v>871</v>
      </c>
      <c r="I218" s="241"/>
      <c r="J218" s="244" t="s">
        <v>50</v>
      </c>
      <c r="K218" s="241" t="s">
        <v>872</v>
      </c>
      <c r="L218" s="251">
        <v>44579</v>
      </c>
      <c r="M218" s="252">
        <v>254545</v>
      </c>
      <c r="N218" s="241">
        <v>1</v>
      </c>
      <c r="O218" s="253">
        <f t="shared" si="13"/>
        <v>254545</v>
      </c>
      <c r="P218" s="253">
        <v>275000</v>
      </c>
      <c r="Q218" s="253">
        <f t="shared" si="14"/>
        <v>275000</v>
      </c>
    </row>
    <row r="219" spans="2:17">
      <c r="B219" s="200">
        <v>216</v>
      </c>
      <c r="C219" s="241" t="s">
        <v>873</v>
      </c>
      <c r="D219" s="242" t="s">
        <v>874</v>
      </c>
      <c r="E219" s="243" t="s">
        <v>9</v>
      </c>
      <c r="F219" s="244" t="s">
        <v>875</v>
      </c>
      <c r="G219" s="241"/>
      <c r="H219" s="241" t="s">
        <v>876</v>
      </c>
      <c r="I219" s="241"/>
      <c r="J219" s="244" t="s">
        <v>50</v>
      </c>
      <c r="K219" s="241" t="s">
        <v>877</v>
      </c>
      <c r="L219" s="251">
        <v>44580</v>
      </c>
      <c r="M219" s="252">
        <v>254545</v>
      </c>
      <c r="N219" s="241">
        <v>140</v>
      </c>
      <c r="O219" s="253">
        <f t="shared" si="13"/>
        <v>35636300</v>
      </c>
      <c r="P219" s="253">
        <v>275000</v>
      </c>
      <c r="Q219" s="253">
        <f t="shared" si="14"/>
        <v>38500000</v>
      </c>
    </row>
    <row r="220" spans="2:17">
      <c r="B220" s="200">
        <v>217</v>
      </c>
      <c r="C220" s="241" t="s">
        <v>878</v>
      </c>
      <c r="D220" s="242" t="s">
        <v>879</v>
      </c>
      <c r="E220" s="243" t="s">
        <v>11</v>
      </c>
      <c r="F220" s="244" t="s">
        <v>880</v>
      </c>
      <c r="G220" s="241"/>
      <c r="H220" s="241" t="s">
        <v>881</v>
      </c>
      <c r="I220" s="241"/>
      <c r="J220" s="244" t="s">
        <v>882</v>
      </c>
      <c r="K220" s="241" t="s">
        <v>883</v>
      </c>
      <c r="L220" s="251">
        <v>44585</v>
      </c>
      <c r="M220" s="252">
        <v>213150</v>
      </c>
      <c r="N220" s="241">
        <v>6</v>
      </c>
      <c r="O220" s="253">
        <f t="shared" si="13"/>
        <v>1278900</v>
      </c>
      <c r="P220" s="253">
        <v>232527</v>
      </c>
      <c r="Q220" s="253">
        <f t="shared" si="14"/>
        <v>1395162</v>
      </c>
    </row>
    <row r="221" spans="2:17">
      <c r="B221" s="200">
        <v>218</v>
      </c>
      <c r="C221" s="241" t="s">
        <v>884</v>
      </c>
      <c r="D221" s="242" t="s">
        <v>885</v>
      </c>
      <c r="E221" s="243" t="s">
        <v>11</v>
      </c>
      <c r="F221" s="244" t="s">
        <v>880</v>
      </c>
      <c r="G221" s="241"/>
      <c r="H221" s="241" t="s">
        <v>881</v>
      </c>
      <c r="I221" s="241"/>
      <c r="J221" s="244" t="s">
        <v>886</v>
      </c>
      <c r="K221" s="241" t="s">
        <v>887</v>
      </c>
      <c r="L221" s="251">
        <v>44585</v>
      </c>
      <c r="M221" s="252">
        <v>184875</v>
      </c>
      <c r="N221" s="241">
        <v>6</v>
      </c>
      <c r="O221" s="253">
        <f t="shared" si="13"/>
        <v>1109250</v>
      </c>
      <c r="P221" s="253">
        <v>201682</v>
      </c>
      <c r="Q221" s="253">
        <f t="shared" si="14"/>
        <v>1210092</v>
      </c>
    </row>
    <row r="222" spans="2:17">
      <c r="B222" s="200">
        <v>219</v>
      </c>
      <c r="C222" s="241" t="s">
        <v>888</v>
      </c>
      <c r="D222" s="242" t="s">
        <v>889</v>
      </c>
      <c r="E222" s="243" t="s">
        <v>19</v>
      </c>
      <c r="F222" s="244" t="s">
        <v>462</v>
      </c>
      <c r="G222" s="241"/>
      <c r="H222" s="241" t="s">
        <v>890</v>
      </c>
      <c r="I222" s="241"/>
      <c r="J222" s="244" t="s">
        <v>85</v>
      </c>
      <c r="K222" s="241" t="s">
        <v>891</v>
      </c>
      <c r="L222" s="251">
        <v>44586</v>
      </c>
      <c r="M222" s="252">
        <v>222727</v>
      </c>
      <c r="N222" s="241">
        <v>1</v>
      </c>
      <c r="O222" s="253">
        <f t="shared" si="13"/>
        <v>222727</v>
      </c>
      <c r="P222" s="253">
        <v>279090.90999999997</v>
      </c>
      <c r="Q222" s="253">
        <f t="shared" si="14"/>
        <v>279090.90999999997</v>
      </c>
    </row>
    <row r="223" spans="2:17">
      <c r="B223" s="200">
        <v>220</v>
      </c>
      <c r="C223" s="241" t="s">
        <v>892</v>
      </c>
      <c r="D223" s="242" t="s">
        <v>893</v>
      </c>
      <c r="E223" s="243" t="s">
        <v>9</v>
      </c>
      <c r="F223" s="244" t="s">
        <v>894</v>
      </c>
      <c r="G223" s="241"/>
      <c r="H223" s="241" t="s">
        <v>895</v>
      </c>
      <c r="I223" s="241"/>
      <c r="J223" s="244" t="s">
        <v>50</v>
      </c>
      <c r="K223" s="241" t="s">
        <v>896</v>
      </c>
      <c r="L223" s="251">
        <v>44579</v>
      </c>
      <c r="M223" s="252">
        <v>254545</v>
      </c>
      <c r="N223" s="241">
        <v>7</v>
      </c>
      <c r="O223" s="253">
        <f t="shared" si="13"/>
        <v>1781815</v>
      </c>
      <c r="P223" s="253">
        <v>275000</v>
      </c>
      <c r="Q223" s="253">
        <f t="shared" si="14"/>
        <v>1925000</v>
      </c>
    </row>
    <row r="224" spans="2:17">
      <c r="B224" s="200">
        <v>221</v>
      </c>
      <c r="C224" s="241" t="s">
        <v>897</v>
      </c>
      <c r="D224" s="242" t="s">
        <v>898</v>
      </c>
      <c r="E224" s="243" t="s">
        <v>11</v>
      </c>
      <c r="F224" s="244" t="s">
        <v>733</v>
      </c>
      <c r="G224" s="241"/>
      <c r="H224" s="241" t="s">
        <v>899</v>
      </c>
      <c r="I224" s="241"/>
      <c r="J224" s="244" t="s">
        <v>85</v>
      </c>
      <c r="K224" s="241" t="s">
        <v>735</v>
      </c>
      <c r="L224" s="251">
        <v>44587</v>
      </c>
      <c r="M224" s="252">
        <v>222727</v>
      </c>
      <c r="N224" s="241">
        <v>13</v>
      </c>
      <c r="O224" s="253">
        <f t="shared" si="13"/>
        <v>2895451</v>
      </c>
      <c r="P224" s="253">
        <v>297091</v>
      </c>
      <c r="Q224" s="253">
        <f t="shared" si="14"/>
        <v>3862183</v>
      </c>
    </row>
    <row r="225" spans="2:17">
      <c r="B225" s="200">
        <v>222</v>
      </c>
      <c r="C225" s="241" t="s">
        <v>900</v>
      </c>
      <c r="D225" s="242" t="s">
        <v>901</v>
      </c>
      <c r="E225" s="243" t="s">
        <v>9</v>
      </c>
      <c r="F225" s="243" t="s">
        <v>902</v>
      </c>
      <c r="G225" s="241"/>
      <c r="H225" s="241" t="s">
        <v>903</v>
      </c>
      <c r="I225" s="241"/>
      <c r="J225" s="244" t="s">
        <v>50</v>
      </c>
      <c r="K225" s="241" t="s">
        <v>904</v>
      </c>
      <c r="L225" s="251">
        <v>44588</v>
      </c>
      <c r="M225" s="252">
        <v>254545</v>
      </c>
      <c r="N225" s="241">
        <v>1</v>
      </c>
      <c r="O225" s="253">
        <f t="shared" si="13"/>
        <v>254545</v>
      </c>
      <c r="P225" s="253">
        <v>275000</v>
      </c>
      <c r="Q225" s="253">
        <f t="shared" si="14"/>
        <v>275000</v>
      </c>
    </row>
    <row r="226" spans="2:17">
      <c r="B226" s="200">
        <v>223</v>
      </c>
      <c r="C226" s="241" t="s">
        <v>905</v>
      </c>
      <c r="D226" s="242" t="s">
        <v>901</v>
      </c>
      <c r="E226" s="243" t="s">
        <v>9</v>
      </c>
      <c r="F226" s="243" t="s">
        <v>906</v>
      </c>
      <c r="G226" s="241"/>
      <c r="H226" s="241" t="s">
        <v>903</v>
      </c>
      <c r="I226" s="241"/>
      <c r="J226" s="244" t="s">
        <v>50</v>
      </c>
      <c r="K226" s="241" t="s">
        <v>907</v>
      </c>
      <c r="L226" s="251">
        <v>44588</v>
      </c>
      <c r="M226" s="252">
        <v>254545</v>
      </c>
      <c r="N226" s="241">
        <v>3</v>
      </c>
      <c r="O226" s="253">
        <f t="shared" si="13"/>
        <v>763635</v>
      </c>
      <c r="P226" s="253">
        <v>275000</v>
      </c>
      <c r="Q226" s="253">
        <f t="shared" si="14"/>
        <v>825000</v>
      </c>
    </row>
    <row r="227" spans="2:17">
      <c r="B227" s="200">
        <v>224</v>
      </c>
      <c r="C227" s="241" t="s">
        <v>908</v>
      </c>
      <c r="D227" s="242" t="s">
        <v>909</v>
      </c>
      <c r="E227" s="243" t="s">
        <v>10</v>
      </c>
      <c r="F227" s="244" t="s">
        <v>814</v>
      </c>
      <c r="G227" s="241" t="s">
        <v>910</v>
      </c>
      <c r="H227" s="241" t="s">
        <v>2</v>
      </c>
      <c r="I227" s="241"/>
      <c r="J227" s="244" t="s">
        <v>816</v>
      </c>
      <c r="K227" s="241" t="s">
        <v>817</v>
      </c>
      <c r="L227" s="251">
        <v>44588</v>
      </c>
      <c r="M227" s="252">
        <v>22727</v>
      </c>
      <c r="N227" s="241">
        <v>150</v>
      </c>
      <c r="O227" s="253">
        <f t="shared" si="13"/>
        <v>3409050</v>
      </c>
      <c r="P227" s="253">
        <v>29090.91</v>
      </c>
      <c r="Q227" s="253">
        <f t="shared" si="14"/>
        <v>4363636.5</v>
      </c>
    </row>
    <row r="228" spans="2:17">
      <c r="B228" s="200">
        <v>225</v>
      </c>
      <c r="C228" s="241" t="s">
        <v>911</v>
      </c>
      <c r="D228" s="242" t="s">
        <v>912</v>
      </c>
      <c r="E228" s="243" t="s">
        <v>11</v>
      </c>
      <c r="F228" s="244" t="s">
        <v>733</v>
      </c>
      <c r="G228" s="241"/>
      <c r="H228" s="241" t="s">
        <v>913</v>
      </c>
      <c r="I228" s="241"/>
      <c r="J228" s="244" t="s">
        <v>85</v>
      </c>
      <c r="K228" s="241" t="s">
        <v>914</v>
      </c>
      <c r="L228" s="251">
        <v>44588</v>
      </c>
      <c r="M228" s="252">
        <v>222727</v>
      </c>
      <c r="N228" s="241">
        <v>15</v>
      </c>
      <c r="O228" s="253">
        <f t="shared" si="13"/>
        <v>3340905</v>
      </c>
      <c r="P228" s="253">
        <v>297091</v>
      </c>
      <c r="Q228" s="253">
        <f t="shared" si="14"/>
        <v>4456365</v>
      </c>
    </row>
    <row r="229" spans="2:17">
      <c r="B229" s="200">
        <v>226</v>
      </c>
      <c r="C229" s="237" t="s">
        <v>915</v>
      </c>
      <c r="D229" s="238" t="s">
        <v>916</v>
      </c>
      <c r="E229" s="239" t="s">
        <v>9</v>
      </c>
      <c r="F229" s="240" t="s">
        <v>917</v>
      </c>
      <c r="G229" s="237"/>
      <c r="H229" s="237" t="s">
        <v>918</v>
      </c>
      <c r="I229" s="237"/>
      <c r="J229" s="240" t="s">
        <v>50</v>
      </c>
      <c r="K229" s="237" t="s">
        <v>919</v>
      </c>
      <c r="L229" s="248">
        <v>44594</v>
      </c>
      <c r="M229" s="249">
        <v>254545</v>
      </c>
      <c r="N229" s="237">
        <v>1</v>
      </c>
      <c r="O229" s="250">
        <f t="shared" si="13"/>
        <v>254545</v>
      </c>
      <c r="P229" s="250">
        <v>275000</v>
      </c>
      <c r="Q229" s="250">
        <f t="shared" si="14"/>
        <v>275000</v>
      </c>
    </row>
    <row r="230" spans="2:17">
      <c r="B230" s="200">
        <v>227</v>
      </c>
      <c r="C230" s="237" t="s">
        <v>920</v>
      </c>
      <c r="D230" s="238" t="s">
        <v>916</v>
      </c>
      <c r="E230" s="239" t="s">
        <v>9</v>
      </c>
      <c r="F230" s="240" t="s">
        <v>921</v>
      </c>
      <c r="G230" s="237"/>
      <c r="H230" s="237" t="s">
        <v>922</v>
      </c>
      <c r="I230" s="237"/>
      <c r="J230" s="240" t="s">
        <v>50</v>
      </c>
      <c r="K230" s="237" t="s">
        <v>923</v>
      </c>
      <c r="L230" s="248">
        <v>44594</v>
      </c>
      <c r="M230" s="249">
        <v>254545</v>
      </c>
      <c r="N230" s="237">
        <v>1</v>
      </c>
      <c r="O230" s="250">
        <f t="shared" si="13"/>
        <v>254545</v>
      </c>
      <c r="P230" s="250">
        <v>275000</v>
      </c>
      <c r="Q230" s="250">
        <f t="shared" si="14"/>
        <v>275000</v>
      </c>
    </row>
    <row r="231" spans="2:17">
      <c r="B231" s="200">
        <v>228</v>
      </c>
      <c r="C231" s="237" t="s">
        <v>924</v>
      </c>
      <c r="D231" s="238" t="s">
        <v>916</v>
      </c>
      <c r="E231" s="239" t="s">
        <v>9</v>
      </c>
      <c r="F231" s="240" t="s">
        <v>925</v>
      </c>
      <c r="G231" s="237"/>
      <c r="H231" s="237" t="s">
        <v>926</v>
      </c>
      <c r="I231" s="237"/>
      <c r="J231" s="240" t="s">
        <v>50</v>
      </c>
      <c r="K231" s="237" t="s">
        <v>927</v>
      </c>
      <c r="L231" s="248">
        <v>44594</v>
      </c>
      <c r="M231" s="249">
        <v>254545</v>
      </c>
      <c r="N231" s="237">
        <v>2</v>
      </c>
      <c r="O231" s="250">
        <f t="shared" si="13"/>
        <v>509090</v>
      </c>
      <c r="P231" s="250">
        <v>275000</v>
      </c>
      <c r="Q231" s="250">
        <f t="shared" si="14"/>
        <v>550000</v>
      </c>
    </row>
    <row r="232" spans="2:17">
      <c r="B232" s="200">
        <v>229</v>
      </c>
      <c r="C232" s="237" t="s">
        <v>928</v>
      </c>
      <c r="D232" s="238" t="s">
        <v>929</v>
      </c>
      <c r="E232" s="239" t="s">
        <v>9</v>
      </c>
      <c r="F232" s="240" t="s">
        <v>930</v>
      </c>
      <c r="G232" s="237"/>
      <c r="H232" s="237" t="s">
        <v>931</v>
      </c>
      <c r="I232" s="237"/>
      <c r="J232" s="240" t="s">
        <v>50</v>
      </c>
      <c r="K232" s="237" t="s">
        <v>932</v>
      </c>
      <c r="L232" s="248">
        <v>44594</v>
      </c>
      <c r="M232" s="249">
        <v>254545</v>
      </c>
      <c r="N232" s="237">
        <v>3</v>
      </c>
      <c r="O232" s="250">
        <f t="shared" si="13"/>
        <v>763635</v>
      </c>
      <c r="P232" s="250">
        <v>275000</v>
      </c>
      <c r="Q232" s="250">
        <f t="shared" si="14"/>
        <v>825000</v>
      </c>
    </row>
    <row r="233" spans="2:17">
      <c r="B233" s="200">
        <v>230</v>
      </c>
      <c r="C233" s="237" t="s">
        <v>933</v>
      </c>
      <c r="D233" s="238" t="s">
        <v>929</v>
      </c>
      <c r="E233" s="239" t="s">
        <v>9</v>
      </c>
      <c r="F233" s="240" t="s">
        <v>934</v>
      </c>
      <c r="G233" s="237"/>
      <c r="H233" s="237" t="s">
        <v>931</v>
      </c>
      <c r="I233" s="237"/>
      <c r="J233" s="240" t="s">
        <v>50</v>
      </c>
      <c r="K233" s="237" t="s">
        <v>935</v>
      </c>
      <c r="L233" s="248">
        <v>44594</v>
      </c>
      <c r="M233" s="249">
        <v>254545</v>
      </c>
      <c r="N233" s="237">
        <v>5</v>
      </c>
      <c r="O233" s="250">
        <f t="shared" si="13"/>
        <v>1272725</v>
      </c>
      <c r="P233" s="250">
        <v>275000</v>
      </c>
      <c r="Q233" s="250">
        <f t="shared" si="14"/>
        <v>1375000</v>
      </c>
    </row>
    <row r="234" spans="2:17">
      <c r="B234" s="200">
        <v>231</v>
      </c>
      <c r="C234" s="237" t="s">
        <v>936</v>
      </c>
      <c r="D234" s="238" t="s">
        <v>937</v>
      </c>
      <c r="E234" s="239" t="s">
        <v>10</v>
      </c>
      <c r="F234" s="240" t="s">
        <v>733</v>
      </c>
      <c r="G234" s="237"/>
      <c r="H234" s="237" t="s">
        <v>938</v>
      </c>
      <c r="I234" s="237"/>
      <c r="J234" s="240" t="s">
        <v>85</v>
      </c>
      <c r="K234" s="237" t="s">
        <v>939</v>
      </c>
      <c r="L234" s="248">
        <v>44599</v>
      </c>
      <c r="M234" s="249">
        <v>222727</v>
      </c>
      <c r="N234" s="237">
        <v>12</v>
      </c>
      <c r="O234" s="250">
        <f t="shared" si="13"/>
        <v>2672724</v>
      </c>
      <c r="P234" s="250">
        <v>279091</v>
      </c>
      <c r="Q234" s="250">
        <f t="shared" si="14"/>
        <v>3349092</v>
      </c>
    </row>
    <row r="235" spans="2:17">
      <c r="B235" s="200">
        <v>232</v>
      </c>
      <c r="C235" s="237" t="s">
        <v>940</v>
      </c>
      <c r="D235" s="238">
        <v>4800443057</v>
      </c>
      <c r="E235" s="239" t="s">
        <v>12</v>
      </c>
      <c r="F235" s="240" t="s">
        <v>941</v>
      </c>
      <c r="G235" s="237"/>
      <c r="H235" s="237" t="s">
        <v>942</v>
      </c>
      <c r="I235" s="237"/>
      <c r="J235" s="240" t="s">
        <v>85</v>
      </c>
      <c r="K235" s="237" t="s">
        <v>943</v>
      </c>
      <c r="L235" s="248">
        <v>44599</v>
      </c>
      <c r="M235" s="249">
        <v>222727</v>
      </c>
      <c r="N235" s="237">
        <v>40</v>
      </c>
      <c r="O235" s="250">
        <f t="shared" si="13"/>
        <v>8909080</v>
      </c>
      <c r="P235" s="250">
        <v>265136</v>
      </c>
      <c r="Q235" s="250">
        <f t="shared" si="14"/>
        <v>10605440</v>
      </c>
    </row>
    <row r="236" spans="2:17">
      <c r="B236" s="200">
        <v>233</v>
      </c>
      <c r="C236" s="237" t="s">
        <v>944</v>
      </c>
      <c r="D236" s="238" t="s">
        <v>945</v>
      </c>
      <c r="E236" s="239" t="s">
        <v>82</v>
      </c>
      <c r="F236" s="240" t="s">
        <v>83</v>
      </c>
      <c r="G236" s="237"/>
      <c r="H236" s="237" t="s">
        <v>946</v>
      </c>
      <c r="I236" s="237"/>
      <c r="J236" s="240" t="s">
        <v>85</v>
      </c>
      <c r="K236" s="237" t="s">
        <v>947</v>
      </c>
      <c r="L236" s="248">
        <v>44601</v>
      </c>
      <c r="M236" s="249">
        <v>222727</v>
      </c>
      <c r="N236" s="237">
        <v>250</v>
      </c>
      <c r="O236" s="250">
        <f t="shared" si="13"/>
        <v>55681750</v>
      </c>
      <c r="P236" s="250">
        <v>279090.90999999997</v>
      </c>
      <c r="Q236" s="250">
        <f t="shared" si="14"/>
        <v>69772727.5</v>
      </c>
    </row>
    <row r="237" spans="2:17">
      <c r="B237" s="200">
        <v>234</v>
      </c>
      <c r="C237" s="237" t="s">
        <v>948</v>
      </c>
      <c r="D237" s="238" t="s">
        <v>949</v>
      </c>
      <c r="E237" s="239" t="s">
        <v>9</v>
      </c>
      <c r="F237" s="240" t="s">
        <v>950</v>
      </c>
      <c r="G237" s="237"/>
      <c r="H237" s="237" t="s">
        <v>951</v>
      </c>
      <c r="I237" s="237"/>
      <c r="J237" s="240" t="s">
        <v>50</v>
      </c>
      <c r="K237" s="237" t="s">
        <v>952</v>
      </c>
      <c r="L237" s="248">
        <v>44601</v>
      </c>
      <c r="M237" s="249">
        <v>254545</v>
      </c>
      <c r="N237" s="237">
        <v>3</v>
      </c>
      <c r="O237" s="250">
        <f t="shared" si="13"/>
        <v>763635</v>
      </c>
      <c r="P237" s="250">
        <v>275000</v>
      </c>
      <c r="Q237" s="250">
        <f t="shared" si="14"/>
        <v>825000</v>
      </c>
    </row>
    <row r="238" spans="2:17">
      <c r="B238" s="200">
        <v>235</v>
      </c>
      <c r="C238" s="237" t="s">
        <v>953</v>
      </c>
      <c r="D238" s="238" t="s">
        <v>949</v>
      </c>
      <c r="E238" s="239" t="s">
        <v>9</v>
      </c>
      <c r="F238" s="240" t="s">
        <v>684</v>
      </c>
      <c r="G238" s="237"/>
      <c r="H238" s="237" t="s">
        <v>954</v>
      </c>
      <c r="I238" s="237"/>
      <c r="J238" s="240" t="s">
        <v>50</v>
      </c>
      <c r="K238" s="237" t="s">
        <v>955</v>
      </c>
      <c r="L238" s="248">
        <v>44601</v>
      </c>
      <c r="M238" s="249">
        <v>254545</v>
      </c>
      <c r="N238" s="237">
        <v>1</v>
      </c>
      <c r="O238" s="250">
        <f t="shared" si="13"/>
        <v>254545</v>
      </c>
      <c r="P238" s="250">
        <v>275000</v>
      </c>
      <c r="Q238" s="250">
        <f t="shared" si="14"/>
        <v>275000</v>
      </c>
    </row>
    <row r="239" spans="2:17">
      <c r="B239" s="200">
        <v>236</v>
      </c>
      <c r="C239" s="237" t="s">
        <v>956</v>
      </c>
      <c r="D239" s="238" t="s">
        <v>949</v>
      </c>
      <c r="E239" s="239" t="s">
        <v>9</v>
      </c>
      <c r="F239" s="240" t="s">
        <v>957</v>
      </c>
      <c r="G239" s="237"/>
      <c r="H239" s="237" t="s">
        <v>958</v>
      </c>
      <c r="I239" s="237"/>
      <c r="J239" s="240" t="s">
        <v>50</v>
      </c>
      <c r="K239" s="237" t="s">
        <v>959</v>
      </c>
      <c r="L239" s="248">
        <v>44601</v>
      </c>
      <c r="M239" s="249">
        <v>254545</v>
      </c>
      <c r="N239" s="237">
        <v>9</v>
      </c>
      <c r="O239" s="250">
        <f t="shared" si="13"/>
        <v>2290905</v>
      </c>
      <c r="P239" s="250">
        <v>275000</v>
      </c>
      <c r="Q239" s="250">
        <f t="shared" si="14"/>
        <v>2475000</v>
      </c>
    </row>
    <row r="240" spans="2:17">
      <c r="B240" s="200">
        <v>237</v>
      </c>
      <c r="C240" s="237" t="s">
        <v>960</v>
      </c>
      <c r="D240" s="238" t="s">
        <v>949</v>
      </c>
      <c r="E240" s="239" t="s">
        <v>9</v>
      </c>
      <c r="F240" s="240" t="s">
        <v>961</v>
      </c>
      <c r="G240" s="237"/>
      <c r="H240" s="237" t="s">
        <v>951</v>
      </c>
      <c r="I240" s="237"/>
      <c r="J240" s="240" t="s">
        <v>50</v>
      </c>
      <c r="K240" s="237" t="s">
        <v>962</v>
      </c>
      <c r="L240" s="248">
        <v>44601</v>
      </c>
      <c r="M240" s="249">
        <v>254545</v>
      </c>
      <c r="N240" s="237">
        <v>2</v>
      </c>
      <c r="O240" s="250">
        <f t="shared" si="13"/>
        <v>509090</v>
      </c>
      <c r="P240" s="250">
        <v>275000</v>
      </c>
      <c r="Q240" s="250">
        <f t="shared" si="14"/>
        <v>550000</v>
      </c>
    </row>
    <row r="241" spans="2:17">
      <c r="B241" s="200">
        <v>238</v>
      </c>
      <c r="C241" s="237" t="s">
        <v>963</v>
      </c>
      <c r="D241" s="238">
        <v>4800443987</v>
      </c>
      <c r="E241" s="239" t="s">
        <v>12</v>
      </c>
      <c r="F241" s="240" t="s">
        <v>466</v>
      </c>
      <c r="G241" s="237"/>
      <c r="H241" s="237" t="s">
        <v>964</v>
      </c>
      <c r="I241" s="237"/>
      <c r="J241" s="240" t="s">
        <v>85</v>
      </c>
      <c r="K241" s="237" t="s">
        <v>965</v>
      </c>
      <c r="L241" s="248">
        <v>44607</v>
      </c>
      <c r="M241" s="249">
        <v>222727</v>
      </c>
      <c r="N241" s="237">
        <v>8</v>
      </c>
      <c r="O241" s="250">
        <f t="shared" si="13"/>
        <v>1781816</v>
      </c>
      <c r="P241" s="250">
        <v>265136</v>
      </c>
      <c r="Q241" s="250">
        <f t="shared" si="14"/>
        <v>2121088</v>
      </c>
    </row>
    <row r="242" spans="2:17">
      <c r="B242" s="200">
        <v>239</v>
      </c>
      <c r="C242" s="237" t="s">
        <v>966</v>
      </c>
      <c r="D242" s="238" t="s">
        <v>967</v>
      </c>
      <c r="E242" s="239" t="s">
        <v>11</v>
      </c>
      <c r="F242" s="240" t="s">
        <v>880</v>
      </c>
      <c r="G242" s="237"/>
      <c r="H242" s="237" t="s">
        <v>968</v>
      </c>
      <c r="I242" s="237"/>
      <c r="J242" s="240" t="s">
        <v>886</v>
      </c>
      <c r="K242" s="237" t="s">
        <v>969</v>
      </c>
      <c r="L242" s="248">
        <v>44607</v>
      </c>
      <c r="M242" s="249">
        <v>184875</v>
      </c>
      <c r="N242" s="237">
        <v>25</v>
      </c>
      <c r="O242" s="250">
        <f t="shared" si="13"/>
        <v>4621875</v>
      </c>
      <c r="P242" s="250">
        <v>201682</v>
      </c>
      <c r="Q242" s="250">
        <f t="shared" si="14"/>
        <v>5042050</v>
      </c>
    </row>
    <row r="243" spans="2:17">
      <c r="B243" s="200">
        <v>240</v>
      </c>
      <c r="C243" s="237" t="s">
        <v>970</v>
      </c>
      <c r="D243" s="238" t="s">
        <v>971</v>
      </c>
      <c r="E243" s="239" t="s">
        <v>10</v>
      </c>
      <c r="F243" s="240" t="s">
        <v>814</v>
      </c>
      <c r="G243" s="237" t="s">
        <v>972</v>
      </c>
      <c r="H243" s="237" t="s">
        <v>2</v>
      </c>
      <c r="I243" s="237"/>
      <c r="J243" s="240" t="s">
        <v>816</v>
      </c>
      <c r="K243" s="237" t="s">
        <v>973</v>
      </c>
      <c r="L243" s="248">
        <v>44607</v>
      </c>
      <c r="M243" s="249">
        <v>22727</v>
      </c>
      <c r="N243" s="237">
        <v>120</v>
      </c>
      <c r="O243" s="250">
        <f t="shared" si="13"/>
        <v>2727240</v>
      </c>
      <c r="P243" s="250">
        <v>29090.91</v>
      </c>
      <c r="Q243" s="250">
        <f t="shared" si="14"/>
        <v>3490909.2</v>
      </c>
    </row>
    <row r="244" spans="2:17">
      <c r="B244" s="200">
        <v>241</v>
      </c>
      <c r="C244" s="237" t="s">
        <v>974</v>
      </c>
      <c r="D244" s="238">
        <v>81314</v>
      </c>
      <c r="E244" s="239" t="s">
        <v>17</v>
      </c>
      <c r="F244" s="240" t="s">
        <v>114</v>
      </c>
      <c r="G244" s="237"/>
      <c r="H244" s="237" t="s">
        <v>975</v>
      </c>
      <c r="I244" s="237"/>
      <c r="J244" s="240" t="s">
        <v>85</v>
      </c>
      <c r="K244" s="237" t="s">
        <v>116</v>
      </c>
      <c r="L244" s="248">
        <v>44609</v>
      </c>
      <c r="M244" s="249">
        <v>171818</v>
      </c>
      <c r="N244" s="237">
        <v>20</v>
      </c>
      <c r="O244" s="250">
        <f t="shared" si="13"/>
        <v>3436360</v>
      </c>
      <c r="P244" s="250">
        <v>279090.90999999997</v>
      </c>
      <c r="Q244" s="250">
        <f t="shared" si="14"/>
        <v>5581818.1999999993</v>
      </c>
    </row>
    <row r="245" spans="2:17">
      <c r="B245" s="200">
        <v>242</v>
      </c>
      <c r="C245" s="237" t="s">
        <v>976</v>
      </c>
      <c r="D245" s="238">
        <v>81314</v>
      </c>
      <c r="E245" s="239" t="s">
        <v>17</v>
      </c>
      <c r="F245" s="240" t="s">
        <v>114</v>
      </c>
      <c r="G245" s="237"/>
      <c r="H245" s="237" t="s">
        <v>975</v>
      </c>
      <c r="I245" s="237"/>
      <c r="J245" s="240" t="s">
        <v>92</v>
      </c>
      <c r="K245" s="237" t="s">
        <v>118</v>
      </c>
      <c r="L245" s="248">
        <v>44609</v>
      </c>
      <c r="M245" s="249">
        <v>40909</v>
      </c>
      <c r="N245" s="237">
        <v>20</v>
      </c>
      <c r="O245" s="250">
        <f t="shared" si="13"/>
        <v>818180</v>
      </c>
      <c r="P245" s="250">
        <v>58181.82</v>
      </c>
      <c r="Q245" s="250">
        <f t="shared" si="14"/>
        <v>1163636.3999999999</v>
      </c>
    </row>
    <row r="246" spans="2:17">
      <c r="B246" s="200">
        <v>243</v>
      </c>
      <c r="C246" s="237" t="s">
        <v>977</v>
      </c>
      <c r="D246" s="238" t="s">
        <v>978</v>
      </c>
      <c r="E246" s="239" t="s">
        <v>9</v>
      </c>
      <c r="F246" s="240" t="s">
        <v>979</v>
      </c>
      <c r="G246" s="237"/>
      <c r="H246" s="237" t="s">
        <v>801</v>
      </c>
      <c r="I246" s="237"/>
      <c r="J246" s="240" t="s">
        <v>50</v>
      </c>
      <c r="K246" s="237" t="s">
        <v>980</v>
      </c>
      <c r="L246" s="248">
        <v>44609</v>
      </c>
      <c r="M246" s="249">
        <v>254545</v>
      </c>
      <c r="N246" s="237">
        <v>1</v>
      </c>
      <c r="O246" s="250">
        <f t="shared" si="13"/>
        <v>254545</v>
      </c>
      <c r="P246" s="250">
        <v>275000</v>
      </c>
      <c r="Q246" s="250">
        <f t="shared" si="14"/>
        <v>275000</v>
      </c>
    </row>
    <row r="247" spans="2:17">
      <c r="B247" s="200">
        <v>244</v>
      </c>
      <c r="C247" s="237" t="s">
        <v>981</v>
      </c>
      <c r="D247" s="238" t="s">
        <v>978</v>
      </c>
      <c r="E247" s="239" t="s">
        <v>9</v>
      </c>
      <c r="F247" s="240" t="s">
        <v>982</v>
      </c>
      <c r="G247" s="237"/>
      <c r="H247" s="237" t="s">
        <v>983</v>
      </c>
      <c r="I247" s="237"/>
      <c r="J247" s="240" t="s">
        <v>50</v>
      </c>
      <c r="K247" s="237" t="s">
        <v>984</v>
      </c>
      <c r="L247" s="248">
        <v>44609</v>
      </c>
      <c r="M247" s="249">
        <v>254545</v>
      </c>
      <c r="N247" s="237">
        <v>1</v>
      </c>
      <c r="O247" s="250">
        <f t="shared" si="13"/>
        <v>254545</v>
      </c>
      <c r="P247" s="250">
        <v>275000</v>
      </c>
      <c r="Q247" s="250">
        <f t="shared" si="14"/>
        <v>275000</v>
      </c>
    </row>
    <row r="248" spans="2:17">
      <c r="B248" s="200">
        <v>245</v>
      </c>
      <c r="C248" s="237" t="s">
        <v>985</v>
      </c>
      <c r="D248" s="238" t="s">
        <v>978</v>
      </c>
      <c r="E248" s="239" t="s">
        <v>9</v>
      </c>
      <c r="F248" s="240" t="s">
        <v>986</v>
      </c>
      <c r="G248" s="237"/>
      <c r="H248" s="237" t="s">
        <v>983</v>
      </c>
      <c r="I248" s="237"/>
      <c r="J248" s="240" t="s">
        <v>50</v>
      </c>
      <c r="K248" s="237" t="s">
        <v>987</v>
      </c>
      <c r="L248" s="248">
        <v>44609</v>
      </c>
      <c r="M248" s="249">
        <v>254545</v>
      </c>
      <c r="N248" s="237">
        <v>4</v>
      </c>
      <c r="O248" s="250">
        <f t="shared" si="13"/>
        <v>1018180</v>
      </c>
      <c r="P248" s="250">
        <v>275000</v>
      </c>
      <c r="Q248" s="250">
        <f t="shared" si="14"/>
        <v>1100000</v>
      </c>
    </row>
    <row r="249" spans="2:17">
      <c r="B249" s="200">
        <v>246</v>
      </c>
      <c r="C249" s="237" t="s">
        <v>988</v>
      </c>
      <c r="D249" s="238" t="s">
        <v>989</v>
      </c>
      <c r="E249" s="239" t="s">
        <v>16</v>
      </c>
      <c r="F249" s="240" t="s">
        <v>165</v>
      </c>
      <c r="G249" s="237"/>
      <c r="H249" s="237" t="s">
        <v>990</v>
      </c>
      <c r="I249" s="237"/>
      <c r="J249" s="240" t="s">
        <v>85</v>
      </c>
      <c r="K249" s="237" t="s">
        <v>991</v>
      </c>
      <c r="L249" s="248">
        <v>44613</v>
      </c>
      <c r="M249" s="249">
        <v>222727</v>
      </c>
      <c r="N249" s="237">
        <v>160</v>
      </c>
      <c r="O249" s="250">
        <f t="shared" si="13"/>
        <v>35636320</v>
      </c>
      <c r="P249" s="250">
        <v>279090.90999999997</v>
      </c>
      <c r="Q249" s="250">
        <f t="shared" si="14"/>
        <v>44654545.599999994</v>
      </c>
    </row>
    <row r="250" spans="2:17">
      <c r="B250" s="200">
        <v>247</v>
      </c>
      <c r="C250" s="237" t="s">
        <v>992</v>
      </c>
      <c r="D250" s="238" t="s">
        <v>978</v>
      </c>
      <c r="E250" s="239" t="s">
        <v>9</v>
      </c>
      <c r="F250" s="240" t="s">
        <v>445</v>
      </c>
      <c r="G250" s="237"/>
      <c r="H250" s="237" t="s">
        <v>993</v>
      </c>
      <c r="I250" s="237"/>
      <c r="J250" s="240" t="s">
        <v>50</v>
      </c>
      <c r="K250" s="237" t="s">
        <v>994</v>
      </c>
      <c r="L250" s="248">
        <v>44613</v>
      </c>
      <c r="M250" s="249">
        <v>254545</v>
      </c>
      <c r="N250" s="237">
        <v>3</v>
      </c>
      <c r="O250" s="250">
        <f t="shared" si="13"/>
        <v>763635</v>
      </c>
      <c r="P250" s="250">
        <v>275000</v>
      </c>
      <c r="Q250" s="250">
        <f t="shared" si="14"/>
        <v>825000</v>
      </c>
    </row>
    <row r="251" spans="2:17">
      <c r="B251" s="200">
        <v>248</v>
      </c>
      <c r="C251" s="237" t="s">
        <v>995</v>
      </c>
      <c r="D251" s="238" t="s">
        <v>978</v>
      </c>
      <c r="E251" s="239" t="s">
        <v>9</v>
      </c>
      <c r="F251" s="240" t="s">
        <v>445</v>
      </c>
      <c r="G251" s="237"/>
      <c r="H251" s="237" t="s">
        <v>996</v>
      </c>
      <c r="I251" s="237"/>
      <c r="J251" s="240" t="s">
        <v>50</v>
      </c>
      <c r="K251" s="237" t="s">
        <v>997</v>
      </c>
      <c r="L251" s="248">
        <v>44613</v>
      </c>
      <c r="M251" s="249">
        <v>254545</v>
      </c>
      <c r="N251" s="237">
        <v>3</v>
      </c>
      <c r="O251" s="250">
        <f t="shared" si="13"/>
        <v>763635</v>
      </c>
      <c r="P251" s="250">
        <v>275000</v>
      </c>
      <c r="Q251" s="250">
        <f t="shared" si="14"/>
        <v>825000</v>
      </c>
    </row>
    <row r="252" spans="2:17">
      <c r="B252" s="200">
        <v>249</v>
      </c>
      <c r="C252" s="237" t="s">
        <v>998</v>
      </c>
      <c r="D252" s="238" t="s">
        <v>978</v>
      </c>
      <c r="E252" s="239" t="s">
        <v>9</v>
      </c>
      <c r="F252" s="240" t="s">
        <v>999</v>
      </c>
      <c r="G252" s="237"/>
      <c r="H252" s="237" t="s">
        <v>1000</v>
      </c>
      <c r="I252" s="237"/>
      <c r="J252" s="240" t="s">
        <v>50</v>
      </c>
      <c r="K252" s="237" t="s">
        <v>1001</v>
      </c>
      <c r="L252" s="248">
        <v>44613</v>
      </c>
      <c r="M252" s="249">
        <v>254545</v>
      </c>
      <c r="N252" s="237">
        <v>2</v>
      </c>
      <c r="O252" s="250">
        <f t="shared" si="13"/>
        <v>509090</v>
      </c>
      <c r="P252" s="250">
        <v>275000</v>
      </c>
      <c r="Q252" s="250">
        <f t="shared" si="14"/>
        <v>550000</v>
      </c>
    </row>
    <row r="253" spans="2:17">
      <c r="B253" s="200">
        <v>250</v>
      </c>
      <c r="C253" s="237" t="s">
        <v>1002</v>
      </c>
      <c r="D253" s="238" t="s">
        <v>978</v>
      </c>
      <c r="E253" s="239" t="s">
        <v>9</v>
      </c>
      <c r="F253" s="240" t="s">
        <v>1003</v>
      </c>
      <c r="G253" s="237"/>
      <c r="H253" s="237" t="s">
        <v>996</v>
      </c>
      <c r="I253" s="237"/>
      <c r="J253" s="240" t="s">
        <v>50</v>
      </c>
      <c r="K253" s="237" t="s">
        <v>1004</v>
      </c>
      <c r="L253" s="248">
        <v>44613</v>
      </c>
      <c r="M253" s="249">
        <v>254545</v>
      </c>
      <c r="N253" s="237">
        <v>8</v>
      </c>
      <c r="O253" s="250">
        <f t="shared" si="13"/>
        <v>2036360</v>
      </c>
      <c r="P253" s="250">
        <v>275000</v>
      </c>
      <c r="Q253" s="250">
        <f t="shared" si="14"/>
        <v>2200000</v>
      </c>
    </row>
    <row r="254" spans="2:17">
      <c r="B254" s="200">
        <v>251</v>
      </c>
      <c r="C254" s="237" t="s">
        <v>1005</v>
      </c>
      <c r="D254" s="238" t="s">
        <v>978</v>
      </c>
      <c r="E254" s="239" t="s">
        <v>9</v>
      </c>
      <c r="F254" s="240" t="s">
        <v>1006</v>
      </c>
      <c r="G254" s="237"/>
      <c r="H254" s="237" t="s">
        <v>1000</v>
      </c>
      <c r="I254" s="237"/>
      <c r="J254" s="240" t="s">
        <v>50</v>
      </c>
      <c r="K254" s="237" t="s">
        <v>1007</v>
      </c>
      <c r="L254" s="248">
        <v>44613</v>
      </c>
      <c r="M254" s="249">
        <v>254545</v>
      </c>
      <c r="N254" s="237">
        <v>1</v>
      </c>
      <c r="O254" s="250">
        <f t="shared" si="13"/>
        <v>254545</v>
      </c>
      <c r="P254" s="250">
        <v>275000</v>
      </c>
      <c r="Q254" s="250">
        <f t="shared" si="14"/>
        <v>275000</v>
      </c>
    </row>
    <row r="255" spans="2:17">
      <c r="B255" s="200">
        <v>252</v>
      </c>
      <c r="C255" s="237" t="s">
        <v>1008</v>
      </c>
      <c r="D255" s="238" t="s">
        <v>1009</v>
      </c>
      <c r="E255" s="239" t="s">
        <v>9</v>
      </c>
      <c r="F255" s="240" t="s">
        <v>925</v>
      </c>
      <c r="G255" s="237"/>
      <c r="H255" s="237" t="s">
        <v>1010</v>
      </c>
      <c r="I255" s="237"/>
      <c r="J255" s="240" t="s">
        <v>50</v>
      </c>
      <c r="K255" s="237" t="s">
        <v>1011</v>
      </c>
      <c r="L255" s="248">
        <v>44617</v>
      </c>
      <c r="M255" s="249">
        <v>254545</v>
      </c>
      <c r="N255" s="237">
        <v>3</v>
      </c>
      <c r="O255" s="250">
        <f t="shared" si="13"/>
        <v>763635</v>
      </c>
      <c r="P255" s="250">
        <v>275000</v>
      </c>
      <c r="Q255" s="250">
        <f t="shared" si="14"/>
        <v>825000</v>
      </c>
    </row>
    <row r="256" spans="2:17">
      <c r="B256" s="200">
        <v>253</v>
      </c>
      <c r="C256" s="237" t="s">
        <v>1012</v>
      </c>
      <c r="D256" s="238" t="s">
        <v>1009</v>
      </c>
      <c r="E256" s="239" t="s">
        <v>9</v>
      </c>
      <c r="F256" s="240" t="s">
        <v>1013</v>
      </c>
      <c r="G256" s="237"/>
      <c r="H256" s="237" t="s">
        <v>1010</v>
      </c>
      <c r="I256" s="237"/>
      <c r="J256" s="240" t="s">
        <v>50</v>
      </c>
      <c r="K256" s="237" t="s">
        <v>1014</v>
      </c>
      <c r="L256" s="248">
        <v>44617</v>
      </c>
      <c r="M256" s="249">
        <v>254545</v>
      </c>
      <c r="N256" s="237">
        <v>2</v>
      </c>
      <c r="O256" s="250">
        <f t="shared" si="13"/>
        <v>509090</v>
      </c>
      <c r="P256" s="250">
        <v>275000</v>
      </c>
      <c r="Q256" s="250">
        <f t="shared" si="14"/>
        <v>550000</v>
      </c>
    </row>
    <row r="257" spans="2:17">
      <c r="B257" s="200">
        <v>254</v>
      </c>
      <c r="C257" s="237" t="s">
        <v>1015</v>
      </c>
      <c r="D257" s="238" t="s">
        <v>1016</v>
      </c>
      <c r="E257" s="239" t="s">
        <v>10</v>
      </c>
      <c r="F257" s="240" t="s">
        <v>814</v>
      </c>
      <c r="G257" s="237"/>
      <c r="H257" s="237" t="s">
        <v>1017</v>
      </c>
      <c r="I257" s="237"/>
      <c r="J257" s="240" t="s">
        <v>85</v>
      </c>
      <c r="K257" s="237" t="s">
        <v>1018</v>
      </c>
      <c r="L257" s="248">
        <v>44617</v>
      </c>
      <c r="M257" s="249">
        <v>222727</v>
      </c>
      <c r="N257" s="237">
        <v>297</v>
      </c>
      <c r="O257" s="250">
        <f t="shared" si="13"/>
        <v>66149919</v>
      </c>
      <c r="P257" s="250">
        <v>279090.90999999997</v>
      </c>
      <c r="Q257" s="250">
        <f t="shared" si="14"/>
        <v>82890000.269999996</v>
      </c>
    </row>
    <row r="258" spans="2:17">
      <c r="B258" s="200">
        <v>255</v>
      </c>
      <c r="C258" s="241" t="s">
        <v>1019</v>
      </c>
      <c r="D258" s="242" t="s">
        <v>1020</v>
      </c>
      <c r="E258" s="243" t="s">
        <v>9</v>
      </c>
      <c r="F258" s="244" t="s">
        <v>1021</v>
      </c>
      <c r="G258" s="241"/>
      <c r="H258" s="241" t="s">
        <v>1022</v>
      </c>
      <c r="I258" s="241"/>
      <c r="J258" s="244" t="s">
        <v>50</v>
      </c>
      <c r="K258" s="241" t="s">
        <v>1023</v>
      </c>
      <c r="L258" s="251">
        <v>44628</v>
      </c>
      <c r="M258" s="252">
        <v>254545</v>
      </c>
      <c r="N258" s="241">
        <v>1</v>
      </c>
      <c r="O258" s="253">
        <f t="shared" si="13"/>
        <v>254545</v>
      </c>
      <c r="P258" s="253">
        <v>275000</v>
      </c>
      <c r="Q258" s="253">
        <f t="shared" si="14"/>
        <v>275000</v>
      </c>
    </row>
    <row r="259" spans="2:17">
      <c r="B259" s="200">
        <v>256</v>
      </c>
      <c r="C259" s="241" t="s">
        <v>1024</v>
      </c>
      <c r="D259" s="242" t="s">
        <v>1020</v>
      </c>
      <c r="E259" s="243" t="s">
        <v>9</v>
      </c>
      <c r="F259" s="244" t="s">
        <v>1025</v>
      </c>
      <c r="G259" s="241"/>
      <c r="H259" s="241" t="s">
        <v>1026</v>
      </c>
      <c r="I259" s="241"/>
      <c r="J259" s="244" t="s">
        <v>50</v>
      </c>
      <c r="K259" s="241" t="s">
        <v>1027</v>
      </c>
      <c r="L259" s="251">
        <v>44628</v>
      </c>
      <c r="M259" s="252">
        <v>254545</v>
      </c>
      <c r="N259" s="241">
        <v>1</v>
      </c>
      <c r="O259" s="253">
        <f t="shared" si="13"/>
        <v>254545</v>
      </c>
      <c r="P259" s="253">
        <v>275000</v>
      </c>
      <c r="Q259" s="253">
        <f t="shared" si="14"/>
        <v>275000</v>
      </c>
    </row>
    <row r="260" spans="2:17">
      <c r="B260" s="200">
        <v>257</v>
      </c>
      <c r="C260" s="241" t="s">
        <v>1028</v>
      </c>
      <c r="D260" s="242" t="s">
        <v>1020</v>
      </c>
      <c r="E260" s="243" t="s">
        <v>9</v>
      </c>
      <c r="F260" s="244" t="s">
        <v>1029</v>
      </c>
      <c r="G260" s="241"/>
      <c r="H260" s="241" t="s">
        <v>1030</v>
      </c>
      <c r="I260" s="241"/>
      <c r="J260" s="244" t="s">
        <v>50</v>
      </c>
      <c r="K260" s="241" t="s">
        <v>1031</v>
      </c>
      <c r="L260" s="251">
        <v>44628</v>
      </c>
      <c r="M260" s="252">
        <v>254545</v>
      </c>
      <c r="N260" s="241">
        <v>2</v>
      </c>
      <c r="O260" s="253">
        <f t="shared" si="13"/>
        <v>509090</v>
      </c>
      <c r="P260" s="253">
        <v>275000</v>
      </c>
      <c r="Q260" s="253">
        <f t="shared" si="14"/>
        <v>550000</v>
      </c>
    </row>
    <row r="261" spans="2:17">
      <c r="B261" s="200">
        <v>258</v>
      </c>
      <c r="C261" s="241" t="s">
        <v>1032</v>
      </c>
      <c r="D261" s="242" t="s">
        <v>1020</v>
      </c>
      <c r="E261" s="243" t="s">
        <v>9</v>
      </c>
      <c r="F261" s="244" t="s">
        <v>1033</v>
      </c>
      <c r="G261" s="241"/>
      <c r="H261" s="241" t="s">
        <v>1030</v>
      </c>
      <c r="I261" s="241"/>
      <c r="J261" s="244" t="s">
        <v>50</v>
      </c>
      <c r="K261" s="241" t="s">
        <v>1034</v>
      </c>
      <c r="L261" s="251">
        <v>44628</v>
      </c>
      <c r="M261" s="252">
        <v>254545</v>
      </c>
      <c r="N261" s="241">
        <v>1</v>
      </c>
      <c r="O261" s="253">
        <f t="shared" si="13"/>
        <v>254545</v>
      </c>
      <c r="P261" s="253">
        <v>275000</v>
      </c>
      <c r="Q261" s="253">
        <f t="shared" si="14"/>
        <v>275000</v>
      </c>
    </row>
    <row r="262" spans="2:17">
      <c r="B262" s="200">
        <v>259</v>
      </c>
      <c r="C262" s="241" t="s">
        <v>1035</v>
      </c>
      <c r="D262" s="242" t="s">
        <v>1036</v>
      </c>
      <c r="E262" s="243" t="s">
        <v>11</v>
      </c>
      <c r="F262" s="244" t="s">
        <v>880</v>
      </c>
      <c r="G262" s="241"/>
      <c r="H262" s="241" t="s">
        <v>1037</v>
      </c>
      <c r="I262" s="241"/>
      <c r="J262" s="244" t="s">
        <v>1038</v>
      </c>
      <c r="K262" s="241" t="s">
        <v>1039</v>
      </c>
      <c r="L262" s="251">
        <v>44629</v>
      </c>
      <c r="M262" s="252">
        <v>184875</v>
      </c>
      <c r="N262" s="241">
        <v>15</v>
      </c>
      <c r="O262" s="253">
        <f t="shared" si="13"/>
        <v>2773125</v>
      </c>
      <c r="P262" s="253">
        <v>201682</v>
      </c>
      <c r="Q262" s="253">
        <f t="shared" si="14"/>
        <v>3025230</v>
      </c>
    </row>
    <row r="263" spans="2:17">
      <c r="B263" s="200">
        <v>260</v>
      </c>
      <c r="C263" s="241" t="s">
        <v>1040</v>
      </c>
      <c r="D263" s="242" t="s">
        <v>1041</v>
      </c>
      <c r="E263" s="243" t="s">
        <v>9</v>
      </c>
      <c r="F263" s="244" t="s">
        <v>1042</v>
      </c>
      <c r="G263" s="241"/>
      <c r="H263" s="241" t="s">
        <v>1043</v>
      </c>
      <c r="I263" s="241"/>
      <c r="J263" s="244" t="s">
        <v>50</v>
      </c>
      <c r="K263" s="241" t="s">
        <v>1044</v>
      </c>
      <c r="L263" s="251">
        <v>44631</v>
      </c>
      <c r="M263" s="252">
        <v>254545</v>
      </c>
      <c r="N263" s="241">
        <v>1</v>
      </c>
      <c r="O263" s="253">
        <f t="shared" si="13"/>
        <v>254545</v>
      </c>
      <c r="P263" s="253">
        <v>275000</v>
      </c>
      <c r="Q263" s="253">
        <f t="shared" si="14"/>
        <v>275000</v>
      </c>
    </row>
    <row r="264" spans="2:17">
      <c r="B264" s="200">
        <v>261</v>
      </c>
      <c r="C264" s="241" t="s">
        <v>1045</v>
      </c>
      <c r="D264" s="242" t="s">
        <v>1046</v>
      </c>
      <c r="E264" s="243" t="s">
        <v>9</v>
      </c>
      <c r="F264" s="244" t="s">
        <v>1047</v>
      </c>
      <c r="G264" s="241"/>
      <c r="H264" s="241" t="s">
        <v>1048</v>
      </c>
      <c r="I264" s="241"/>
      <c r="J264" s="244" t="s">
        <v>50</v>
      </c>
      <c r="K264" s="241" t="s">
        <v>1049</v>
      </c>
      <c r="L264" s="251">
        <v>44635</v>
      </c>
      <c r="M264" s="252">
        <v>254545</v>
      </c>
      <c r="N264" s="241">
        <v>1</v>
      </c>
      <c r="O264" s="253">
        <f t="shared" si="13"/>
        <v>254545</v>
      </c>
      <c r="P264" s="253">
        <v>275000</v>
      </c>
      <c r="Q264" s="253">
        <f t="shared" si="14"/>
        <v>275000</v>
      </c>
    </row>
    <row r="265" spans="2:17">
      <c r="B265" s="200">
        <v>262</v>
      </c>
      <c r="C265" s="241" t="s">
        <v>1050</v>
      </c>
      <c r="D265" s="242" t="s">
        <v>1046</v>
      </c>
      <c r="E265" s="243" t="s">
        <v>9</v>
      </c>
      <c r="F265" s="244" t="s">
        <v>1051</v>
      </c>
      <c r="G265" s="241"/>
      <c r="H265" s="241" t="s">
        <v>1048</v>
      </c>
      <c r="I265" s="241"/>
      <c r="J265" s="244" t="s">
        <v>50</v>
      </c>
      <c r="K265" s="241" t="s">
        <v>1052</v>
      </c>
      <c r="L265" s="251">
        <v>44635</v>
      </c>
      <c r="M265" s="252">
        <v>254545</v>
      </c>
      <c r="N265" s="241">
        <v>1</v>
      </c>
      <c r="O265" s="253">
        <f t="shared" si="13"/>
        <v>254545</v>
      </c>
      <c r="P265" s="253">
        <v>275000</v>
      </c>
      <c r="Q265" s="253">
        <f t="shared" si="14"/>
        <v>275000</v>
      </c>
    </row>
    <row r="266" spans="2:17">
      <c r="B266" s="200">
        <v>263</v>
      </c>
      <c r="C266" s="241" t="s">
        <v>1053</v>
      </c>
      <c r="D266" s="242" t="s">
        <v>1054</v>
      </c>
      <c r="E266" s="243" t="s">
        <v>6</v>
      </c>
      <c r="F266" s="244" t="s">
        <v>509</v>
      </c>
      <c r="G266" s="241"/>
      <c r="H266" s="241" t="s">
        <v>1055</v>
      </c>
      <c r="I266" s="241"/>
      <c r="J266" s="244" t="s">
        <v>50</v>
      </c>
      <c r="K266" s="241" t="s">
        <v>1056</v>
      </c>
      <c r="L266" s="251">
        <v>44637</v>
      </c>
      <c r="M266" s="252">
        <v>444545</v>
      </c>
      <c r="N266" s="241">
        <v>116</v>
      </c>
      <c r="O266" s="253">
        <f t="shared" si="13"/>
        <v>51567220</v>
      </c>
      <c r="P266" s="253">
        <v>556363.64</v>
      </c>
      <c r="Q266" s="253">
        <f t="shared" si="14"/>
        <v>64538182.240000002</v>
      </c>
    </row>
    <row r="267" spans="2:17">
      <c r="B267" s="200">
        <v>264</v>
      </c>
      <c r="C267" s="241" t="s">
        <v>1057</v>
      </c>
      <c r="D267" s="242" t="s">
        <v>1058</v>
      </c>
      <c r="E267" s="243" t="s">
        <v>9</v>
      </c>
      <c r="F267" s="244" t="s">
        <v>1059</v>
      </c>
      <c r="G267" s="241"/>
      <c r="H267" s="241" t="s">
        <v>1060</v>
      </c>
      <c r="I267" s="241"/>
      <c r="J267" s="244" t="s">
        <v>50</v>
      </c>
      <c r="K267" s="241" t="s">
        <v>1061</v>
      </c>
      <c r="L267" s="251">
        <v>44641</v>
      </c>
      <c r="M267" s="252">
        <v>254545</v>
      </c>
      <c r="N267" s="241">
        <v>7</v>
      </c>
      <c r="O267" s="253">
        <f t="shared" si="13"/>
        <v>1781815</v>
      </c>
      <c r="P267" s="253">
        <v>275000</v>
      </c>
      <c r="Q267" s="253">
        <f t="shared" si="14"/>
        <v>1925000</v>
      </c>
    </row>
    <row r="268" spans="2:17">
      <c r="B268" s="200">
        <v>265</v>
      </c>
      <c r="C268" s="241" t="s">
        <v>1062</v>
      </c>
      <c r="D268" s="242" t="s">
        <v>1058</v>
      </c>
      <c r="E268" s="243" t="s">
        <v>9</v>
      </c>
      <c r="F268" s="244" t="s">
        <v>1063</v>
      </c>
      <c r="G268" s="241"/>
      <c r="H268" s="241" t="s">
        <v>1060</v>
      </c>
      <c r="I268" s="241"/>
      <c r="J268" s="244" t="s">
        <v>50</v>
      </c>
      <c r="K268" s="241" t="s">
        <v>1064</v>
      </c>
      <c r="L268" s="251">
        <v>44641</v>
      </c>
      <c r="M268" s="252">
        <v>254545</v>
      </c>
      <c r="N268" s="241">
        <v>2</v>
      </c>
      <c r="O268" s="253">
        <f t="shared" si="13"/>
        <v>509090</v>
      </c>
      <c r="P268" s="253">
        <v>275000</v>
      </c>
      <c r="Q268" s="253">
        <f t="shared" si="14"/>
        <v>550000</v>
      </c>
    </row>
    <row r="269" spans="2:17">
      <c r="B269" s="200">
        <v>266</v>
      </c>
      <c r="C269" s="241" t="s">
        <v>1065</v>
      </c>
      <c r="D269" s="242" t="s">
        <v>1058</v>
      </c>
      <c r="E269" s="243" t="s">
        <v>9</v>
      </c>
      <c r="F269" s="244" t="s">
        <v>832</v>
      </c>
      <c r="G269" s="241"/>
      <c r="H269" s="241" t="s">
        <v>1060</v>
      </c>
      <c r="I269" s="241"/>
      <c r="J269" s="244" t="s">
        <v>50</v>
      </c>
      <c r="K269" s="241" t="s">
        <v>1066</v>
      </c>
      <c r="L269" s="251">
        <v>44641</v>
      </c>
      <c r="M269" s="252">
        <v>254545</v>
      </c>
      <c r="N269" s="241">
        <v>3</v>
      </c>
      <c r="O269" s="253">
        <f t="shared" si="13"/>
        <v>763635</v>
      </c>
      <c r="P269" s="253">
        <v>275000</v>
      </c>
      <c r="Q269" s="253">
        <f t="shared" si="14"/>
        <v>825000</v>
      </c>
    </row>
    <row r="270" spans="2:17">
      <c r="B270" s="200">
        <v>267</v>
      </c>
      <c r="C270" s="241" t="s">
        <v>1067</v>
      </c>
      <c r="D270" s="242" t="s">
        <v>1068</v>
      </c>
      <c r="E270" s="243" t="s">
        <v>9</v>
      </c>
      <c r="F270" s="244" t="s">
        <v>1069</v>
      </c>
      <c r="G270" s="241"/>
      <c r="H270" s="241" t="s">
        <v>1070</v>
      </c>
      <c r="I270" s="241"/>
      <c r="J270" s="244" t="s">
        <v>50</v>
      </c>
      <c r="K270" s="241" t="s">
        <v>1071</v>
      </c>
      <c r="L270" s="251">
        <v>44644</v>
      </c>
      <c r="M270" s="252">
        <v>254545</v>
      </c>
      <c r="N270" s="241">
        <v>1</v>
      </c>
      <c r="O270" s="253">
        <f t="shared" si="13"/>
        <v>254545</v>
      </c>
      <c r="P270" s="253">
        <v>275000</v>
      </c>
      <c r="Q270" s="253">
        <f t="shared" si="14"/>
        <v>275000</v>
      </c>
    </row>
    <row r="271" spans="2:17">
      <c r="B271" s="200">
        <v>268</v>
      </c>
      <c r="C271" s="241" t="s">
        <v>1072</v>
      </c>
      <c r="D271" s="242" t="s">
        <v>1068</v>
      </c>
      <c r="E271" s="243" t="s">
        <v>9</v>
      </c>
      <c r="F271" s="244" t="s">
        <v>1073</v>
      </c>
      <c r="G271" s="241"/>
      <c r="H271" s="241" t="s">
        <v>1070</v>
      </c>
      <c r="I271" s="241"/>
      <c r="J271" s="244" t="s">
        <v>50</v>
      </c>
      <c r="K271" s="241" t="s">
        <v>1074</v>
      </c>
      <c r="L271" s="251">
        <v>44644</v>
      </c>
      <c r="M271" s="252">
        <v>254545</v>
      </c>
      <c r="N271" s="241">
        <v>1</v>
      </c>
      <c r="O271" s="253">
        <f t="shared" si="13"/>
        <v>254545</v>
      </c>
      <c r="P271" s="253">
        <v>275000</v>
      </c>
      <c r="Q271" s="253">
        <f t="shared" si="14"/>
        <v>275000</v>
      </c>
    </row>
    <row r="272" spans="2:17">
      <c r="B272" s="200">
        <v>269</v>
      </c>
      <c r="C272" s="241" t="s">
        <v>1075</v>
      </c>
      <c r="D272" s="242" t="s">
        <v>1068</v>
      </c>
      <c r="E272" s="243" t="s">
        <v>9</v>
      </c>
      <c r="F272" s="244" t="s">
        <v>206</v>
      </c>
      <c r="G272" s="241"/>
      <c r="H272" s="241" t="s">
        <v>1070</v>
      </c>
      <c r="I272" s="241"/>
      <c r="J272" s="244" t="s">
        <v>50</v>
      </c>
      <c r="K272" s="241" t="s">
        <v>1076</v>
      </c>
      <c r="L272" s="251">
        <v>44644</v>
      </c>
      <c r="M272" s="252">
        <v>254545</v>
      </c>
      <c r="N272" s="241">
        <v>2</v>
      </c>
      <c r="O272" s="253">
        <f t="shared" si="13"/>
        <v>509090</v>
      </c>
      <c r="P272" s="253">
        <v>275000</v>
      </c>
      <c r="Q272" s="253">
        <f t="shared" si="14"/>
        <v>550000</v>
      </c>
    </row>
    <row r="273" spans="2:17">
      <c r="B273" s="200">
        <v>270</v>
      </c>
      <c r="C273" s="241" t="s">
        <v>1077</v>
      </c>
      <c r="D273" s="242" t="s">
        <v>1078</v>
      </c>
      <c r="E273" s="243" t="s">
        <v>9</v>
      </c>
      <c r="F273" s="244" t="s">
        <v>645</v>
      </c>
      <c r="G273" s="241"/>
      <c r="H273" s="241" t="s">
        <v>1079</v>
      </c>
      <c r="I273" s="241"/>
      <c r="J273" s="244" t="s">
        <v>50</v>
      </c>
      <c r="K273" s="241" t="s">
        <v>1080</v>
      </c>
      <c r="L273" s="251">
        <v>44645</v>
      </c>
      <c r="M273" s="252">
        <v>254545</v>
      </c>
      <c r="N273" s="241">
        <v>2</v>
      </c>
      <c r="O273" s="253">
        <f t="shared" si="13"/>
        <v>509090</v>
      </c>
      <c r="P273" s="253">
        <v>275000</v>
      </c>
      <c r="Q273" s="253">
        <f t="shared" si="14"/>
        <v>550000</v>
      </c>
    </row>
    <row r="274" spans="2:17">
      <c r="B274" s="200">
        <v>271</v>
      </c>
      <c r="C274" s="241" t="s">
        <v>1081</v>
      </c>
      <c r="D274" s="242" t="s">
        <v>1078</v>
      </c>
      <c r="E274" s="243" t="s">
        <v>9</v>
      </c>
      <c r="F274" s="244" t="s">
        <v>1082</v>
      </c>
      <c r="G274" s="241"/>
      <c r="H274" s="241" t="s">
        <v>1070</v>
      </c>
      <c r="I274" s="241"/>
      <c r="J274" s="244" t="s">
        <v>50</v>
      </c>
      <c r="K274" s="241" t="s">
        <v>1083</v>
      </c>
      <c r="L274" s="251">
        <v>44645</v>
      </c>
      <c r="M274" s="252">
        <v>254545</v>
      </c>
      <c r="N274" s="241">
        <v>3</v>
      </c>
      <c r="O274" s="253">
        <f t="shared" si="13"/>
        <v>763635</v>
      </c>
      <c r="P274" s="253">
        <v>275000</v>
      </c>
      <c r="Q274" s="253">
        <f t="shared" si="14"/>
        <v>825000</v>
      </c>
    </row>
    <row r="275" spans="2:17">
      <c r="B275" s="200">
        <v>272</v>
      </c>
      <c r="C275" s="241" t="s">
        <v>1084</v>
      </c>
      <c r="D275" s="242" t="s">
        <v>1078</v>
      </c>
      <c r="E275" s="243" t="s">
        <v>9</v>
      </c>
      <c r="F275" s="244" t="s">
        <v>1082</v>
      </c>
      <c r="G275" s="241"/>
      <c r="H275" s="241" t="s">
        <v>1070</v>
      </c>
      <c r="I275" s="241"/>
      <c r="J275" s="244" t="s">
        <v>50</v>
      </c>
      <c r="K275" s="241" t="s">
        <v>1085</v>
      </c>
      <c r="L275" s="251">
        <v>44645</v>
      </c>
      <c r="M275" s="252">
        <v>254545</v>
      </c>
      <c r="N275" s="241">
        <v>1</v>
      </c>
      <c r="O275" s="253">
        <f t="shared" si="13"/>
        <v>254545</v>
      </c>
      <c r="P275" s="253">
        <v>275000</v>
      </c>
      <c r="Q275" s="253">
        <f t="shared" si="14"/>
        <v>275000</v>
      </c>
    </row>
    <row r="276" spans="2:17">
      <c r="B276" s="200">
        <v>273</v>
      </c>
      <c r="C276" s="241" t="s">
        <v>1086</v>
      </c>
      <c r="D276" s="242" t="s">
        <v>1087</v>
      </c>
      <c r="E276" s="243" t="s">
        <v>9</v>
      </c>
      <c r="F276" s="244" t="s">
        <v>1003</v>
      </c>
      <c r="G276" s="241"/>
      <c r="H276" s="241" t="s">
        <v>1088</v>
      </c>
      <c r="I276" s="241"/>
      <c r="J276" s="244" t="s">
        <v>50</v>
      </c>
      <c r="K276" s="241" t="s">
        <v>1089</v>
      </c>
      <c r="L276" s="251">
        <v>44649</v>
      </c>
      <c r="M276" s="252">
        <v>254545</v>
      </c>
      <c r="N276" s="241">
        <v>5</v>
      </c>
      <c r="O276" s="253">
        <f t="shared" si="13"/>
        <v>1272725</v>
      </c>
      <c r="P276" s="253">
        <v>275000</v>
      </c>
      <c r="Q276" s="253">
        <f t="shared" si="14"/>
        <v>1375000</v>
      </c>
    </row>
    <row r="277" spans="2:17">
      <c r="B277" s="200">
        <v>274</v>
      </c>
      <c r="C277" s="241" t="s">
        <v>1090</v>
      </c>
      <c r="D277" s="242" t="s">
        <v>1087</v>
      </c>
      <c r="E277" s="243" t="s">
        <v>9</v>
      </c>
      <c r="F277" s="244" t="s">
        <v>1091</v>
      </c>
      <c r="G277" s="241"/>
      <c r="H277" s="241" t="s">
        <v>1088</v>
      </c>
      <c r="I277" s="241"/>
      <c r="J277" s="244" t="s">
        <v>50</v>
      </c>
      <c r="K277" s="241" t="s">
        <v>1092</v>
      </c>
      <c r="L277" s="251">
        <v>44649</v>
      </c>
      <c r="M277" s="252">
        <v>254545</v>
      </c>
      <c r="N277" s="241">
        <v>1</v>
      </c>
      <c r="O277" s="253">
        <f t="shared" si="13"/>
        <v>254545</v>
      </c>
      <c r="P277" s="253">
        <v>275000</v>
      </c>
      <c r="Q277" s="253">
        <f t="shared" si="14"/>
        <v>275000</v>
      </c>
    </row>
    <row r="278" spans="2:17">
      <c r="B278" s="200">
        <v>275</v>
      </c>
      <c r="C278" s="241" t="s">
        <v>1093</v>
      </c>
      <c r="D278" s="242" t="s">
        <v>1087</v>
      </c>
      <c r="E278" s="243" t="s">
        <v>9</v>
      </c>
      <c r="F278" s="244" t="s">
        <v>1094</v>
      </c>
      <c r="G278" s="241"/>
      <c r="H278" s="241" t="s">
        <v>1088</v>
      </c>
      <c r="I278" s="241"/>
      <c r="J278" s="244" t="s">
        <v>50</v>
      </c>
      <c r="K278" s="241" t="s">
        <v>1095</v>
      </c>
      <c r="L278" s="251">
        <v>44649</v>
      </c>
      <c r="M278" s="252">
        <v>254545</v>
      </c>
      <c r="N278" s="241">
        <v>1</v>
      </c>
      <c r="O278" s="253">
        <f t="shared" si="13"/>
        <v>254545</v>
      </c>
      <c r="P278" s="253">
        <v>275000</v>
      </c>
      <c r="Q278" s="253">
        <f t="shared" si="14"/>
        <v>275000</v>
      </c>
    </row>
    <row r="279" spans="2:17">
      <c r="B279" s="200">
        <v>276</v>
      </c>
      <c r="C279" s="241" t="s">
        <v>1096</v>
      </c>
      <c r="D279" s="242" t="s">
        <v>1087</v>
      </c>
      <c r="E279" s="243" t="s">
        <v>9</v>
      </c>
      <c r="F279" s="244" t="s">
        <v>1091</v>
      </c>
      <c r="G279" s="241"/>
      <c r="H279" s="241" t="s">
        <v>1088</v>
      </c>
      <c r="I279" s="241"/>
      <c r="J279" s="244" t="s">
        <v>50</v>
      </c>
      <c r="K279" s="241" t="s">
        <v>1097</v>
      </c>
      <c r="L279" s="251">
        <v>44649</v>
      </c>
      <c r="M279" s="252">
        <v>254545</v>
      </c>
      <c r="N279" s="241">
        <v>1</v>
      </c>
      <c r="O279" s="253">
        <f t="shared" si="13"/>
        <v>254545</v>
      </c>
      <c r="P279" s="253">
        <v>275000</v>
      </c>
      <c r="Q279" s="253">
        <f t="shared" si="14"/>
        <v>275000</v>
      </c>
    </row>
    <row r="280" spans="2:17">
      <c r="B280" s="200">
        <v>277</v>
      </c>
      <c r="C280" s="241" t="s">
        <v>1098</v>
      </c>
      <c r="D280" s="242" t="s">
        <v>1087</v>
      </c>
      <c r="E280" s="243" t="s">
        <v>9</v>
      </c>
      <c r="F280" s="244" t="s">
        <v>1094</v>
      </c>
      <c r="G280" s="241"/>
      <c r="H280" s="241" t="s">
        <v>1088</v>
      </c>
      <c r="I280" s="241"/>
      <c r="J280" s="244" t="s">
        <v>50</v>
      </c>
      <c r="K280" s="241" t="s">
        <v>1099</v>
      </c>
      <c r="L280" s="251">
        <v>44649</v>
      </c>
      <c r="M280" s="252">
        <v>254545</v>
      </c>
      <c r="N280" s="241">
        <v>2</v>
      </c>
      <c r="O280" s="253">
        <f t="shared" si="13"/>
        <v>509090</v>
      </c>
      <c r="P280" s="253">
        <v>275000</v>
      </c>
      <c r="Q280" s="253">
        <f t="shared" si="14"/>
        <v>550000</v>
      </c>
    </row>
    <row r="281" spans="2:17">
      <c r="B281" s="200">
        <v>278</v>
      </c>
      <c r="C281" s="241" t="s">
        <v>1100</v>
      </c>
      <c r="D281" s="242" t="s">
        <v>1087</v>
      </c>
      <c r="E281" s="243" t="s">
        <v>9</v>
      </c>
      <c r="F281" s="244" t="s">
        <v>1101</v>
      </c>
      <c r="G281" s="241"/>
      <c r="H281" s="241" t="s">
        <v>1088</v>
      </c>
      <c r="I281" s="241"/>
      <c r="J281" s="244" t="s">
        <v>50</v>
      </c>
      <c r="K281" s="241" t="s">
        <v>1102</v>
      </c>
      <c r="L281" s="251">
        <v>44649</v>
      </c>
      <c r="M281" s="252">
        <v>254545</v>
      </c>
      <c r="N281" s="241">
        <v>1</v>
      </c>
      <c r="O281" s="253">
        <f t="shared" si="13"/>
        <v>254545</v>
      </c>
      <c r="P281" s="253">
        <v>275000</v>
      </c>
      <c r="Q281" s="253">
        <f t="shared" si="14"/>
        <v>275000</v>
      </c>
    </row>
    <row r="282" spans="2:17">
      <c r="B282" s="200">
        <v>279</v>
      </c>
      <c r="C282" s="241" t="s">
        <v>1103</v>
      </c>
      <c r="D282" s="242" t="s">
        <v>1087</v>
      </c>
      <c r="E282" s="243" t="s">
        <v>9</v>
      </c>
      <c r="F282" s="244" t="s">
        <v>1104</v>
      </c>
      <c r="G282" s="241"/>
      <c r="H282" s="241" t="s">
        <v>1088</v>
      </c>
      <c r="I282" s="241"/>
      <c r="J282" s="244" t="s">
        <v>50</v>
      </c>
      <c r="K282" s="241" t="s">
        <v>1105</v>
      </c>
      <c r="L282" s="251">
        <v>44649</v>
      </c>
      <c r="M282" s="252">
        <v>254545</v>
      </c>
      <c r="N282" s="241">
        <v>6</v>
      </c>
      <c r="O282" s="253">
        <f t="shared" si="13"/>
        <v>1527270</v>
      </c>
      <c r="P282" s="253">
        <v>275000</v>
      </c>
      <c r="Q282" s="253">
        <f t="shared" si="14"/>
        <v>1650000</v>
      </c>
    </row>
    <row r="283" spans="2:17">
      <c r="B283" s="200">
        <v>280</v>
      </c>
      <c r="C283" s="241" t="s">
        <v>1106</v>
      </c>
      <c r="D283" s="242" t="s">
        <v>1087</v>
      </c>
      <c r="E283" s="243" t="s">
        <v>9</v>
      </c>
      <c r="F283" s="244" t="s">
        <v>1107</v>
      </c>
      <c r="G283" s="241"/>
      <c r="H283" s="241" t="s">
        <v>1088</v>
      </c>
      <c r="I283" s="241"/>
      <c r="J283" s="244" t="s">
        <v>50</v>
      </c>
      <c r="K283" s="241" t="s">
        <v>1108</v>
      </c>
      <c r="L283" s="251">
        <v>44649</v>
      </c>
      <c r="M283" s="252">
        <v>254545</v>
      </c>
      <c r="N283" s="241">
        <v>1</v>
      </c>
      <c r="O283" s="253">
        <f t="shared" si="13"/>
        <v>254545</v>
      </c>
      <c r="P283" s="253">
        <v>275000</v>
      </c>
      <c r="Q283" s="253">
        <f t="shared" si="14"/>
        <v>275000</v>
      </c>
    </row>
    <row r="284" spans="2:17">
      <c r="B284" s="200">
        <v>281</v>
      </c>
      <c r="C284" s="241" t="s">
        <v>1109</v>
      </c>
      <c r="D284" s="242" t="s">
        <v>1087</v>
      </c>
      <c r="E284" s="243" t="s">
        <v>9</v>
      </c>
      <c r="F284" s="244" t="s">
        <v>1110</v>
      </c>
      <c r="G284" s="241"/>
      <c r="H284" s="241" t="s">
        <v>1088</v>
      </c>
      <c r="I284" s="241"/>
      <c r="J284" s="244" t="s">
        <v>50</v>
      </c>
      <c r="K284" s="241" t="s">
        <v>1111</v>
      </c>
      <c r="L284" s="251">
        <v>44649</v>
      </c>
      <c r="M284" s="252">
        <v>254545</v>
      </c>
      <c r="N284" s="241">
        <v>1</v>
      </c>
      <c r="O284" s="253">
        <f t="shared" si="13"/>
        <v>254545</v>
      </c>
      <c r="P284" s="253">
        <v>275000</v>
      </c>
      <c r="Q284" s="253">
        <f t="shared" si="14"/>
        <v>275000</v>
      </c>
    </row>
    <row r="285" spans="2:17">
      <c r="B285" s="200">
        <v>282</v>
      </c>
      <c r="C285" s="241" t="s">
        <v>1112</v>
      </c>
      <c r="D285" s="242" t="s">
        <v>1113</v>
      </c>
      <c r="E285" s="243" t="s">
        <v>9</v>
      </c>
      <c r="F285" s="244" t="s">
        <v>222</v>
      </c>
      <c r="G285" s="241"/>
      <c r="H285" s="241" t="s">
        <v>1114</v>
      </c>
      <c r="I285" s="241"/>
      <c r="J285" s="244" t="s">
        <v>50</v>
      </c>
      <c r="K285" s="241" t="s">
        <v>1115</v>
      </c>
      <c r="L285" s="251">
        <v>44651</v>
      </c>
      <c r="M285" s="252">
        <v>254545</v>
      </c>
      <c r="N285" s="241">
        <v>1</v>
      </c>
      <c r="O285" s="253">
        <f t="shared" si="13"/>
        <v>254545</v>
      </c>
      <c r="P285" s="253">
        <v>275000</v>
      </c>
      <c r="Q285" s="253">
        <f t="shared" si="14"/>
        <v>275000</v>
      </c>
    </row>
    <row r="286" spans="2:17">
      <c r="B286" s="200">
        <v>283</v>
      </c>
      <c r="C286" s="241" t="s">
        <v>1116</v>
      </c>
      <c r="D286" s="242" t="s">
        <v>1113</v>
      </c>
      <c r="E286" s="243" t="s">
        <v>9</v>
      </c>
      <c r="F286" s="244" t="s">
        <v>1117</v>
      </c>
      <c r="G286" s="241"/>
      <c r="H286" s="241" t="s">
        <v>1114</v>
      </c>
      <c r="I286" s="241"/>
      <c r="J286" s="244" t="s">
        <v>50</v>
      </c>
      <c r="K286" s="241" t="s">
        <v>1118</v>
      </c>
      <c r="L286" s="251">
        <v>44651</v>
      </c>
      <c r="M286" s="252">
        <v>254545</v>
      </c>
      <c r="N286" s="241">
        <v>2</v>
      </c>
      <c r="O286" s="253">
        <f t="shared" si="13"/>
        <v>509090</v>
      </c>
      <c r="P286" s="253">
        <v>275000</v>
      </c>
      <c r="Q286" s="253">
        <f t="shared" si="14"/>
        <v>550000</v>
      </c>
    </row>
    <row r="287" spans="2:17">
      <c r="B287" s="200">
        <v>284</v>
      </c>
      <c r="C287" s="237" t="s">
        <v>1119</v>
      </c>
      <c r="D287" s="238" t="s">
        <v>1120</v>
      </c>
      <c r="E287" s="239" t="s">
        <v>9</v>
      </c>
      <c r="F287" s="240" t="s">
        <v>1121</v>
      </c>
      <c r="G287" s="237"/>
      <c r="H287" s="237" t="s">
        <v>1114</v>
      </c>
      <c r="I287" s="237"/>
      <c r="J287" s="240" t="s">
        <v>50</v>
      </c>
      <c r="K287" s="237" t="s">
        <v>1122</v>
      </c>
      <c r="L287" s="248">
        <v>44652</v>
      </c>
      <c r="M287" s="249">
        <v>254545</v>
      </c>
      <c r="N287" s="237">
        <v>2</v>
      </c>
      <c r="O287" s="250">
        <f t="shared" si="13"/>
        <v>509090</v>
      </c>
      <c r="P287" s="250">
        <v>275000</v>
      </c>
      <c r="Q287" s="250">
        <f t="shared" si="14"/>
        <v>550000</v>
      </c>
    </row>
    <row r="288" spans="2:17">
      <c r="B288" s="200">
        <v>285</v>
      </c>
      <c r="C288" s="237" t="s">
        <v>1123</v>
      </c>
      <c r="D288" s="238" t="s">
        <v>1120</v>
      </c>
      <c r="E288" s="239" t="s">
        <v>9</v>
      </c>
      <c r="F288" s="240" t="s">
        <v>1124</v>
      </c>
      <c r="G288" s="237"/>
      <c r="H288" s="237" t="s">
        <v>1114</v>
      </c>
      <c r="I288" s="237"/>
      <c r="J288" s="240" t="s">
        <v>50</v>
      </c>
      <c r="K288" s="237" t="s">
        <v>1125</v>
      </c>
      <c r="L288" s="248">
        <v>44652</v>
      </c>
      <c r="M288" s="249">
        <v>254545</v>
      </c>
      <c r="N288" s="237">
        <v>9</v>
      </c>
      <c r="O288" s="250">
        <f t="shared" si="13"/>
        <v>2290905</v>
      </c>
      <c r="P288" s="250">
        <v>275000</v>
      </c>
      <c r="Q288" s="250">
        <f t="shared" si="14"/>
        <v>2475000</v>
      </c>
    </row>
    <row r="289" spans="2:17">
      <c r="B289" s="200">
        <v>286</v>
      </c>
      <c r="C289" s="237" t="s">
        <v>1126</v>
      </c>
      <c r="D289" s="238" t="s">
        <v>1120</v>
      </c>
      <c r="E289" s="239" t="s">
        <v>9</v>
      </c>
      <c r="F289" s="240" t="s">
        <v>1127</v>
      </c>
      <c r="G289" s="237"/>
      <c r="H289" s="237" t="s">
        <v>1114</v>
      </c>
      <c r="I289" s="237"/>
      <c r="J289" s="240" t="s">
        <v>50</v>
      </c>
      <c r="K289" s="237" t="s">
        <v>1128</v>
      </c>
      <c r="L289" s="248">
        <v>44652</v>
      </c>
      <c r="M289" s="249">
        <v>254545</v>
      </c>
      <c r="N289" s="237">
        <v>3</v>
      </c>
      <c r="O289" s="250">
        <f t="shared" si="13"/>
        <v>763635</v>
      </c>
      <c r="P289" s="250">
        <v>275000</v>
      </c>
      <c r="Q289" s="250">
        <f t="shared" si="14"/>
        <v>825000</v>
      </c>
    </row>
    <row r="290" spans="2:17">
      <c r="B290" s="200">
        <v>287</v>
      </c>
      <c r="C290" s="237" t="s">
        <v>1129</v>
      </c>
      <c r="D290" s="238" t="s">
        <v>1120</v>
      </c>
      <c r="E290" s="239" t="s">
        <v>9</v>
      </c>
      <c r="F290" s="240" t="s">
        <v>1130</v>
      </c>
      <c r="G290" s="237"/>
      <c r="H290" s="237" t="s">
        <v>1114</v>
      </c>
      <c r="I290" s="237"/>
      <c r="J290" s="240" t="s">
        <v>50</v>
      </c>
      <c r="K290" s="237" t="s">
        <v>1131</v>
      </c>
      <c r="L290" s="248">
        <v>44652</v>
      </c>
      <c r="M290" s="249">
        <v>254545</v>
      </c>
      <c r="N290" s="237">
        <v>2</v>
      </c>
      <c r="O290" s="250">
        <f t="shared" si="13"/>
        <v>509090</v>
      </c>
      <c r="P290" s="250">
        <v>275000</v>
      </c>
      <c r="Q290" s="250">
        <f t="shared" si="14"/>
        <v>550000</v>
      </c>
    </row>
    <row r="291" spans="2:17">
      <c r="B291" s="200">
        <v>288</v>
      </c>
      <c r="C291" s="237" t="s">
        <v>1132</v>
      </c>
      <c r="D291" s="238" t="s">
        <v>1120</v>
      </c>
      <c r="E291" s="239" t="s">
        <v>9</v>
      </c>
      <c r="F291" s="240" t="s">
        <v>1133</v>
      </c>
      <c r="G291" s="237"/>
      <c r="H291" s="237" t="s">
        <v>1114</v>
      </c>
      <c r="I291" s="237"/>
      <c r="J291" s="240" t="s">
        <v>50</v>
      </c>
      <c r="K291" s="237" t="s">
        <v>1134</v>
      </c>
      <c r="L291" s="248">
        <v>44652</v>
      </c>
      <c r="M291" s="249">
        <v>254545</v>
      </c>
      <c r="N291" s="237">
        <v>4</v>
      </c>
      <c r="O291" s="250">
        <f t="shared" si="13"/>
        <v>1018180</v>
      </c>
      <c r="P291" s="250">
        <v>275000</v>
      </c>
      <c r="Q291" s="250">
        <f t="shared" si="14"/>
        <v>1100000</v>
      </c>
    </row>
    <row r="292" spans="2:17">
      <c r="B292" s="200">
        <v>289</v>
      </c>
      <c r="C292" s="237" t="s">
        <v>1135</v>
      </c>
      <c r="D292" s="238" t="s">
        <v>1120</v>
      </c>
      <c r="E292" s="239" t="s">
        <v>9</v>
      </c>
      <c r="F292" s="240" t="s">
        <v>1136</v>
      </c>
      <c r="G292" s="237"/>
      <c r="H292" s="237" t="s">
        <v>1114</v>
      </c>
      <c r="I292" s="237"/>
      <c r="J292" s="240" t="s">
        <v>50</v>
      </c>
      <c r="K292" s="237" t="s">
        <v>1137</v>
      </c>
      <c r="L292" s="248">
        <v>44652</v>
      </c>
      <c r="M292" s="249">
        <v>254545</v>
      </c>
      <c r="N292" s="237">
        <v>4</v>
      </c>
      <c r="O292" s="250">
        <f t="shared" si="13"/>
        <v>1018180</v>
      </c>
      <c r="P292" s="250">
        <v>275000</v>
      </c>
      <c r="Q292" s="250">
        <f t="shared" si="14"/>
        <v>1100000</v>
      </c>
    </row>
    <row r="293" spans="2:17">
      <c r="B293" s="200">
        <v>290</v>
      </c>
      <c r="C293" s="237" t="s">
        <v>1138</v>
      </c>
      <c r="D293" s="238" t="s">
        <v>1139</v>
      </c>
      <c r="E293" s="239" t="s">
        <v>9</v>
      </c>
      <c r="F293" s="240" t="s">
        <v>1140</v>
      </c>
      <c r="G293" s="237"/>
      <c r="H293" s="237" t="s">
        <v>1141</v>
      </c>
      <c r="I293" s="237"/>
      <c r="J293" s="240" t="s">
        <v>50</v>
      </c>
      <c r="K293" s="237" t="s">
        <v>1142</v>
      </c>
      <c r="L293" s="248">
        <v>44657</v>
      </c>
      <c r="M293" s="249">
        <v>254545</v>
      </c>
      <c r="N293" s="237">
        <v>4</v>
      </c>
      <c r="O293" s="250">
        <f t="shared" si="13"/>
        <v>1018180</v>
      </c>
      <c r="P293" s="250">
        <v>275000</v>
      </c>
      <c r="Q293" s="250">
        <f t="shared" si="14"/>
        <v>1100000</v>
      </c>
    </row>
    <row r="294" spans="2:17">
      <c r="B294" s="200">
        <v>291</v>
      </c>
      <c r="C294" s="237" t="s">
        <v>1143</v>
      </c>
      <c r="D294" s="238" t="s">
        <v>1139</v>
      </c>
      <c r="E294" s="239" t="s">
        <v>9</v>
      </c>
      <c r="F294" s="240" t="s">
        <v>1144</v>
      </c>
      <c r="G294" s="237"/>
      <c r="H294" s="237" t="s">
        <v>1141</v>
      </c>
      <c r="I294" s="237"/>
      <c r="J294" s="240" t="s">
        <v>50</v>
      </c>
      <c r="K294" s="237" t="s">
        <v>1145</v>
      </c>
      <c r="L294" s="248">
        <v>44657</v>
      </c>
      <c r="M294" s="249">
        <v>254545</v>
      </c>
      <c r="N294" s="237">
        <v>2</v>
      </c>
      <c r="O294" s="250">
        <f t="shared" si="13"/>
        <v>509090</v>
      </c>
      <c r="P294" s="250">
        <v>275000</v>
      </c>
      <c r="Q294" s="250">
        <f t="shared" si="14"/>
        <v>550000</v>
      </c>
    </row>
    <row r="295" spans="2:17">
      <c r="B295" s="200">
        <v>292</v>
      </c>
      <c r="C295" s="237" t="s">
        <v>1146</v>
      </c>
      <c r="D295" s="238" t="s">
        <v>1139</v>
      </c>
      <c r="E295" s="239" t="s">
        <v>9</v>
      </c>
      <c r="F295" s="240" t="s">
        <v>1147</v>
      </c>
      <c r="G295" s="237"/>
      <c r="H295" s="237" t="s">
        <v>1141</v>
      </c>
      <c r="I295" s="237"/>
      <c r="J295" s="240" t="s">
        <v>50</v>
      </c>
      <c r="K295" s="237" t="s">
        <v>1148</v>
      </c>
      <c r="L295" s="248">
        <v>44657</v>
      </c>
      <c r="M295" s="249">
        <v>254545</v>
      </c>
      <c r="N295" s="237">
        <v>12</v>
      </c>
      <c r="O295" s="250">
        <f t="shared" si="13"/>
        <v>3054540</v>
      </c>
      <c r="P295" s="250">
        <v>275000</v>
      </c>
      <c r="Q295" s="250">
        <f t="shared" si="14"/>
        <v>3300000</v>
      </c>
    </row>
    <row r="296" spans="2:17">
      <c r="B296" s="200">
        <v>293</v>
      </c>
      <c r="C296" s="237" t="s">
        <v>1149</v>
      </c>
      <c r="D296" s="238" t="s">
        <v>1139</v>
      </c>
      <c r="E296" s="239" t="s">
        <v>9</v>
      </c>
      <c r="F296" s="240" t="s">
        <v>1150</v>
      </c>
      <c r="G296" s="237"/>
      <c r="H296" s="237" t="s">
        <v>1141</v>
      </c>
      <c r="I296" s="237"/>
      <c r="J296" s="240" t="s">
        <v>50</v>
      </c>
      <c r="K296" s="237" t="s">
        <v>1151</v>
      </c>
      <c r="L296" s="248">
        <v>44657</v>
      </c>
      <c r="M296" s="249">
        <v>254545</v>
      </c>
      <c r="N296" s="237">
        <v>3</v>
      </c>
      <c r="O296" s="250">
        <f t="shared" si="13"/>
        <v>763635</v>
      </c>
      <c r="P296" s="250">
        <v>275000</v>
      </c>
      <c r="Q296" s="250">
        <f t="shared" si="14"/>
        <v>825000</v>
      </c>
    </row>
    <row r="297" spans="2:17">
      <c r="B297" s="200">
        <v>294</v>
      </c>
      <c r="C297" s="237" t="s">
        <v>1152</v>
      </c>
      <c r="D297" s="238" t="s">
        <v>1139</v>
      </c>
      <c r="E297" s="239" t="s">
        <v>9</v>
      </c>
      <c r="F297" s="240" t="s">
        <v>1153</v>
      </c>
      <c r="G297" s="237"/>
      <c r="H297" s="237" t="s">
        <v>1141</v>
      </c>
      <c r="I297" s="237"/>
      <c r="J297" s="240" t="s">
        <v>50</v>
      </c>
      <c r="K297" s="237" t="s">
        <v>1154</v>
      </c>
      <c r="L297" s="248">
        <v>44657</v>
      </c>
      <c r="M297" s="249">
        <v>254545</v>
      </c>
      <c r="N297" s="237">
        <v>8</v>
      </c>
      <c r="O297" s="250">
        <f t="shared" si="13"/>
        <v>2036360</v>
      </c>
      <c r="P297" s="250">
        <v>275000</v>
      </c>
      <c r="Q297" s="250">
        <f t="shared" si="14"/>
        <v>2200000</v>
      </c>
    </row>
    <row r="298" spans="2:17">
      <c r="B298" s="200">
        <v>295</v>
      </c>
      <c r="C298" s="237" t="s">
        <v>1155</v>
      </c>
      <c r="D298" s="238" t="s">
        <v>1139</v>
      </c>
      <c r="E298" s="239" t="s">
        <v>9</v>
      </c>
      <c r="F298" s="240" t="s">
        <v>1156</v>
      </c>
      <c r="G298" s="237"/>
      <c r="H298" s="237" t="s">
        <v>1141</v>
      </c>
      <c r="I298" s="237"/>
      <c r="J298" s="240" t="s">
        <v>50</v>
      </c>
      <c r="K298" s="237" t="s">
        <v>1157</v>
      </c>
      <c r="L298" s="248">
        <v>44657</v>
      </c>
      <c r="M298" s="249">
        <v>254545</v>
      </c>
      <c r="N298" s="237">
        <v>1</v>
      </c>
      <c r="O298" s="250">
        <f t="shared" si="13"/>
        <v>254545</v>
      </c>
      <c r="P298" s="250">
        <v>275000</v>
      </c>
      <c r="Q298" s="250">
        <f t="shared" si="14"/>
        <v>275000</v>
      </c>
    </row>
    <row r="299" spans="2:17">
      <c r="B299" s="200">
        <v>296</v>
      </c>
      <c r="C299" s="237" t="s">
        <v>1158</v>
      </c>
      <c r="D299" s="238" t="s">
        <v>1139</v>
      </c>
      <c r="E299" s="239" t="s">
        <v>9</v>
      </c>
      <c r="F299" s="240" t="s">
        <v>1159</v>
      </c>
      <c r="G299" s="237"/>
      <c r="H299" s="237" t="s">
        <v>1141</v>
      </c>
      <c r="I299" s="237"/>
      <c r="J299" s="240" t="s">
        <v>50</v>
      </c>
      <c r="K299" s="237" t="s">
        <v>1160</v>
      </c>
      <c r="L299" s="248">
        <v>44657</v>
      </c>
      <c r="M299" s="249">
        <v>254545</v>
      </c>
      <c r="N299" s="237">
        <v>1</v>
      </c>
      <c r="O299" s="250">
        <f t="shared" si="13"/>
        <v>254545</v>
      </c>
      <c r="P299" s="250">
        <v>275000</v>
      </c>
      <c r="Q299" s="250">
        <f t="shared" si="14"/>
        <v>275000</v>
      </c>
    </row>
    <row r="300" spans="2:17">
      <c r="B300" s="200">
        <v>297</v>
      </c>
      <c r="C300" s="237" t="s">
        <v>1161</v>
      </c>
      <c r="D300" s="238" t="s">
        <v>1139</v>
      </c>
      <c r="E300" s="239" t="s">
        <v>9</v>
      </c>
      <c r="F300" s="240" t="s">
        <v>1162</v>
      </c>
      <c r="G300" s="237"/>
      <c r="H300" s="237" t="s">
        <v>1141</v>
      </c>
      <c r="I300" s="237"/>
      <c r="J300" s="240" t="s">
        <v>50</v>
      </c>
      <c r="K300" s="237" t="s">
        <v>1163</v>
      </c>
      <c r="L300" s="248">
        <v>44657</v>
      </c>
      <c r="M300" s="249">
        <v>254545</v>
      </c>
      <c r="N300" s="237">
        <v>1</v>
      </c>
      <c r="O300" s="250">
        <f t="shared" si="13"/>
        <v>254545</v>
      </c>
      <c r="P300" s="250">
        <v>275000</v>
      </c>
      <c r="Q300" s="250">
        <f t="shared" si="14"/>
        <v>275000</v>
      </c>
    </row>
    <row r="301" spans="2:17">
      <c r="B301" s="200">
        <v>298</v>
      </c>
      <c r="C301" s="237" t="s">
        <v>1164</v>
      </c>
      <c r="D301" s="238" t="s">
        <v>1165</v>
      </c>
      <c r="E301" s="239" t="s">
        <v>11</v>
      </c>
      <c r="F301" s="240" t="s">
        <v>733</v>
      </c>
      <c r="G301" s="237"/>
      <c r="H301" s="237" t="s">
        <v>1166</v>
      </c>
      <c r="I301" s="237"/>
      <c r="J301" s="240" t="s">
        <v>85</v>
      </c>
      <c r="K301" s="237" t="s">
        <v>1167</v>
      </c>
      <c r="L301" s="248">
        <v>44657</v>
      </c>
      <c r="M301" s="249">
        <v>222727</v>
      </c>
      <c r="N301" s="237">
        <v>5</v>
      </c>
      <c r="O301" s="250">
        <f t="shared" si="13"/>
        <v>1113635</v>
      </c>
      <c r="P301" s="250">
        <v>279091</v>
      </c>
      <c r="Q301" s="250">
        <f t="shared" si="14"/>
        <v>1395455</v>
      </c>
    </row>
    <row r="302" spans="2:17">
      <c r="B302" s="200">
        <v>299</v>
      </c>
      <c r="C302" s="237" t="s">
        <v>1168</v>
      </c>
      <c r="D302" s="238" t="s">
        <v>1169</v>
      </c>
      <c r="E302" s="239" t="s">
        <v>9</v>
      </c>
      <c r="F302" s="240" t="s">
        <v>1170</v>
      </c>
      <c r="G302" s="237"/>
      <c r="H302" s="237" t="s">
        <v>801</v>
      </c>
      <c r="I302" s="237"/>
      <c r="J302" s="240" t="s">
        <v>50</v>
      </c>
      <c r="K302" s="237" t="s">
        <v>1171</v>
      </c>
      <c r="L302" s="248">
        <v>44659</v>
      </c>
      <c r="M302" s="249">
        <v>254545</v>
      </c>
      <c r="N302" s="237">
        <v>4</v>
      </c>
      <c r="O302" s="250">
        <f t="shared" si="13"/>
        <v>1018180</v>
      </c>
      <c r="P302" s="250">
        <v>275000</v>
      </c>
      <c r="Q302" s="250">
        <f t="shared" si="14"/>
        <v>1100000</v>
      </c>
    </row>
    <row r="303" spans="2:17">
      <c r="B303" s="200">
        <v>300</v>
      </c>
      <c r="C303" s="237" t="s">
        <v>1172</v>
      </c>
      <c r="D303" s="238" t="s">
        <v>1169</v>
      </c>
      <c r="E303" s="239" t="s">
        <v>9</v>
      </c>
      <c r="F303" s="240" t="s">
        <v>1173</v>
      </c>
      <c r="G303" s="237"/>
      <c r="H303" s="237" t="s">
        <v>801</v>
      </c>
      <c r="I303" s="237"/>
      <c r="J303" s="240" t="s">
        <v>50</v>
      </c>
      <c r="K303" s="237" t="s">
        <v>1174</v>
      </c>
      <c r="L303" s="248">
        <v>44659</v>
      </c>
      <c r="M303" s="249">
        <v>254545</v>
      </c>
      <c r="N303" s="237">
        <v>4</v>
      </c>
      <c r="O303" s="250">
        <f t="shared" si="13"/>
        <v>1018180</v>
      </c>
      <c r="P303" s="250">
        <v>275000</v>
      </c>
      <c r="Q303" s="250">
        <f t="shared" si="14"/>
        <v>1100000</v>
      </c>
    </row>
    <row r="304" spans="2:17">
      <c r="B304" s="200">
        <v>301</v>
      </c>
      <c r="C304" s="237" t="s">
        <v>1175</v>
      </c>
      <c r="D304" s="238" t="s">
        <v>1169</v>
      </c>
      <c r="E304" s="239" t="s">
        <v>9</v>
      </c>
      <c r="F304" s="240" t="s">
        <v>1176</v>
      </c>
      <c r="G304" s="237"/>
      <c r="H304" s="237" t="s">
        <v>801</v>
      </c>
      <c r="I304" s="237"/>
      <c r="J304" s="240" t="s">
        <v>50</v>
      </c>
      <c r="K304" s="237" t="s">
        <v>1177</v>
      </c>
      <c r="L304" s="248">
        <v>44659</v>
      </c>
      <c r="M304" s="249">
        <v>254545</v>
      </c>
      <c r="N304" s="237">
        <v>8</v>
      </c>
      <c r="O304" s="250">
        <f t="shared" si="13"/>
        <v>2036360</v>
      </c>
      <c r="P304" s="250">
        <v>275000</v>
      </c>
      <c r="Q304" s="250">
        <f t="shared" si="14"/>
        <v>2200000</v>
      </c>
    </row>
    <row r="305" spans="2:17">
      <c r="B305" s="200">
        <v>302</v>
      </c>
      <c r="C305" s="237" t="s">
        <v>1178</v>
      </c>
      <c r="D305" s="238" t="s">
        <v>1169</v>
      </c>
      <c r="E305" s="239" t="s">
        <v>9</v>
      </c>
      <c r="F305" s="240" t="s">
        <v>1179</v>
      </c>
      <c r="G305" s="237"/>
      <c r="H305" s="237" t="s">
        <v>801</v>
      </c>
      <c r="I305" s="237"/>
      <c r="J305" s="240" t="s">
        <v>50</v>
      </c>
      <c r="K305" s="237" t="s">
        <v>1180</v>
      </c>
      <c r="L305" s="248">
        <v>44659</v>
      </c>
      <c r="M305" s="249">
        <v>254545</v>
      </c>
      <c r="N305" s="237">
        <v>5</v>
      </c>
      <c r="O305" s="250">
        <f t="shared" si="13"/>
        <v>1272725</v>
      </c>
      <c r="P305" s="250">
        <v>275000</v>
      </c>
      <c r="Q305" s="250">
        <f t="shared" si="14"/>
        <v>1375000</v>
      </c>
    </row>
    <row r="306" spans="2:17">
      <c r="B306" s="200">
        <v>303</v>
      </c>
      <c r="C306" s="237" t="s">
        <v>1181</v>
      </c>
      <c r="D306" s="238" t="s">
        <v>1169</v>
      </c>
      <c r="E306" s="239" t="s">
        <v>9</v>
      </c>
      <c r="F306" s="240" t="s">
        <v>1182</v>
      </c>
      <c r="G306" s="237"/>
      <c r="H306" s="237" t="s">
        <v>801</v>
      </c>
      <c r="I306" s="237"/>
      <c r="J306" s="240" t="s">
        <v>50</v>
      </c>
      <c r="K306" s="237" t="s">
        <v>1183</v>
      </c>
      <c r="L306" s="248">
        <v>44659</v>
      </c>
      <c r="M306" s="249">
        <v>254545</v>
      </c>
      <c r="N306" s="237">
        <v>4</v>
      </c>
      <c r="O306" s="250">
        <f t="shared" si="13"/>
        <v>1018180</v>
      </c>
      <c r="P306" s="250">
        <v>275000</v>
      </c>
      <c r="Q306" s="250">
        <f t="shared" si="14"/>
        <v>1100000</v>
      </c>
    </row>
    <row r="307" spans="2:17">
      <c r="B307" s="200">
        <v>304</v>
      </c>
      <c r="C307" s="237" t="s">
        <v>1184</v>
      </c>
      <c r="D307" s="238" t="s">
        <v>1169</v>
      </c>
      <c r="E307" s="239" t="s">
        <v>9</v>
      </c>
      <c r="F307" s="240" t="s">
        <v>999</v>
      </c>
      <c r="G307" s="237"/>
      <c r="H307" s="237" t="s">
        <v>801</v>
      </c>
      <c r="I307" s="237"/>
      <c r="J307" s="240" t="s">
        <v>50</v>
      </c>
      <c r="K307" s="237" t="s">
        <v>1185</v>
      </c>
      <c r="L307" s="248">
        <v>44659</v>
      </c>
      <c r="M307" s="249">
        <v>254545</v>
      </c>
      <c r="N307" s="237">
        <v>1</v>
      </c>
      <c r="O307" s="250">
        <f>M307*N307</f>
        <v>254545</v>
      </c>
      <c r="P307" s="250">
        <v>275000</v>
      </c>
      <c r="Q307" s="250">
        <f t="shared" si="14"/>
        <v>275000</v>
      </c>
    </row>
    <row r="308" spans="2:17">
      <c r="B308" s="200">
        <v>305</v>
      </c>
      <c r="C308" s="237" t="s">
        <v>1186</v>
      </c>
      <c r="D308" s="238" t="s">
        <v>1187</v>
      </c>
      <c r="E308" s="239" t="s">
        <v>11</v>
      </c>
      <c r="F308" s="240" t="s">
        <v>1188</v>
      </c>
      <c r="G308" s="237"/>
      <c r="H308" s="237" t="s">
        <v>801</v>
      </c>
      <c r="I308" s="237"/>
      <c r="J308" s="240" t="s">
        <v>50</v>
      </c>
      <c r="K308" s="237" t="s">
        <v>1189</v>
      </c>
      <c r="L308" s="248">
        <v>44662</v>
      </c>
      <c r="M308" s="249">
        <v>444545</v>
      </c>
      <c r="N308" s="237">
        <v>2</v>
      </c>
      <c r="O308" s="250">
        <f t="shared" ref="O308:O338" si="15">M308*N308</f>
        <v>889090</v>
      </c>
      <c r="P308" s="250">
        <v>556363.63</v>
      </c>
      <c r="Q308" s="250">
        <f t="shared" si="14"/>
        <v>1112727.26</v>
      </c>
    </row>
    <row r="309" spans="2:17">
      <c r="B309" s="200">
        <v>306</v>
      </c>
      <c r="C309" s="237" t="s">
        <v>1186</v>
      </c>
      <c r="D309" s="238" t="s">
        <v>1187</v>
      </c>
      <c r="E309" s="239" t="s">
        <v>11</v>
      </c>
      <c r="F309" s="240" t="s">
        <v>1188</v>
      </c>
      <c r="G309" s="237"/>
      <c r="H309" s="237" t="s">
        <v>1190</v>
      </c>
      <c r="I309" s="237"/>
      <c r="J309" s="240" t="s">
        <v>50</v>
      </c>
      <c r="K309" s="237" t="s">
        <v>1191</v>
      </c>
      <c r="L309" s="248">
        <v>44662</v>
      </c>
      <c r="M309" s="249">
        <v>444545</v>
      </c>
      <c r="N309" s="237">
        <v>5</v>
      </c>
      <c r="O309" s="250">
        <f t="shared" si="15"/>
        <v>2222725</v>
      </c>
      <c r="P309" s="250">
        <v>556363.63</v>
      </c>
      <c r="Q309" s="250">
        <f t="shared" si="14"/>
        <v>2781818.15</v>
      </c>
    </row>
    <row r="310" spans="2:17">
      <c r="B310" s="200">
        <v>307</v>
      </c>
      <c r="C310" s="237" t="s">
        <v>1186</v>
      </c>
      <c r="D310" s="238" t="s">
        <v>1187</v>
      </c>
      <c r="E310" s="239" t="s">
        <v>11</v>
      </c>
      <c r="F310" s="240" t="s">
        <v>1188</v>
      </c>
      <c r="G310" s="237"/>
      <c r="H310" s="237" t="s">
        <v>1192</v>
      </c>
      <c r="I310" s="237"/>
      <c r="J310" s="240" t="s">
        <v>50</v>
      </c>
      <c r="K310" s="237" t="s">
        <v>1193</v>
      </c>
      <c r="L310" s="248">
        <v>44662</v>
      </c>
      <c r="M310" s="249">
        <v>444545</v>
      </c>
      <c r="N310" s="237">
        <v>5</v>
      </c>
      <c r="O310" s="250">
        <f t="shared" si="15"/>
        <v>2222725</v>
      </c>
      <c r="P310" s="250">
        <v>556363.63</v>
      </c>
      <c r="Q310" s="250">
        <f t="shared" si="14"/>
        <v>2781818.15</v>
      </c>
    </row>
    <row r="311" spans="2:17">
      <c r="B311" s="200">
        <v>308</v>
      </c>
      <c r="C311" s="237" t="s">
        <v>1194</v>
      </c>
      <c r="D311" s="238" t="s">
        <v>1195</v>
      </c>
      <c r="E311" s="239" t="s">
        <v>9</v>
      </c>
      <c r="F311" s="240" t="s">
        <v>1196</v>
      </c>
      <c r="G311" s="237"/>
      <c r="H311" s="237" t="s">
        <v>1197</v>
      </c>
      <c r="I311" s="237"/>
      <c r="J311" s="240" t="s">
        <v>50</v>
      </c>
      <c r="K311" s="237" t="s">
        <v>1198</v>
      </c>
      <c r="L311" s="248">
        <v>44663</v>
      </c>
      <c r="M311" s="249">
        <v>254545</v>
      </c>
      <c r="N311" s="237">
        <v>1</v>
      </c>
      <c r="O311" s="250">
        <f t="shared" si="15"/>
        <v>254545</v>
      </c>
      <c r="P311" s="250">
        <v>275000</v>
      </c>
      <c r="Q311" s="250">
        <f t="shared" si="14"/>
        <v>275000</v>
      </c>
    </row>
    <row r="312" spans="2:17">
      <c r="B312" s="200">
        <v>309</v>
      </c>
      <c r="C312" s="237" t="s">
        <v>1199</v>
      </c>
      <c r="D312" s="238" t="s">
        <v>1195</v>
      </c>
      <c r="E312" s="239" t="s">
        <v>9</v>
      </c>
      <c r="F312" s="240" t="s">
        <v>1063</v>
      </c>
      <c r="G312" s="237"/>
      <c r="H312" s="237" t="s">
        <v>1197</v>
      </c>
      <c r="I312" s="237"/>
      <c r="J312" s="240" t="s">
        <v>50</v>
      </c>
      <c r="K312" s="237" t="s">
        <v>1200</v>
      </c>
      <c r="L312" s="248">
        <v>44663</v>
      </c>
      <c r="M312" s="249">
        <v>254545</v>
      </c>
      <c r="N312" s="237">
        <v>1</v>
      </c>
      <c r="O312" s="250">
        <f t="shared" si="15"/>
        <v>254545</v>
      </c>
      <c r="P312" s="250">
        <v>275000</v>
      </c>
      <c r="Q312" s="250">
        <f t="shared" si="14"/>
        <v>275000</v>
      </c>
    </row>
    <row r="313" spans="2:17">
      <c r="B313" s="200">
        <v>310</v>
      </c>
      <c r="C313" s="237" t="s">
        <v>1201</v>
      </c>
      <c r="D313" s="238" t="s">
        <v>1202</v>
      </c>
      <c r="E313" s="239" t="s">
        <v>9</v>
      </c>
      <c r="F313" s="240" t="s">
        <v>1203</v>
      </c>
      <c r="G313" s="237"/>
      <c r="H313" s="237" t="s">
        <v>1204</v>
      </c>
      <c r="I313" s="237"/>
      <c r="J313" s="240" t="s">
        <v>50</v>
      </c>
      <c r="K313" s="237" t="s">
        <v>1205</v>
      </c>
      <c r="L313" s="248">
        <v>44669</v>
      </c>
      <c r="M313" s="249">
        <v>254545</v>
      </c>
      <c r="N313" s="237">
        <v>1</v>
      </c>
      <c r="O313" s="250">
        <f t="shared" si="15"/>
        <v>254545</v>
      </c>
      <c r="P313" s="250">
        <v>275000</v>
      </c>
      <c r="Q313" s="250">
        <f t="shared" si="14"/>
        <v>275000</v>
      </c>
    </row>
    <row r="314" spans="2:17">
      <c r="B314" s="200">
        <v>311</v>
      </c>
      <c r="C314" s="237" t="s">
        <v>1206</v>
      </c>
      <c r="D314" s="238" t="s">
        <v>1202</v>
      </c>
      <c r="E314" s="239" t="s">
        <v>9</v>
      </c>
      <c r="F314" s="240" t="s">
        <v>1207</v>
      </c>
      <c r="G314" s="237"/>
      <c r="H314" s="237" t="s">
        <v>1204</v>
      </c>
      <c r="I314" s="237"/>
      <c r="J314" s="240" t="s">
        <v>50</v>
      </c>
      <c r="K314" s="237" t="s">
        <v>1208</v>
      </c>
      <c r="L314" s="248">
        <v>44669</v>
      </c>
      <c r="M314" s="249">
        <v>254545</v>
      </c>
      <c r="N314" s="237">
        <v>9</v>
      </c>
      <c r="O314" s="250">
        <f t="shared" si="15"/>
        <v>2290905</v>
      </c>
      <c r="P314" s="250">
        <v>275000</v>
      </c>
      <c r="Q314" s="250">
        <f t="shared" si="14"/>
        <v>2475000</v>
      </c>
    </row>
    <row r="315" spans="2:17">
      <c r="B315" s="200">
        <v>312</v>
      </c>
      <c r="C315" s="237" t="s">
        <v>1209</v>
      </c>
      <c r="D315" s="238" t="s">
        <v>1202</v>
      </c>
      <c r="E315" s="239" t="s">
        <v>9</v>
      </c>
      <c r="F315" s="240" t="s">
        <v>1210</v>
      </c>
      <c r="G315" s="237"/>
      <c r="H315" s="237" t="s">
        <v>1204</v>
      </c>
      <c r="I315" s="237"/>
      <c r="J315" s="240" t="s">
        <v>50</v>
      </c>
      <c r="K315" s="237" t="s">
        <v>1211</v>
      </c>
      <c r="L315" s="248">
        <v>44669</v>
      </c>
      <c r="M315" s="249">
        <v>254545</v>
      </c>
      <c r="N315" s="237">
        <v>2</v>
      </c>
      <c r="O315" s="250">
        <f t="shared" si="15"/>
        <v>509090</v>
      </c>
      <c r="P315" s="250">
        <v>275000</v>
      </c>
      <c r="Q315" s="250">
        <f t="shared" si="14"/>
        <v>550000</v>
      </c>
    </row>
    <row r="316" spans="2:17">
      <c r="B316" s="200">
        <v>313</v>
      </c>
      <c r="C316" s="237" t="s">
        <v>1212</v>
      </c>
      <c r="D316" s="238" t="s">
        <v>1213</v>
      </c>
      <c r="E316" s="239" t="s">
        <v>9</v>
      </c>
      <c r="F316" s="240" t="s">
        <v>1214</v>
      </c>
      <c r="G316" s="237"/>
      <c r="H316" s="237" t="s">
        <v>1215</v>
      </c>
      <c r="I316" s="237"/>
      <c r="J316" s="240" t="s">
        <v>50</v>
      </c>
      <c r="K316" s="237" t="s">
        <v>1216</v>
      </c>
      <c r="L316" s="248">
        <v>44676</v>
      </c>
      <c r="M316" s="249">
        <v>254545</v>
      </c>
      <c r="N316" s="237">
        <v>2</v>
      </c>
      <c r="O316" s="250">
        <f t="shared" si="15"/>
        <v>509090</v>
      </c>
      <c r="P316" s="250">
        <v>275000</v>
      </c>
      <c r="Q316" s="250">
        <f t="shared" si="14"/>
        <v>550000</v>
      </c>
    </row>
    <row r="317" spans="2:17">
      <c r="B317" s="200">
        <v>314</v>
      </c>
      <c r="C317" s="237" t="s">
        <v>1217</v>
      </c>
      <c r="D317" s="238" t="s">
        <v>1213</v>
      </c>
      <c r="E317" s="239" t="s">
        <v>9</v>
      </c>
      <c r="F317" s="240" t="s">
        <v>1218</v>
      </c>
      <c r="G317" s="237"/>
      <c r="H317" s="237" t="s">
        <v>1215</v>
      </c>
      <c r="I317" s="237"/>
      <c r="J317" s="240" t="s">
        <v>50</v>
      </c>
      <c r="K317" s="237" t="s">
        <v>1219</v>
      </c>
      <c r="L317" s="248">
        <v>44676</v>
      </c>
      <c r="M317" s="249">
        <v>254545</v>
      </c>
      <c r="N317" s="237">
        <v>2</v>
      </c>
      <c r="O317" s="250">
        <f t="shared" si="15"/>
        <v>509090</v>
      </c>
      <c r="P317" s="250">
        <v>275000</v>
      </c>
      <c r="Q317" s="250">
        <f t="shared" si="14"/>
        <v>550000</v>
      </c>
    </row>
    <row r="318" spans="2:17">
      <c r="B318" s="200">
        <v>315</v>
      </c>
      <c r="C318" s="237" t="s">
        <v>1220</v>
      </c>
      <c r="D318" s="238" t="s">
        <v>1213</v>
      </c>
      <c r="E318" s="239" t="s">
        <v>9</v>
      </c>
      <c r="F318" s="240" t="s">
        <v>445</v>
      </c>
      <c r="G318" s="237"/>
      <c r="H318" s="237" t="s">
        <v>1221</v>
      </c>
      <c r="I318" s="237"/>
      <c r="J318" s="240" t="s">
        <v>50</v>
      </c>
      <c r="K318" s="237" t="s">
        <v>1222</v>
      </c>
      <c r="L318" s="248">
        <v>44676</v>
      </c>
      <c r="M318" s="249">
        <v>254545</v>
      </c>
      <c r="N318" s="237">
        <v>1</v>
      </c>
      <c r="O318" s="250">
        <f t="shared" si="15"/>
        <v>254545</v>
      </c>
      <c r="P318" s="250">
        <v>275000</v>
      </c>
      <c r="Q318" s="250">
        <f t="shared" si="14"/>
        <v>275000</v>
      </c>
    </row>
    <row r="319" spans="2:17">
      <c r="B319" s="200">
        <v>316</v>
      </c>
      <c r="C319" s="241" t="s">
        <v>1223</v>
      </c>
      <c r="D319" s="242" t="s">
        <v>1224</v>
      </c>
      <c r="E319" s="243" t="s">
        <v>9</v>
      </c>
      <c r="F319" s="244" t="s">
        <v>665</v>
      </c>
      <c r="G319" s="241"/>
      <c r="H319" s="241" t="s">
        <v>1225</v>
      </c>
      <c r="I319" s="241"/>
      <c r="J319" s="244" t="s">
        <v>50</v>
      </c>
      <c r="K319" s="241" t="s">
        <v>1226</v>
      </c>
      <c r="L319" s="251">
        <v>44690</v>
      </c>
      <c r="M319" s="252">
        <v>254545</v>
      </c>
      <c r="N319" s="241">
        <v>2</v>
      </c>
      <c r="O319" s="253">
        <f t="shared" si="15"/>
        <v>509090</v>
      </c>
      <c r="P319" s="253">
        <v>275000</v>
      </c>
      <c r="Q319" s="253">
        <f t="shared" si="14"/>
        <v>550000</v>
      </c>
    </row>
    <row r="320" spans="2:17">
      <c r="B320" s="200">
        <v>317</v>
      </c>
      <c r="C320" s="241" t="s">
        <v>1227</v>
      </c>
      <c r="D320" s="242" t="s">
        <v>1224</v>
      </c>
      <c r="E320" s="243" t="s">
        <v>9</v>
      </c>
      <c r="F320" s="244" t="s">
        <v>1228</v>
      </c>
      <c r="G320" s="241"/>
      <c r="H320" s="241" t="s">
        <v>1225</v>
      </c>
      <c r="I320" s="241"/>
      <c r="J320" s="244" t="s">
        <v>50</v>
      </c>
      <c r="K320" s="241" t="s">
        <v>1229</v>
      </c>
      <c r="L320" s="251">
        <v>44690</v>
      </c>
      <c r="M320" s="252">
        <v>254545</v>
      </c>
      <c r="N320" s="241">
        <v>3</v>
      </c>
      <c r="O320" s="253">
        <f t="shared" si="15"/>
        <v>763635</v>
      </c>
      <c r="P320" s="253">
        <v>275000</v>
      </c>
      <c r="Q320" s="253">
        <f t="shared" si="14"/>
        <v>825000</v>
      </c>
    </row>
    <row r="321" spans="2:17">
      <c r="B321" s="200">
        <v>318</v>
      </c>
      <c r="C321" s="241" t="s">
        <v>1230</v>
      </c>
      <c r="D321" s="242" t="s">
        <v>1231</v>
      </c>
      <c r="E321" s="243" t="s">
        <v>11</v>
      </c>
      <c r="F321" s="244" t="s">
        <v>6</v>
      </c>
      <c r="G321" s="241"/>
      <c r="H321" s="241" t="s">
        <v>1232</v>
      </c>
      <c r="I321" s="241"/>
      <c r="J321" s="244" t="s">
        <v>50</v>
      </c>
      <c r="K321" s="241" t="s">
        <v>1233</v>
      </c>
      <c r="L321" s="251">
        <v>44690</v>
      </c>
      <c r="M321" s="252">
        <v>184875</v>
      </c>
      <c r="N321" s="241">
        <v>3</v>
      </c>
      <c r="O321" s="253">
        <f t="shared" si="15"/>
        <v>554625</v>
      </c>
      <c r="P321" s="253">
        <v>201682</v>
      </c>
      <c r="Q321" s="253">
        <f t="shared" si="14"/>
        <v>605046</v>
      </c>
    </row>
    <row r="322" spans="2:17">
      <c r="B322" s="200">
        <v>319</v>
      </c>
      <c r="C322" s="241" t="s">
        <v>1234</v>
      </c>
      <c r="D322" s="242" t="s">
        <v>1235</v>
      </c>
      <c r="E322" s="243" t="s">
        <v>9</v>
      </c>
      <c r="F322" s="244" t="s">
        <v>1047</v>
      </c>
      <c r="G322" s="241"/>
      <c r="H322" s="241" t="s">
        <v>1236</v>
      </c>
      <c r="I322" s="241"/>
      <c r="J322" s="244" t="s">
        <v>50</v>
      </c>
      <c r="K322" s="241" t="s">
        <v>1237</v>
      </c>
      <c r="L322" s="251">
        <v>44690</v>
      </c>
      <c r="M322" s="252">
        <v>254545</v>
      </c>
      <c r="N322" s="241">
        <v>1</v>
      </c>
      <c r="O322" s="253">
        <f t="shared" si="15"/>
        <v>254545</v>
      </c>
      <c r="P322" s="253">
        <v>275000</v>
      </c>
      <c r="Q322" s="253">
        <f t="shared" si="14"/>
        <v>275000</v>
      </c>
    </row>
    <row r="323" spans="2:17">
      <c r="B323" s="200">
        <v>320</v>
      </c>
      <c r="C323" s="241" t="s">
        <v>1238</v>
      </c>
      <c r="D323" s="242" t="s">
        <v>1235</v>
      </c>
      <c r="E323" s="243" t="s">
        <v>9</v>
      </c>
      <c r="F323" s="244" t="s">
        <v>1173</v>
      </c>
      <c r="G323" s="241"/>
      <c r="H323" s="241" t="s">
        <v>1236</v>
      </c>
      <c r="I323" s="241"/>
      <c r="J323" s="244" t="s">
        <v>50</v>
      </c>
      <c r="K323" s="241" t="s">
        <v>1239</v>
      </c>
      <c r="L323" s="251">
        <v>44690</v>
      </c>
      <c r="M323" s="252">
        <v>254545</v>
      </c>
      <c r="N323" s="241">
        <v>2</v>
      </c>
      <c r="O323" s="253">
        <f t="shared" si="15"/>
        <v>509090</v>
      </c>
      <c r="P323" s="253">
        <v>275000</v>
      </c>
      <c r="Q323" s="253">
        <f t="shared" si="14"/>
        <v>550000</v>
      </c>
    </row>
    <row r="324" spans="2:17">
      <c r="B324" s="200">
        <v>321</v>
      </c>
      <c r="C324" s="241" t="s">
        <v>1240</v>
      </c>
      <c r="D324" s="242" t="s">
        <v>1241</v>
      </c>
      <c r="E324" s="243" t="s">
        <v>9</v>
      </c>
      <c r="F324" s="244" t="s">
        <v>1242</v>
      </c>
      <c r="G324" s="241"/>
      <c r="H324" s="241" t="s">
        <v>1243</v>
      </c>
      <c r="I324" s="241"/>
      <c r="J324" s="244" t="s">
        <v>50</v>
      </c>
      <c r="K324" s="241" t="s">
        <v>1244</v>
      </c>
      <c r="L324" s="251">
        <v>44693</v>
      </c>
      <c r="M324" s="252">
        <v>254545</v>
      </c>
      <c r="N324" s="241">
        <v>1</v>
      </c>
      <c r="O324" s="253">
        <f t="shared" si="15"/>
        <v>254545</v>
      </c>
      <c r="P324" s="253">
        <v>275000</v>
      </c>
      <c r="Q324" s="253">
        <f t="shared" si="14"/>
        <v>275000</v>
      </c>
    </row>
    <row r="325" spans="2:17">
      <c r="B325" s="200">
        <v>322</v>
      </c>
      <c r="C325" s="241" t="s">
        <v>1245</v>
      </c>
      <c r="D325" s="242" t="s">
        <v>1241</v>
      </c>
      <c r="E325" s="243" t="s">
        <v>9</v>
      </c>
      <c r="F325" s="244" t="s">
        <v>1246</v>
      </c>
      <c r="G325" s="241"/>
      <c r="H325" s="241" t="s">
        <v>1247</v>
      </c>
      <c r="I325" s="241"/>
      <c r="J325" s="244" t="s">
        <v>50</v>
      </c>
      <c r="K325" s="241" t="s">
        <v>1248</v>
      </c>
      <c r="L325" s="251">
        <v>44693</v>
      </c>
      <c r="M325" s="252">
        <v>254545</v>
      </c>
      <c r="N325" s="241">
        <v>1</v>
      </c>
      <c r="O325" s="253">
        <f t="shared" si="15"/>
        <v>254545</v>
      </c>
      <c r="P325" s="253">
        <v>275000</v>
      </c>
      <c r="Q325" s="253">
        <f t="shared" si="14"/>
        <v>275000</v>
      </c>
    </row>
    <row r="326" spans="2:17">
      <c r="B326" s="200">
        <v>323</v>
      </c>
      <c r="C326" s="241" t="s">
        <v>1249</v>
      </c>
      <c r="D326" s="242" t="s">
        <v>1250</v>
      </c>
      <c r="E326" s="243" t="s">
        <v>9</v>
      </c>
      <c r="F326" s="244" t="s">
        <v>1251</v>
      </c>
      <c r="G326" s="241"/>
      <c r="H326" s="241" t="s">
        <v>1252</v>
      </c>
      <c r="I326" s="241"/>
      <c r="J326" s="244" t="s">
        <v>50</v>
      </c>
      <c r="K326" s="241" t="s">
        <v>1253</v>
      </c>
      <c r="L326" s="251">
        <v>44701</v>
      </c>
      <c r="M326" s="252">
        <v>254545</v>
      </c>
      <c r="N326" s="241">
        <v>1</v>
      </c>
      <c r="O326" s="253">
        <f t="shared" si="15"/>
        <v>254545</v>
      </c>
      <c r="P326" s="253">
        <v>275000</v>
      </c>
      <c r="Q326" s="253">
        <f t="shared" si="14"/>
        <v>275000</v>
      </c>
    </row>
    <row r="327" spans="2:17">
      <c r="B327" s="200">
        <v>324</v>
      </c>
      <c r="C327" s="241" t="s">
        <v>1254</v>
      </c>
      <c r="D327" s="242" t="s">
        <v>1250</v>
      </c>
      <c r="E327" s="243" t="s">
        <v>9</v>
      </c>
      <c r="F327" s="244" t="s">
        <v>1255</v>
      </c>
      <c r="G327" s="241"/>
      <c r="H327" s="241" t="s">
        <v>1247</v>
      </c>
      <c r="I327" s="241"/>
      <c r="J327" s="244" t="s">
        <v>50</v>
      </c>
      <c r="K327" s="241" t="s">
        <v>1256</v>
      </c>
      <c r="L327" s="251">
        <v>44701</v>
      </c>
      <c r="M327" s="252">
        <v>254545</v>
      </c>
      <c r="N327" s="241">
        <v>3</v>
      </c>
      <c r="O327" s="253">
        <f t="shared" si="15"/>
        <v>763635</v>
      </c>
      <c r="P327" s="253">
        <v>275000</v>
      </c>
      <c r="Q327" s="253">
        <f t="shared" si="14"/>
        <v>825000</v>
      </c>
    </row>
    <row r="328" spans="2:17">
      <c r="B328" s="200">
        <v>325</v>
      </c>
      <c r="C328" s="241" t="s">
        <v>1257</v>
      </c>
      <c r="D328" s="242" t="s">
        <v>1258</v>
      </c>
      <c r="E328" s="243" t="s">
        <v>82</v>
      </c>
      <c r="F328" s="243" t="s">
        <v>83</v>
      </c>
      <c r="G328" s="241"/>
      <c r="H328" s="241" t="s">
        <v>1259</v>
      </c>
      <c r="I328" s="241"/>
      <c r="J328" s="244" t="s">
        <v>85</v>
      </c>
      <c r="K328" s="241" t="s">
        <v>1260</v>
      </c>
      <c r="L328" s="251">
        <v>44705</v>
      </c>
      <c r="M328" s="252">
        <v>222727</v>
      </c>
      <c r="N328" s="241">
        <v>350</v>
      </c>
      <c r="O328" s="253">
        <f t="shared" si="15"/>
        <v>77954450</v>
      </c>
      <c r="P328" s="253">
        <v>279090.90999999997</v>
      </c>
      <c r="Q328" s="253">
        <f t="shared" si="14"/>
        <v>97681818.499999985</v>
      </c>
    </row>
    <row r="329" spans="2:17">
      <c r="B329" s="200">
        <v>326</v>
      </c>
      <c r="C329" s="241" t="s">
        <v>1261</v>
      </c>
      <c r="D329" s="242" t="s">
        <v>1262</v>
      </c>
      <c r="E329" s="243" t="s">
        <v>9</v>
      </c>
      <c r="F329" s="244" t="s">
        <v>1263</v>
      </c>
      <c r="G329" s="241"/>
      <c r="H329" s="241" t="s">
        <v>1264</v>
      </c>
      <c r="I329" s="241"/>
      <c r="J329" s="244" t="s">
        <v>50</v>
      </c>
      <c r="K329" s="241" t="s">
        <v>1265</v>
      </c>
      <c r="L329" s="251">
        <v>44706</v>
      </c>
      <c r="M329" s="252">
        <v>254545</v>
      </c>
      <c r="N329" s="241">
        <v>6</v>
      </c>
      <c r="O329" s="253">
        <f t="shared" si="15"/>
        <v>1527270</v>
      </c>
      <c r="P329" s="253">
        <v>275000</v>
      </c>
      <c r="Q329" s="253">
        <f t="shared" si="14"/>
        <v>1650000</v>
      </c>
    </row>
    <row r="330" spans="2:17">
      <c r="B330" s="200">
        <v>327</v>
      </c>
      <c r="C330" s="237" t="s">
        <v>1266</v>
      </c>
      <c r="D330" s="238" t="s">
        <v>1267</v>
      </c>
      <c r="E330" s="239" t="s">
        <v>9</v>
      </c>
      <c r="F330" s="239" t="s">
        <v>660</v>
      </c>
      <c r="G330" s="237"/>
      <c r="H330" s="237" t="s">
        <v>1268</v>
      </c>
      <c r="I330" s="237"/>
      <c r="J330" s="240" t="s">
        <v>50</v>
      </c>
      <c r="K330" s="237" t="s">
        <v>1269</v>
      </c>
      <c r="L330" s="248">
        <v>44715</v>
      </c>
      <c r="M330" s="249">
        <v>254545</v>
      </c>
      <c r="N330" s="237">
        <v>1</v>
      </c>
      <c r="O330" s="250">
        <f t="shared" si="15"/>
        <v>254545</v>
      </c>
      <c r="P330" s="250">
        <v>275000</v>
      </c>
      <c r="Q330" s="250">
        <f t="shared" si="14"/>
        <v>275000</v>
      </c>
    </row>
    <row r="331" spans="2:17">
      <c r="B331" s="200">
        <v>328</v>
      </c>
      <c r="C331" s="237" t="s">
        <v>1270</v>
      </c>
      <c r="D331" s="238" t="s">
        <v>1267</v>
      </c>
      <c r="E331" s="239" t="s">
        <v>9</v>
      </c>
      <c r="F331" s="239" t="s">
        <v>1271</v>
      </c>
      <c r="G331" s="237"/>
      <c r="H331" s="237" t="s">
        <v>1272</v>
      </c>
      <c r="I331" s="237"/>
      <c r="J331" s="240" t="s">
        <v>50</v>
      </c>
      <c r="K331" s="237" t="s">
        <v>1273</v>
      </c>
      <c r="L331" s="248">
        <v>44715</v>
      </c>
      <c r="M331" s="249">
        <v>254545</v>
      </c>
      <c r="N331" s="237">
        <v>3</v>
      </c>
      <c r="O331" s="250">
        <f t="shared" si="15"/>
        <v>763635</v>
      </c>
      <c r="P331" s="250">
        <v>275000</v>
      </c>
      <c r="Q331" s="250">
        <f t="shared" si="14"/>
        <v>825000</v>
      </c>
    </row>
    <row r="332" spans="2:17">
      <c r="B332" s="200">
        <v>329</v>
      </c>
      <c r="C332" s="237" t="s">
        <v>1274</v>
      </c>
      <c r="D332" s="238" t="s">
        <v>1275</v>
      </c>
      <c r="E332" s="239" t="s">
        <v>16</v>
      </c>
      <c r="F332" s="239" t="s">
        <v>1276</v>
      </c>
      <c r="G332" s="237"/>
      <c r="H332" s="237" t="s">
        <v>1277</v>
      </c>
      <c r="I332" s="237"/>
      <c r="J332" s="240" t="s">
        <v>85</v>
      </c>
      <c r="K332" s="237" t="s">
        <v>1278</v>
      </c>
      <c r="L332" s="248">
        <v>44718</v>
      </c>
      <c r="M332" s="249">
        <v>222727</v>
      </c>
      <c r="N332" s="237">
        <v>5</v>
      </c>
      <c r="O332" s="250">
        <f t="shared" si="15"/>
        <v>1113635</v>
      </c>
      <c r="P332" s="250">
        <v>279091</v>
      </c>
      <c r="Q332" s="250">
        <f t="shared" si="14"/>
        <v>1395455</v>
      </c>
    </row>
    <row r="333" spans="2:17">
      <c r="B333" s="200">
        <v>330</v>
      </c>
      <c r="C333" s="237" t="s">
        <v>1279</v>
      </c>
      <c r="D333" s="238" t="s">
        <v>1280</v>
      </c>
      <c r="E333" s="239" t="s">
        <v>9</v>
      </c>
      <c r="F333" s="240" t="s">
        <v>1281</v>
      </c>
      <c r="G333" s="237"/>
      <c r="H333" s="237" t="s">
        <v>1282</v>
      </c>
      <c r="I333" s="237"/>
      <c r="J333" s="240" t="s">
        <v>50</v>
      </c>
      <c r="K333" s="237" t="s">
        <v>1283</v>
      </c>
      <c r="L333" s="248">
        <v>44720</v>
      </c>
      <c r="M333" s="249">
        <v>254545</v>
      </c>
      <c r="N333" s="237">
        <v>3</v>
      </c>
      <c r="O333" s="250">
        <f t="shared" si="15"/>
        <v>763635</v>
      </c>
      <c r="P333" s="250">
        <v>275000</v>
      </c>
      <c r="Q333" s="250">
        <f t="shared" si="14"/>
        <v>825000</v>
      </c>
    </row>
    <row r="334" spans="2:17">
      <c r="B334" s="200">
        <v>331</v>
      </c>
      <c r="C334" s="237" t="s">
        <v>1284</v>
      </c>
      <c r="D334" s="238" t="s">
        <v>1280</v>
      </c>
      <c r="E334" s="239" t="s">
        <v>9</v>
      </c>
      <c r="F334" s="240" t="s">
        <v>1285</v>
      </c>
      <c r="G334" s="237"/>
      <c r="H334" s="237" t="s">
        <v>1286</v>
      </c>
      <c r="I334" s="237"/>
      <c r="J334" s="240" t="s">
        <v>50</v>
      </c>
      <c r="K334" s="237" t="s">
        <v>1287</v>
      </c>
      <c r="L334" s="248">
        <v>44720</v>
      </c>
      <c r="M334" s="249">
        <v>254545</v>
      </c>
      <c r="N334" s="237">
        <v>1</v>
      </c>
      <c r="O334" s="250">
        <f t="shared" si="15"/>
        <v>254545</v>
      </c>
      <c r="P334" s="250">
        <v>275000</v>
      </c>
      <c r="Q334" s="250">
        <f t="shared" si="14"/>
        <v>275000</v>
      </c>
    </row>
    <row r="335" spans="2:17">
      <c r="B335" s="200">
        <v>332</v>
      </c>
      <c r="C335" s="237" t="s">
        <v>1288</v>
      </c>
      <c r="D335" s="238" t="s">
        <v>1289</v>
      </c>
      <c r="E335" s="239" t="s">
        <v>11</v>
      </c>
      <c r="F335" s="240" t="s">
        <v>320</v>
      </c>
      <c r="G335" s="237"/>
      <c r="H335" s="237" t="s">
        <v>1290</v>
      </c>
      <c r="I335" s="237"/>
      <c r="J335" s="240" t="s">
        <v>85</v>
      </c>
      <c r="K335" s="237" t="s">
        <v>1291</v>
      </c>
      <c r="L335" s="248">
        <v>44720</v>
      </c>
      <c r="M335" s="249">
        <v>222727</v>
      </c>
      <c r="N335" s="237">
        <v>20</v>
      </c>
      <c r="O335" s="250">
        <f t="shared" si="15"/>
        <v>4454540</v>
      </c>
      <c r="P335" s="250">
        <v>279091</v>
      </c>
      <c r="Q335" s="250">
        <f t="shared" si="14"/>
        <v>5581820</v>
      </c>
    </row>
    <row r="336" spans="2:17">
      <c r="B336" s="200">
        <v>333</v>
      </c>
      <c r="C336" s="237" t="s">
        <v>1292</v>
      </c>
      <c r="D336" s="238" t="s">
        <v>1289</v>
      </c>
      <c r="E336" s="239" t="s">
        <v>11</v>
      </c>
      <c r="F336" s="240" t="s">
        <v>320</v>
      </c>
      <c r="G336" s="237"/>
      <c r="H336" s="237" t="s">
        <v>1290</v>
      </c>
      <c r="I336" s="237"/>
      <c r="J336" s="240" t="s">
        <v>85</v>
      </c>
      <c r="K336" s="237" t="s">
        <v>1293</v>
      </c>
      <c r="L336" s="248">
        <v>44720</v>
      </c>
      <c r="M336" s="249">
        <v>222727</v>
      </c>
      <c r="N336" s="237">
        <v>5</v>
      </c>
      <c r="O336" s="250">
        <f t="shared" si="15"/>
        <v>1113635</v>
      </c>
      <c r="P336" s="250">
        <v>279091</v>
      </c>
      <c r="Q336" s="250">
        <f t="shared" si="14"/>
        <v>1395455</v>
      </c>
    </row>
    <row r="337" spans="2:17">
      <c r="B337" s="200">
        <v>334</v>
      </c>
      <c r="C337" s="237" t="s">
        <v>1294</v>
      </c>
      <c r="D337" s="238" t="s">
        <v>1295</v>
      </c>
      <c r="E337" s="239" t="s">
        <v>1296</v>
      </c>
      <c r="F337" s="240" t="s">
        <v>1297</v>
      </c>
      <c r="G337" s="237"/>
      <c r="H337" s="237" t="s">
        <v>1298</v>
      </c>
      <c r="I337" s="237"/>
      <c r="J337" s="240" t="s">
        <v>85</v>
      </c>
      <c r="K337" s="237" t="s">
        <v>1299</v>
      </c>
      <c r="L337" s="248">
        <v>44739</v>
      </c>
      <c r="M337" s="249">
        <v>222727</v>
      </c>
      <c r="N337" s="237">
        <v>9</v>
      </c>
      <c r="O337" s="250">
        <f t="shared" si="15"/>
        <v>2004543</v>
      </c>
      <c r="P337" s="250">
        <v>279091</v>
      </c>
      <c r="Q337" s="250">
        <f t="shared" si="14"/>
        <v>2511819</v>
      </c>
    </row>
    <row r="338" spans="2:17">
      <c r="B338" s="200">
        <v>335</v>
      </c>
      <c r="C338" s="237" t="s">
        <v>1300</v>
      </c>
      <c r="D338" s="238" t="s">
        <v>1295</v>
      </c>
      <c r="E338" s="239" t="s">
        <v>1296</v>
      </c>
      <c r="F338" s="240" t="s">
        <v>733</v>
      </c>
      <c r="G338" s="237"/>
      <c r="H338" s="237" t="s">
        <v>1298</v>
      </c>
      <c r="I338" s="237"/>
      <c r="J338" s="240" t="s">
        <v>85</v>
      </c>
      <c r="K338" s="237" t="s">
        <v>1301</v>
      </c>
      <c r="L338" s="248">
        <v>44739</v>
      </c>
      <c r="M338" s="249">
        <v>222727</v>
      </c>
      <c r="N338" s="237">
        <v>6</v>
      </c>
      <c r="O338" s="250">
        <f t="shared" si="15"/>
        <v>1336362</v>
      </c>
      <c r="P338" s="250">
        <v>279091</v>
      </c>
      <c r="Q338" s="250">
        <f t="shared" si="14"/>
        <v>1674546</v>
      </c>
    </row>
    <row r="339" spans="2:17">
      <c r="B339" s="200">
        <v>336</v>
      </c>
      <c r="C339" s="237" t="s">
        <v>1302</v>
      </c>
      <c r="D339" s="238" t="s">
        <v>1303</v>
      </c>
      <c r="E339" s="239" t="s">
        <v>11</v>
      </c>
      <c r="F339" s="240" t="s">
        <v>320</v>
      </c>
      <c r="G339" s="237"/>
      <c r="H339" s="237" t="s">
        <v>1304</v>
      </c>
      <c r="I339" s="237"/>
      <c r="J339" s="240" t="s">
        <v>50</v>
      </c>
      <c r="K339" s="237" t="s">
        <v>1305</v>
      </c>
      <c r="L339" s="248">
        <v>44736</v>
      </c>
      <c r="M339" s="249">
        <v>444545</v>
      </c>
      <c r="N339" s="237">
        <v>35</v>
      </c>
      <c r="O339" s="250">
        <f t="shared" si="13"/>
        <v>15559075</v>
      </c>
      <c r="P339" s="250">
        <v>556363.63</v>
      </c>
      <c r="Q339" s="250">
        <f t="shared" si="14"/>
        <v>19472727.050000001</v>
      </c>
    </row>
    <row r="340" spans="2:17">
      <c r="B340" s="200">
        <v>337</v>
      </c>
      <c r="C340" s="237" t="s">
        <v>1306</v>
      </c>
      <c r="D340" s="238" t="s">
        <v>1307</v>
      </c>
      <c r="E340" s="239" t="s">
        <v>9</v>
      </c>
      <c r="F340" s="240" t="s">
        <v>1308</v>
      </c>
      <c r="G340" s="237"/>
      <c r="H340" s="237" t="s">
        <v>1309</v>
      </c>
      <c r="I340" s="237"/>
      <c r="J340" s="240" t="s">
        <v>50</v>
      </c>
      <c r="K340" s="237" t="s">
        <v>1310</v>
      </c>
      <c r="L340" s="248">
        <v>44726</v>
      </c>
      <c r="M340" s="249">
        <v>254545</v>
      </c>
      <c r="N340" s="237">
        <v>1</v>
      </c>
      <c r="O340" s="250">
        <f t="shared" si="13"/>
        <v>254545</v>
      </c>
      <c r="P340" s="250">
        <v>275000</v>
      </c>
      <c r="Q340" s="250">
        <f t="shared" si="14"/>
        <v>275000</v>
      </c>
    </row>
    <row r="341" spans="2:17">
      <c r="B341" s="200">
        <v>338</v>
      </c>
      <c r="C341" s="237" t="s">
        <v>1311</v>
      </c>
      <c r="D341" s="238" t="s">
        <v>1307</v>
      </c>
      <c r="E341" s="239" t="s">
        <v>9</v>
      </c>
      <c r="F341" s="240" t="s">
        <v>1312</v>
      </c>
      <c r="G341" s="237"/>
      <c r="H341" s="237" t="s">
        <v>1309</v>
      </c>
      <c r="I341" s="237"/>
      <c r="J341" s="240" t="s">
        <v>50</v>
      </c>
      <c r="K341" s="237" t="s">
        <v>1313</v>
      </c>
      <c r="L341" s="248">
        <v>44726</v>
      </c>
      <c r="M341" s="249">
        <v>254545</v>
      </c>
      <c r="N341" s="237">
        <v>2</v>
      </c>
      <c r="O341" s="250">
        <f t="shared" si="13"/>
        <v>509090</v>
      </c>
      <c r="P341" s="250">
        <v>275000</v>
      </c>
      <c r="Q341" s="250">
        <f t="shared" si="14"/>
        <v>550000</v>
      </c>
    </row>
    <row r="342" spans="2:17">
      <c r="B342" s="200">
        <v>339</v>
      </c>
      <c r="C342" s="237" t="s">
        <v>1314</v>
      </c>
      <c r="D342" s="238" t="s">
        <v>1307</v>
      </c>
      <c r="E342" s="239" t="s">
        <v>9</v>
      </c>
      <c r="F342" s="240" t="s">
        <v>1312</v>
      </c>
      <c r="G342" s="237"/>
      <c r="H342" s="237" t="s">
        <v>1309</v>
      </c>
      <c r="I342" s="237"/>
      <c r="J342" s="240" t="s">
        <v>50</v>
      </c>
      <c r="K342" s="237" t="s">
        <v>1315</v>
      </c>
      <c r="L342" s="248">
        <v>44726</v>
      </c>
      <c r="M342" s="249">
        <v>254545</v>
      </c>
      <c r="N342" s="237">
        <v>1</v>
      </c>
      <c r="O342" s="250">
        <f t="shared" si="13"/>
        <v>254545</v>
      </c>
      <c r="P342" s="250">
        <v>275000</v>
      </c>
      <c r="Q342" s="250">
        <f t="shared" si="14"/>
        <v>275000</v>
      </c>
    </row>
    <row r="343" spans="2:17">
      <c r="B343" s="200">
        <v>340</v>
      </c>
      <c r="C343" s="237" t="s">
        <v>1316</v>
      </c>
      <c r="D343" s="238" t="s">
        <v>1317</v>
      </c>
      <c r="E343" s="239" t="s">
        <v>9</v>
      </c>
      <c r="F343" s="240" t="s">
        <v>1312</v>
      </c>
      <c r="G343" s="237"/>
      <c r="H343" s="237" t="s">
        <v>1318</v>
      </c>
      <c r="I343" s="237"/>
      <c r="J343" s="240" t="s">
        <v>50</v>
      </c>
      <c r="K343" s="237" t="s">
        <v>1319</v>
      </c>
      <c r="L343" s="248">
        <v>44728</v>
      </c>
      <c r="M343" s="249">
        <v>254545</v>
      </c>
      <c r="N343" s="237">
        <v>5</v>
      </c>
      <c r="O343" s="250">
        <f t="shared" si="13"/>
        <v>1272725</v>
      </c>
      <c r="P343" s="250">
        <v>275000</v>
      </c>
      <c r="Q343" s="250">
        <f t="shared" si="14"/>
        <v>1375000</v>
      </c>
    </row>
    <row r="344" spans="2:17">
      <c r="B344" s="200">
        <v>341</v>
      </c>
      <c r="C344" s="237" t="s">
        <v>1320</v>
      </c>
      <c r="D344" s="238">
        <v>82472</v>
      </c>
      <c r="E344" s="239" t="s">
        <v>17</v>
      </c>
      <c r="F344" s="240" t="s">
        <v>114</v>
      </c>
      <c r="G344" s="237"/>
      <c r="H344" s="237" t="s">
        <v>1321</v>
      </c>
      <c r="I344" s="237"/>
      <c r="J344" s="240" t="s">
        <v>85</v>
      </c>
      <c r="K344" s="237" t="s">
        <v>311</v>
      </c>
      <c r="L344" s="248">
        <v>44729</v>
      </c>
      <c r="M344" s="249">
        <v>222727</v>
      </c>
      <c r="N344" s="237">
        <v>4</v>
      </c>
      <c r="O344" s="250">
        <f t="shared" si="13"/>
        <v>890908</v>
      </c>
      <c r="P344" s="250">
        <v>278378.38</v>
      </c>
      <c r="Q344" s="250">
        <f t="shared" si="14"/>
        <v>1113513.52</v>
      </c>
    </row>
    <row r="345" spans="2:17">
      <c r="B345" s="200">
        <v>342</v>
      </c>
      <c r="C345" s="237" t="s">
        <v>1322</v>
      </c>
      <c r="D345" s="238">
        <v>82472</v>
      </c>
      <c r="E345" s="239" t="s">
        <v>17</v>
      </c>
      <c r="F345" s="240" t="s">
        <v>114</v>
      </c>
      <c r="G345" s="237"/>
      <c r="H345" s="237" t="s">
        <v>1321</v>
      </c>
      <c r="I345" s="237"/>
      <c r="J345" s="240" t="s">
        <v>92</v>
      </c>
      <c r="K345" s="237" t="s">
        <v>303</v>
      </c>
      <c r="L345" s="248">
        <v>44729</v>
      </c>
      <c r="M345" s="249">
        <v>46364</v>
      </c>
      <c r="N345" s="237">
        <v>4</v>
      </c>
      <c r="O345" s="250">
        <f t="shared" si="13"/>
        <v>185456</v>
      </c>
      <c r="P345" s="250">
        <v>57657.66</v>
      </c>
      <c r="Q345" s="250">
        <f t="shared" si="14"/>
        <v>230630.64</v>
      </c>
    </row>
    <row r="346" spans="2:17">
      <c r="B346" s="200">
        <v>343</v>
      </c>
      <c r="C346" s="237" t="s">
        <v>1323</v>
      </c>
      <c r="D346" s="238">
        <v>82472</v>
      </c>
      <c r="E346" s="239" t="s">
        <v>17</v>
      </c>
      <c r="F346" s="240" t="s">
        <v>114</v>
      </c>
      <c r="G346" s="237"/>
      <c r="H346" s="237" t="s">
        <v>1324</v>
      </c>
      <c r="I346" s="237"/>
      <c r="J346" s="240" t="s">
        <v>85</v>
      </c>
      <c r="K346" s="237" t="s">
        <v>386</v>
      </c>
      <c r="L346" s="248">
        <v>44729</v>
      </c>
      <c r="M346" s="249">
        <v>222727</v>
      </c>
      <c r="N346" s="237">
        <v>1</v>
      </c>
      <c r="O346" s="250">
        <f t="shared" si="13"/>
        <v>222727</v>
      </c>
      <c r="P346" s="250">
        <v>278378.38</v>
      </c>
      <c r="Q346" s="250">
        <f t="shared" si="14"/>
        <v>278378.38</v>
      </c>
    </row>
    <row r="347" spans="2:17">
      <c r="B347" s="200">
        <v>344</v>
      </c>
      <c r="C347" s="237" t="s">
        <v>1325</v>
      </c>
      <c r="D347" s="238">
        <v>82472</v>
      </c>
      <c r="E347" s="239" t="s">
        <v>17</v>
      </c>
      <c r="F347" s="240" t="s">
        <v>114</v>
      </c>
      <c r="G347" s="237"/>
      <c r="H347" s="237" t="s">
        <v>1324</v>
      </c>
      <c r="I347" s="237"/>
      <c r="J347" s="240" t="s">
        <v>92</v>
      </c>
      <c r="K347" s="237" t="s">
        <v>377</v>
      </c>
      <c r="L347" s="248">
        <v>44729</v>
      </c>
      <c r="M347" s="249">
        <v>46364</v>
      </c>
      <c r="N347" s="237">
        <v>1</v>
      </c>
      <c r="O347" s="250">
        <f t="shared" si="13"/>
        <v>46364</v>
      </c>
      <c r="P347" s="250">
        <v>57657.66</v>
      </c>
      <c r="Q347" s="250">
        <f t="shared" si="14"/>
        <v>57657.66</v>
      </c>
    </row>
    <row r="348" spans="2:17">
      <c r="B348" s="200">
        <v>345</v>
      </c>
      <c r="C348" s="237" t="s">
        <v>1326</v>
      </c>
      <c r="D348" s="238">
        <v>82472</v>
      </c>
      <c r="E348" s="239" t="s">
        <v>17</v>
      </c>
      <c r="F348" s="240" t="s">
        <v>114</v>
      </c>
      <c r="G348" s="237"/>
      <c r="H348" s="237" t="s">
        <v>1327</v>
      </c>
      <c r="I348" s="237"/>
      <c r="J348" s="240" t="s">
        <v>85</v>
      </c>
      <c r="K348" s="237" t="s">
        <v>389</v>
      </c>
      <c r="L348" s="248">
        <v>44729</v>
      </c>
      <c r="M348" s="249">
        <v>222727</v>
      </c>
      <c r="N348" s="237">
        <v>11</v>
      </c>
      <c r="O348" s="250">
        <f t="shared" si="13"/>
        <v>2449997</v>
      </c>
      <c r="P348" s="250">
        <v>278378.38</v>
      </c>
      <c r="Q348" s="250">
        <f t="shared" si="14"/>
        <v>3062162.18</v>
      </c>
    </row>
    <row r="349" spans="2:17">
      <c r="B349" s="200">
        <v>346</v>
      </c>
      <c r="C349" s="237" t="s">
        <v>1328</v>
      </c>
      <c r="D349" s="238">
        <v>82472</v>
      </c>
      <c r="E349" s="239" t="s">
        <v>17</v>
      </c>
      <c r="F349" s="240" t="s">
        <v>114</v>
      </c>
      <c r="G349" s="237"/>
      <c r="H349" s="237" t="s">
        <v>1327</v>
      </c>
      <c r="I349" s="237"/>
      <c r="J349" s="240" t="s">
        <v>92</v>
      </c>
      <c r="K349" s="237" t="s">
        <v>380</v>
      </c>
      <c r="L349" s="248">
        <v>44729</v>
      </c>
      <c r="M349" s="249">
        <v>46364</v>
      </c>
      <c r="N349" s="237">
        <v>11</v>
      </c>
      <c r="O349" s="250">
        <f t="shared" si="13"/>
        <v>510004</v>
      </c>
      <c r="P349" s="250">
        <v>57657.66</v>
      </c>
      <c r="Q349" s="250">
        <f t="shared" si="14"/>
        <v>634234.26</v>
      </c>
    </row>
    <row r="350" spans="2:17">
      <c r="B350" s="200">
        <v>347</v>
      </c>
      <c r="C350" s="237" t="s">
        <v>1329</v>
      </c>
      <c r="D350" s="238" t="s">
        <v>1330</v>
      </c>
      <c r="E350" s="239" t="s">
        <v>16</v>
      </c>
      <c r="F350" s="240" t="s">
        <v>165</v>
      </c>
      <c r="G350" s="237"/>
      <c r="H350" s="237" t="s">
        <v>1331</v>
      </c>
      <c r="I350" s="237"/>
      <c r="J350" s="240" t="s">
        <v>85</v>
      </c>
      <c r="K350" s="237" t="s">
        <v>429</v>
      </c>
      <c r="L350" s="248">
        <v>44735</v>
      </c>
      <c r="M350" s="249">
        <v>222727</v>
      </c>
      <c r="N350" s="237">
        <v>310</v>
      </c>
      <c r="O350" s="250">
        <f t="shared" si="13"/>
        <v>69045370</v>
      </c>
      <c r="P350" s="250">
        <v>279091</v>
      </c>
      <c r="Q350" s="250">
        <f t="shared" si="14"/>
        <v>86518210</v>
      </c>
    </row>
    <row r="351" spans="2:17">
      <c r="B351" s="200">
        <v>348</v>
      </c>
      <c r="C351" s="237" t="s">
        <v>1332</v>
      </c>
      <c r="D351" s="238" t="s">
        <v>1333</v>
      </c>
      <c r="E351" s="239" t="s">
        <v>9</v>
      </c>
      <c r="F351" s="240" t="s">
        <v>1334</v>
      </c>
      <c r="G351" s="237"/>
      <c r="H351" s="237" t="s">
        <v>1268</v>
      </c>
      <c r="I351" s="237"/>
      <c r="J351" s="240" t="s">
        <v>50</v>
      </c>
      <c r="K351" s="237" t="s">
        <v>1335</v>
      </c>
      <c r="L351" s="248">
        <v>44739</v>
      </c>
      <c r="M351" s="249">
        <v>254545</v>
      </c>
      <c r="N351" s="237">
        <v>4</v>
      </c>
      <c r="O351" s="250">
        <f t="shared" si="13"/>
        <v>1018180</v>
      </c>
      <c r="P351" s="250">
        <v>275000</v>
      </c>
      <c r="Q351" s="250">
        <f t="shared" si="14"/>
        <v>1100000</v>
      </c>
    </row>
    <row r="352" spans="2:17">
      <c r="B352" s="200">
        <v>349</v>
      </c>
      <c r="C352" s="237" t="s">
        <v>1336</v>
      </c>
      <c r="D352" s="238" t="s">
        <v>1337</v>
      </c>
      <c r="E352" s="239" t="s">
        <v>6</v>
      </c>
      <c r="F352" s="240" t="s">
        <v>88</v>
      </c>
      <c r="G352" s="237"/>
      <c r="H352" s="237" t="s">
        <v>1331</v>
      </c>
      <c r="I352" s="237"/>
      <c r="J352" s="240" t="s">
        <v>63</v>
      </c>
      <c r="K352" s="237" t="s">
        <v>1338</v>
      </c>
      <c r="L352" s="248">
        <v>44740</v>
      </c>
      <c r="M352" s="249">
        <v>92727</v>
      </c>
      <c r="N352" s="237">
        <v>7</v>
      </c>
      <c r="O352" s="250">
        <f t="shared" si="13"/>
        <v>649089</v>
      </c>
      <c r="P352" s="250">
        <v>116216.22</v>
      </c>
      <c r="Q352" s="250">
        <f t="shared" si="14"/>
        <v>813513.54</v>
      </c>
    </row>
    <row r="353" spans="2:17">
      <c r="B353" s="200">
        <v>350</v>
      </c>
      <c r="C353" s="237" t="s">
        <v>1339</v>
      </c>
      <c r="D353" s="238" t="s">
        <v>1340</v>
      </c>
      <c r="E353" s="239" t="s">
        <v>16</v>
      </c>
      <c r="F353" s="240" t="s">
        <v>1276</v>
      </c>
      <c r="G353" s="237"/>
      <c r="H353" s="237" t="s">
        <v>1341</v>
      </c>
      <c r="I353" s="237"/>
      <c r="J353" s="240" t="s">
        <v>85</v>
      </c>
      <c r="K353" s="237" t="s">
        <v>1278</v>
      </c>
      <c r="L353" s="248">
        <v>44742</v>
      </c>
      <c r="M353" s="249">
        <v>222727</v>
      </c>
      <c r="N353" s="237">
        <v>5</v>
      </c>
      <c r="O353" s="250">
        <f t="shared" ref="O353:O362" si="16">M353*N353</f>
        <v>1113635</v>
      </c>
      <c r="P353" s="250">
        <v>279091</v>
      </c>
      <c r="Q353" s="250">
        <f t="shared" si="14"/>
        <v>1395455</v>
      </c>
    </row>
    <row r="354" spans="2:17">
      <c r="B354" s="200">
        <v>351</v>
      </c>
      <c r="C354" s="237" t="s">
        <v>1342</v>
      </c>
      <c r="D354" s="238" t="s">
        <v>1343</v>
      </c>
      <c r="E354" s="239" t="s">
        <v>9</v>
      </c>
      <c r="F354" s="240" t="s">
        <v>1344</v>
      </c>
      <c r="G354" s="237"/>
      <c r="H354" s="237" t="s">
        <v>1345</v>
      </c>
      <c r="I354" s="237"/>
      <c r="J354" s="240" t="s">
        <v>50</v>
      </c>
      <c r="K354" s="237" t="s">
        <v>1346</v>
      </c>
      <c r="L354" s="248">
        <v>44742</v>
      </c>
      <c r="M354" s="249">
        <v>254545</v>
      </c>
      <c r="N354" s="237">
        <v>2</v>
      </c>
      <c r="O354" s="250">
        <f t="shared" si="16"/>
        <v>509090</v>
      </c>
      <c r="P354" s="250">
        <v>275000</v>
      </c>
      <c r="Q354" s="250">
        <f t="shared" si="14"/>
        <v>550000</v>
      </c>
    </row>
    <row r="355" spans="2:17">
      <c r="B355" s="200">
        <v>352</v>
      </c>
      <c r="C355" s="241" t="s">
        <v>1347</v>
      </c>
      <c r="D355" s="242" t="s">
        <v>1348</v>
      </c>
      <c r="E355" s="243" t="s">
        <v>9</v>
      </c>
      <c r="F355" s="244" t="s">
        <v>1349</v>
      </c>
      <c r="G355" s="241"/>
      <c r="H355" s="241" t="s">
        <v>1350</v>
      </c>
      <c r="I355" s="241"/>
      <c r="J355" s="244" t="s">
        <v>50</v>
      </c>
      <c r="K355" s="241" t="s">
        <v>1351</v>
      </c>
      <c r="L355" s="251">
        <v>44747</v>
      </c>
      <c r="M355" s="252">
        <v>254545</v>
      </c>
      <c r="N355" s="241">
        <v>1</v>
      </c>
      <c r="O355" s="253">
        <f t="shared" si="16"/>
        <v>254545</v>
      </c>
      <c r="P355" s="253">
        <v>275000</v>
      </c>
      <c r="Q355" s="253">
        <f t="shared" si="14"/>
        <v>275000</v>
      </c>
    </row>
    <row r="356" spans="2:17">
      <c r="B356" s="200">
        <v>353</v>
      </c>
      <c r="C356" s="241" t="s">
        <v>1352</v>
      </c>
      <c r="D356" s="242">
        <v>4010013271</v>
      </c>
      <c r="E356" s="243" t="s">
        <v>2</v>
      </c>
      <c r="F356" s="243" t="s">
        <v>1353</v>
      </c>
      <c r="G356" s="241"/>
      <c r="H356" s="241" t="s">
        <v>1354</v>
      </c>
      <c r="I356" s="241"/>
      <c r="J356" s="244" t="s">
        <v>63</v>
      </c>
      <c r="K356" s="241" t="s">
        <v>424</v>
      </c>
      <c r="L356" s="251">
        <v>44749</v>
      </c>
      <c r="M356" s="252">
        <v>92727</v>
      </c>
      <c r="N356" s="241">
        <v>250</v>
      </c>
      <c r="O356" s="253">
        <f t="shared" si="16"/>
        <v>23181750</v>
      </c>
      <c r="P356" s="253">
        <f>188700/1.11</f>
        <v>169999.99999999997</v>
      </c>
      <c r="Q356" s="253">
        <f t="shared" si="14"/>
        <v>42499999.999999993</v>
      </c>
    </row>
    <row r="357" spans="2:17">
      <c r="B357" s="200">
        <v>354</v>
      </c>
      <c r="C357" s="241" t="s">
        <v>1355</v>
      </c>
      <c r="D357" s="242">
        <v>4010013271</v>
      </c>
      <c r="E357" s="243" t="s">
        <v>2</v>
      </c>
      <c r="F357" s="243" t="s">
        <v>1353</v>
      </c>
      <c r="G357" s="241"/>
      <c r="H357" s="241" t="s">
        <v>1354</v>
      </c>
      <c r="I357" s="241"/>
      <c r="J357" s="244" t="s">
        <v>85</v>
      </c>
      <c r="K357" s="241" t="s">
        <v>422</v>
      </c>
      <c r="L357" s="251">
        <v>44749</v>
      </c>
      <c r="M357" s="252">
        <v>222727</v>
      </c>
      <c r="N357" s="241">
        <v>50</v>
      </c>
      <c r="O357" s="253">
        <f t="shared" si="16"/>
        <v>11136350</v>
      </c>
      <c r="P357" s="253">
        <f>354090/1.11</f>
        <v>319000</v>
      </c>
      <c r="Q357" s="253">
        <f t="shared" ref="Q357:Q397" si="17">P357*N357</f>
        <v>15950000</v>
      </c>
    </row>
    <row r="358" spans="2:17">
      <c r="B358" s="200">
        <v>355</v>
      </c>
      <c r="C358" s="241" t="s">
        <v>1356</v>
      </c>
      <c r="D358" s="242" t="s">
        <v>1357</v>
      </c>
      <c r="E358" s="243" t="s">
        <v>6</v>
      </c>
      <c r="F358" s="244" t="s">
        <v>218</v>
      </c>
      <c r="G358" s="241"/>
      <c r="H358" s="241" t="s">
        <v>1358</v>
      </c>
      <c r="I358" s="241"/>
      <c r="J358" s="244" t="s">
        <v>63</v>
      </c>
      <c r="K358" s="241" t="s">
        <v>1359</v>
      </c>
      <c r="L358" s="251">
        <v>44750</v>
      </c>
      <c r="M358" s="252">
        <v>92727</v>
      </c>
      <c r="N358" s="241">
        <v>4</v>
      </c>
      <c r="O358" s="253">
        <f t="shared" si="16"/>
        <v>370908</v>
      </c>
      <c r="P358" s="253">
        <v>117273</v>
      </c>
      <c r="Q358" s="253">
        <f t="shared" si="17"/>
        <v>469092</v>
      </c>
    </row>
    <row r="359" spans="2:17">
      <c r="B359" s="200">
        <v>356</v>
      </c>
      <c r="C359" s="241" t="s">
        <v>1356</v>
      </c>
      <c r="D359" s="242" t="s">
        <v>1360</v>
      </c>
      <c r="E359" s="243" t="s">
        <v>19</v>
      </c>
      <c r="F359" s="244" t="s">
        <v>462</v>
      </c>
      <c r="G359" s="241"/>
      <c r="H359" s="241" t="s">
        <v>1361</v>
      </c>
      <c r="I359" s="241"/>
      <c r="J359" s="244" t="s">
        <v>85</v>
      </c>
      <c r="K359" s="241" t="s">
        <v>1362</v>
      </c>
      <c r="L359" s="251">
        <v>44750</v>
      </c>
      <c r="M359" s="252">
        <v>222727</v>
      </c>
      <c r="N359" s="241">
        <v>16</v>
      </c>
      <c r="O359" s="253">
        <f t="shared" si="16"/>
        <v>3563632</v>
      </c>
      <c r="P359" s="253">
        <v>279091</v>
      </c>
      <c r="Q359" s="253">
        <f t="shared" si="17"/>
        <v>4465456</v>
      </c>
    </row>
    <row r="360" spans="2:17">
      <c r="B360" s="200">
        <v>357</v>
      </c>
      <c r="C360" s="241" t="s">
        <v>1363</v>
      </c>
      <c r="D360" s="242" t="s">
        <v>1364</v>
      </c>
      <c r="E360" s="243" t="s">
        <v>9</v>
      </c>
      <c r="F360" s="244" t="s">
        <v>1365</v>
      </c>
      <c r="G360" s="241"/>
      <c r="H360" s="241" t="s">
        <v>1366</v>
      </c>
      <c r="I360" s="241"/>
      <c r="J360" s="244" t="s">
        <v>50</v>
      </c>
      <c r="K360" s="241" t="s">
        <v>1367</v>
      </c>
      <c r="L360" s="251">
        <v>44757</v>
      </c>
      <c r="M360" s="252">
        <v>254545</v>
      </c>
      <c r="N360" s="241">
        <v>7</v>
      </c>
      <c r="O360" s="253">
        <f t="shared" si="16"/>
        <v>1781815</v>
      </c>
      <c r="P360" s="253">
        <v>275000</v>
      </c>
      <c r="Q360" s="253">
        <f t="shared" si="17"/>
        <v>1925000</v>
      </c>
    </row>
    <row r="361" spans="2:17">
      <c r="B361" s="200">
        <v>358</v>
      </c>
      <c r="C361" s="241" t="s">
        <v>1368</v>
      </c>
      <c r="D361" s="242" t="s">
        <v>1364</v>
      </c>
      <c r="E361" s="243" t="s">
        <v>9</v>
      </c>
      <c r="F361" s="244" t="s">
        <v>1369</v>
      </c>
      <c r="G361" s="241"/>
      <c r="H361" s="241" t="s">
        <v>1366</v>
      </c>
      <c r="I361" s="241"/>
      <c r="J361" s="244" t="s">
        <v>50</v>
      </c>
      <c r="K361" s="241" t="s">
        <v>1370</v>
      </c>
      <c r="L361" s="251">
        <v>44757</v>
      </c>
      <c r="M361" s="252">
        <v>254545</v>
      </c>
      <c r="N361" s="241">
        <v>3</v>
      </c>
      <c r="O361" s="253">
        <f t="shared" si="16"/>
        <v>763635</v>
      </c>
      <c r="P361" s="253">
        <v>275000</v>
      </c>
      <c r="Q361" s="253">
        <f t="shared" si="17"/>
        <v>825000</v>
      </c>
    </row>
    <row r="362" spans="2:17">
      <c r="B362" s="200">
        <v>359</v>
      </c>
      <c r="C362" s="241" t="s">
        <v>1371</v>
      </c>
      <c r="D362" s="242" t="s">
        <v>1372</v>
      </c>
      <c r="E362" s="243" t="s">
        <v>11</v>
      </c>
      <c r="F362" s="243" t="s">
        <v>11</v>
      </c>
      <c r="G362" s="241"/>
      <c r="H362" s="241" t="s">
        <v>1373</v>
      </c>
      <c r="I362" s="241"/>
      <c r="J362" s="244" t="s">
        <v>92</v>
      </c>
      <c r="K362" s="241" t="s">
        <v>1374</v>
      </c>
      <c r="L362" s="251">
        <v>44760</v>
      </c>
      <c r="M362" s="252">
        <v>46364</v>
      </c>
      <c r="N362" s="241">
        <v>300</v>
      </c>
      <c r="O362" s="253">
        <f t="shared" si="16"/>
        <v>13909200</v>
      </c>
      <c r="P362" s="253">
        <v>55273</v>
      </c>
      <c r="Q362" s="253">
        <f t="shared" si="17"/>
        <v>16581900</v>
      </c>
    </row>
    <row r="363" spans="2:17">
      <c r="B363" s="200">
        <v>360</v>
      </c>
      <c r="C363" s="241" t="s">
        <v>1375</v>
      </c>
      <c r="D363" s="242" t="s">
        <v>1376</v>
      </c>
      <c r="E363" s="243" t="s">
        <v>11</v>
      </c>
      <c r="F363" s="244" t="s">
        <v>320</v>
      </c>
      <c r="G363" s="241"/>
      <c r="H363" s="241" t="s">
        <v>1377</v>
      </c>
      <c r="I363" s="241"/>
      <c r="J363" s="244" t="s">
        <v>50</v>
      </c>
      <c r="K363" s="241" t="s">
        <v>1378</v>
      </c>
      <c r="L363" s="251">
        <v>44762</v>
      </c>
      <c r="M363" s="252">
        <v>444545</v>
      </c>
      <c r="N363" s="241">
        <v>28</v>
      </c>
      <c r="O363" s="253">
        <f t="shared" ref="O363:O427" si="18">M363*N363</f>
        <v>12447260</v>
      </c>
      <c r="P363" s="253">
        <v>556363.63</v>
      </c>
      <c r="Q363" s="253">
        <f t="shared" si="17"/>
        <v>15578181.640000001</v>
      </c>
    </row>
    <row r="364" spans="2:17">
      <c r="B364" s="200">
        <v>361</v>
      </c>
      <c r="C364" s="241" t="s">
        <v>1379</v>
      </c>
      <c r="D364" s="242" t="s">
        <v>1376</v>
      </c>
      <c r="E364" s="243" t="s">
        <v>11</v>
      </c>
      <c r="F364" s="244" t="s">
        <v>320</v>
      </c>
      <c r="G364" s="241"/>
      <c r="H364" s="241" t="s">
        <v>1380</v>
      </c>
      <c r="I364" s="241"/>
      <c r="J364" s="244" t="s">
        <v>50</v>
      </c>
      <c r="K364" s="241" t="s">
        <v>1381</v>
      </c>
      <c r="L364" s="251">
        <v>44762</v>
      </c>
      <c r="M364" s="252">
        <v>444545</v>
      </c>
      <c r="N364" s="241">
        <v>3</v>
      </c>
      <c r="O364" s="253">
        <f t="shared" si="18"/>
        <v>1333635</v>
      </c>
      <c r="P364" s="253">
        <v>556363.63</v>
      </c>
      <c r="Q364" s="253">
        <f t="shared" si="17"/>
        <v>1669090.8900000001</v>
      </c>
    </row>
    <row r="365" spans="2:17">
      <c r="B365" s="200">
        <v>362</v>
      </c>
      <c r="C365" s="241" t="s">
        <v>1382</v>
      </c>
      <c r="D365" s="242">
        <v>2500016606</v>
      </c>
      <c r="E365" s="243" t="s">
        <v>10</v>
      </c>
      <c r="F365" s="244" t="s">
        <v>814</v>
      </c>
      <c r="G365" s="241"/>
      <c r="H365" s="241" t="s">
        <v>1383</v>
      </c>
      <c r="I365" s="241"/>
      <c r="J365" s="244" t="s">
        <v>816</v>
      </c>
      <c r="K365" s="241" t="s">
        <v>1384</v>
      </c>
      <c r="L365" s="251">
        <v>44763</v>
      </c>
      <c r="M365" s="252">
        <v>22727</v>
      </c>
      <c r="N365" s="241">
        <v>5</v>
      </c>
      <c r="O365" s="253">
        <f t="shared" si="18"/>
        <v>113635</v>
      </c>
      <c r="P365" s="253">
        <v>29091</v>
      </c>
      <c r="Q365" s="253">
        <f t="shared" si="17"/>
        <v>145455</v>
      </c>
    </row>
    <row r="366" spans="2:17">
      <c r="B366" s="200">
        <v>363</v>
      </c>
      <c r="C366" s="241" t="s">
        <v>1385</v>
      </c>
      <c r="D366" s="242" t="s">
        <v>1386</v>
      </c>
      <c r="E366" s="243" t="s">
        <v>9</v>
      </c>
      <c r="F366" s="244" t="s">
        <v>1387</v>
      </c>
      <c r="G366" s="241"/>
      <c r="H366" s="241" t="s">
        <v>1388</v>
      </c>
      <c r="I366" s="241"/>
      <c r="J366" s="244" t="s">
        <v>50</v>
      </c>
      <c r="K366" s="241" t="s">
        <v>1389</v>
      </c>
      <c r="L366" s="251">
        <v>44767</v>
      </c>
      <c r="M366" s="252">
        <v>254545</v>
      </c>
      <c r="N366" s="241">
        <v>6</v>
      </c>
      <c r="O366" s="253">
        <f t="shared" si="18"/>
        <v>1527270</v>
      </c>
      <c r="P366" s="253">
        <v>275000</v>
      </c>
      <c r="Q366" s="253">
        <f t="shared" si="17"/>
        <v>1650000</v>
      </c>
    </row>
    <row r="367" spans="2:17">
      <c r="B367" s="200">
        <v>364</v>
      </c>
      <c r="C367" s="241" t="s">
        <v>1390</v>
      </c>
      <c r="D367" s="242" t="s">
        <v>1386</v>
      </c>
      <c r="E367" s="243" t="s">
        <v>9</v>
      </c>
      <c r="F367" s="244" t="s">
        <v>1391</v>
      </c>
      <c r="G367" s="241"/>
      <c r="H367" s="241" t="s">
        <v>1388</v>
      </c>
      <c r="I367" s="241"/>
      <c r="J367" s="244" t="s">
        <v>50</v>
      </c>
      <c r="K367" s="241" t="s">
        <v>1392</v>
      </c>
      <c r="L367" s="251">
        <v>44767</v>
      </c>
      <c r="M367" s="252">
        <v>254545</v>
      </c>
      <c r="N367" s="241">
        <v>6</v>
      </c>
      <c r="O367" s="253">
        <f t="shared" si="18"/>
        <v>1527270</v>
      </c>
      <c r="P367" s="253">
        <v>275000</v>
      </c>
      <c r="Q367" s="253">
        <f t="shared" si="17"/>
        <v>1650000</v>
      </c>
    </row>
    <row r="368" spans="2:17">
      <c r="B368" s="200">
        <v>365</v>
      </c>
      <c r="C368" s="241" t="s">
        <v>1393</v>
      </c>
      <c r="D368" s="242" t="s">
        <v>1386</v>
      </c>
      <c r="E368" s="243" t="s">
        <v>9</v>
      </c>
      <c r="F368" s="244" t="s">
        <v>1394</v>
      </c>
      <c r="G368" s="241"/>
      <c r="H368" s="241" t="s">
        <v>1395</v>
      </c>
      <c r="I368" s="241"/>
      <c r="J368" s="244" t="s">
        <v>50</v>
      </c>
      <c r="K368" s="241" t="s">
        <v>1396</v>
      </c>
      <c r="L368" s="251">
        <v>44767</v>
      </c>
      <c r="M368" s="252">
        <v>254545</v>
      </c>
      <c r="N368" s="241">
        <v>3</v>
      </c>
      <c r="O368" s="253">
        <f t="shared" si="18"/>
        <v>763635</v>
      </c>
      <c r="P368" s="253">
        <v>275000</v>
      </c>
      <c r="Q368" s="253">
        <f t="shared" si="17"/>
        <v>825000</v>
      </c>
    </row>
    <row r="369" spans="2:17">
      <c r="B369" s="200">
        <v>366</v>
      </c>
      <c r="C369" s="241" t="s">
        <v>1397</v>
      </c>
      <c r="D369" s="242" t="s">
        <v>1398</v>
      </c>
      <c r="E369" s="243" t="s">
        <v>11</v>
      </c>
      <c r="F369" s="244" t="s">
        <v>733</v>
      </c>
      <c r="G369" s="241"/>
      <c r="H369" s="241" t="s">
        <v>1399</v>
      </c>
      <c r="I369" s="241"/>
      <c r="J369" s="244" t="s">
        <v>85</v>
      </c>
      <c r="K369" s="241" t="s">
        <v>1400</v>
      </c>
      <c r="L369" s="251">
        <v>44767</v>
      </c>
      <c r="M369" s="252">
        <v>222727</v>
      </c>
      <c r="N369" s="241">
        <v>1</v>
      </c>
      <c r="O369" s="253">
        <f t="shared" si="18"/>
        <v>222727</v>
      </c>
      <c r="P369" s="253">
        <v>279091</v>
      </c>
      <c r="Q369" s="253">
        <f t="shared" si="17"/>
        <v>279091</v>
      </c>
    </row>
    <row r="370" spans="2:17">
      <c r="B370" s="200">
        <v>367</v>
      </c>
      <c r="C370" s="241" t="s">
        <v>1401</v>
      </c>
      <c r="D370" s="242" t="s">
        <v>1402</v>
      </c>
      <c r="E370" s="243" t="s">
        <v>9</v>
      </c>
      <c r="F370" s="244" t="s">
        <v>1403</v>
      </c>
      <c r="G370" s="241"/>
      <c r="H370" s="241" t="s">
        <v>1404</v>
      </c>
      <c r="I370" s="241"/>
      <c r="J370" s="244" t="s">
        <v>50</v>
      </c>
      <c r="K370" s="241" t="s">
        <v>1405</v>
      </c>
      <c r="L370" s="251">
        <v>44769</v>
      </c>
      <c r="M370" s="252">
        <v>254545</v>
      </c>
      <c r="N370" s="241">
        <v>1</v>
      </c>
      <c r="O370" s="253">
        <f t="shared" si="18"/>
        <v>254545</v>
      </c>
      <c r="P370" s="253">
        <v>275000</v>
      </c>
      <c r="Q370" s="253">
        <f t="shared" si="17"/>
        <v>275000</v>
      </c>
    </row>
    <row r="371" spans="2:17">
      <c r="B371" s="200">
        <v>368</v>
      </c>
      <c r="C371" s="241" t="s">
        <v>1406</v>
      </c>
      <c r="D371" s="242" t="s">
        <v>1402</v>
      </c>
      <c r="E371" s="243" t="s">
        <v>9</v>
      </c>
      <c r="F371" s="243" t="s">
        <v>1407</v>
      </c>
      <c r="G371" s="241"/>
      <c r="H371" s="241" t="s">
        <v>1408</v>
      </c>
      <c r="I371" s="241"/>
      <c r="J371" s="244" t="s">
        <v>50</v>
      </c>
      <c r="K371" s="241" t="s">
        <v>1409</v>
      </c>
      <c r="L371" s="251">
        <v>44769</v>
      </c>
      <c r="M371" s="252">
        <v>254545</v>
      </c>
      <c r="N371" s="241">
        <v>1</v>
      </c>
      <c r="O371" s="253">
        <f t="shared" si="18"/>
        <v>254545</v>
      </c>
      <c r="P371" s="253">
        <v>275000</v>
      </c>
      <c r="Q371" s="253">
        <f t="shared" si="17"/>
        <v>275000</v>
      </c>
    </row>
    <row r="372" spans="2:17">
      <c r="B372" s="200">
        <v>369</v>
      </c>
      <c r="C372" s="241" t="s">
        <v>1410</v>
      </c>
      <c r="D372" s="242" t="s">
        <v>1411</v>
      </c>
      <c r="E372" s="243" t="s">
        <v>11</v>
      </c>
      <c r="F372" s="244" t="s">
        <v>1412</v>
      </c>
      <c r="G372" s="241"/>
      <c r="H372" s="241" t="s">
        <v>1361</v>
      </c>
      <c r="I372" s="241"/>
      <c r="J372" s="244" t="s">
        <v>1413</v>
      </c>
      <c r="K372" s="241" t="s">
        <v>1414</v>
      </c>
      <c r="L372" s="251">
        <v>44770</v>
      </c>
      <c r="M372" s="252">
        <v>106575</v>
      </c>
      <c r="N372" s="241">
        <v>2</v>
      </c>
      <c r="O372" s="253">
        <f t="shared" si="18"/>
        <v>213150</v>
      </c>
      <c r="P372" s="253">
        <v>116264</v>
      </c>
      <c r="Q372" s="253">
        <f t="shared" si="17"/>
        <v>232528</v>
      </c>
    </row>
    <row r="373" spans="2:17">
      <c r="B373" s="200">
        <v>370</v>
      </c>
      <c r="C373" s="237" t="s">
        <v>1415</v>
      </c>
      <c r="D373" s="238" t="s">
        <v>1416</v>
      </c>
      <c r="E373" s="239" t="s">
        <v>9</v>
      </c>
      <c r="F373" s="239" t="s">
        <v>1417</v>
      </c>
      <c r="G373" s="237"/>
      <c r="H373" s="237" t="s">
        <v>1418</v>
      </c>
      <c r="I373" s="237"/>
      <c r="J373" s="240" t="s">
        <v>50</v>
      </c>
      <c r="K373" s="237" t="s">
        <v>1419</v>
      </c>
      <c r="L373" s="248">
        <v>44776</v>
      </c>
      <c r="M373" s="249">
        <v>254545</v>
      </c>
      <c r="N373" s="237">
        <v>3</v>
      </c>
      <c r="O373" s="250">
        <f t="shared" si="18"/>
        <v>763635</v>
      </c>
      <c r="P373" s="250">
        <v>275000</v>
      </c>
      <c r="Q373" s="250">
        <f t="shared" si="17"/>
        <v>825000</v>
      </c>
    </row>
    <row r="374" spans="2:17">
      <c r="B374" s="200">
        <v>371</v>
      </c>
      <c r="C374" s="237" t="s">
        <v>1420</v>
      </c>
      <c r="D374" s="238" t="s">
        <v>1421</v>
      </c>
      <c r="E374" s="239" t="s">
        <v>2</v>
      </c>
      <c r="F374" s="239" t="s">
        <v>462</v>
      </c>
      <c r="G374" s="237"/>
      <c r="H374" s="237" t="s">
        <v>1422</v>
      </c>
      <c r="I374" s="237"/>
      <c r="J374" s="240" t="s">
        <v>85</v>
      </c>
      <c r="K374" s="237" t="s">
        <v>1423</v>
      </c>
      <c r="L374" s="248">
        <v>44789</v>
      </c>
      <c r="M374" s="249">
        <v>222727</v>
      </c>
      <c r="N374" s="237">
        <v>53</v>
      </c>
      <c r="O374" s="250">
        <f t="shared" si="18"/>
        <v>11804531</v>
      </c>
      <c r="P374" s="250">
        <f>410000/1.11</f>
        <v>369369.36936936935</v>
      </c>
      <c r="Q374" s="250">
        <f t="shared" si="17"/>
        <v>19576576.576576576</v>
      </c>
    </row>
    <row r="375" spans="2:17">
      <c r="B375" s="200">
        <v>372</v>
      </c>
      <c r="C375" s="237" t="s">
        <v>1424</v>
      </c>
      <c r="D375" s="238" t="s">
        <v>1425</v>
      </c>
      <c r="E375" s="239" t="s">
        <v>2</v>
      </c>
      <c r="F375" s="239" t="s">
        <v>556</v>
      </c>
      <c r="G375" s="237"/>
      <c r="H375" s="237" t="s">
        <v>1426</v>
      </c>
      <c r="I375" s="237"/>
      <c r="J375" s="240" t="s">
        <v>85</v>
      </c>
      <c r="K375" s="237" t="s">
        <v>1427</v>
      </c>
      <c r="L375" s="248">
        <v>44792</v>
      </c>
      <c r="M375" s="249">
        <v>222727</v>
      </c>
      <c r="N375" s="237">
        <v>350</v>
      </c>
      <c r="O375" s="250">
        <f t="shared" si="18"/>
        <v>77954450</v>
      </c>
      <c r="P375" s="250">
        <v>357000</v>
      </c>
      <c r="Q375" s="250">
        <f t="shared" si="17"/>
        <v>124950000</v>
      </c>
    </row>
    <row r="376" spans="2:17">
      <c r="B376" s="200">
        <v>373</v>
      </c>
      <c r="C376" s="237" t="s">
        <v>1428</v>
      </c>
      <c r="D376" s="238" t="s">
        <v>1429</v>
      </c>
      <c r="E376" s="239" t="s">
        <v>11</v>
      </c>
      <c r="F376" s="240" t="s">
        <v>1188</v>
      </c>
      <c r="G376" s="237"/>
      <c r="H376" s="237" t="s">
        <v>1422</v>
      </c>
      <c r="I376" s="237"/>
      <c r="J376" s="240" t="s">
        <v>50</v>
      </c>
      <c r="K376" s="237" t="s">
        <v>1430</v>
      </c>
      <c r="L376" s="248">
        <v>44795</v>
      </c>
      <c r="M376" s="249">
        <v>444545</v>
      </c>
      <c r="N376" s="237">
        <v>1</v>
      </c>
      <c r="O376" s="250">
        <f t="shared" si="18"/>
        <v>444545</v>
      </c>
      <c r="P376" s="250">
        <v>556363.63</v>
      </c>
      <c r="Q376" s="250">
        <f t="shared" si="17"/>
        <v>556363.63</v>
      </c>
    </row>
    <row r="377" spans="2:17">
      <c r="B377" s="200">
        <v>374</v>
      </c>
      <c r="C377" s="237" t="s">
        <v>1431</v>
      </c>
      <c r="D377" s="238" t="s">
        <v>1432</v>
      </c>
      <c r="E377" s="239" t="s">
        <v>1296</v>
      </c>
      <c r="F377" s="240" t="s">
        <v>733</v>
      </c>
      <c r="G377" s="237"/>
      <c r="H377" s="237" t="s">
        <v>1433</v>
      </c>
      <c r="I377" s="237"/>
      <c r="J377" s="240" t="s">
        <v>85</v>
      </c>
      <c r="K377" s="237" t="s">
        <v>1434</v>
      </c>
      <c r="L377" s="248">
        <v>44799</v>
      </c>
      <c r="M377" s="249">
        <v>222727</v>
      </c>
      <c r="N377" s="237">
        <v>1</v>
      </c>
      <c r="O377" s="250">
        <f t="shared" si="18"/>
        <v>222727</v>
      </c>
      <c r="P377" s="250">
        <v>279091</v>
      </c>
      <c r="Q377" s="250">
        <f t="shared" si="17"/>
        <v>279091</v>
      </c>
    </row>
    <row r="378" spans="2:17">
      <c r="B378" s="200">
        <v>375</v>
      </c>
      <c r="C378" s="237" t="s">
        <v>1435</v>
      </c>
      <c r="D378" s="238" t="s">
        <v>1436</v>
      </c>
      <c r="E378" s="239" t="s">
        <v>1437</v>
      </c>
      <c r="F378" s="240" t="s">
        <v>1438</v>
      </c>
      <c r="G378" s="237"/>
      <c r="H378" s="237" t="s">
        <v>1439</v>
      </c>
      <c r="I378" s="237"/>
      <c r="J378" s="240" t="s">
        <v>63</v>
      </c>
      <c r="K378" s="237" t="s">
        <v>1440</v>
      </c>
      <c r="L378" s="248">
        <v>44804</v>
      </c>
      <c r="M378" s="249">
        <v>74181.600000000006</v>
      </c>
      <c r="N378" s="237">
        <v>150</v>
      </c>
      <c r="O378" s="250">
        <f t="shared" si="18"/>
        <v>11127240</v>
      </c>
      <c r="P378" s="250">
        <f>145815/1.11</f>
        <v>131364.86486486485</v>
      </c>
      <c r="Q378" s="250">
        <f t="shared" si="17"/>
        <v>19704729.729729727</v>
      </c>
    </row>
    <row r="379" spans="2:17">
      <c r="B379" s="200">
        <v>376</v>
      </c>
      <c r="C379" s="237" t="s">
        <v>1441</v>
      </c>
      <c r="D379" s="238">
        <v>2500018879</v>
      </c>
      <c r="E379" s="239" t="s">
        <v>10</v>
      </c>
      <c r="F379" s="240" t="s">
        <v>814</v>
      </c>
      <c r="G379" s="237"/>
      <c r="H379" s="237" t="s">
        <v>1442</v>
      </c>
      <c r="I379" s="237"/>
      <c r="J379" s="240" t="s">
        <v>816</v>
      </c>
      <c r="K379" s="237" t="s">
        <v>1384</v>
      </c>
      <c r="L379" s="248">
        <v>44783</v>
      </c>
      <c r="M379" s="249">
        <v>22727</v>
      </c>
      <c r="N379" s="237">
        <v>5</v>
      </c>
      <c r="O379" s="250">
        <f t="shared" si="18"/>
        <v>113635</v>
      </c>
      <c r="P379" s="250">
        <v>29091</v>
      </c>
      <c r="Q379" s="250">
        <f t="shared" si="17"/>
        <v>145455</v>
      </c>
    </row>
    <row r="380" spans="2:17">
      <c r="B380" s="200">
        <v>377</v>
      </c>
      <c r="C380" s="241" t="s">
        <v>1443</v>
      </c>
      <c r="D380" s="242" t="s">
        <v>1444</v>
      </c>
      <c r="E380" s="243" t="s">
        <v>82</v>
      </c>
      <c r="F380" s="244" t="s">
        <v>83</v>
      </c>
      <c r="G380" s="241"/>
      <c r="H380" s="241" t="s">
        <v>1445</v>
      </c>
      <c r="I380" s="241"/>
      <c r="J380" s="244" t="s">
        <v>85</v>
      </c>
      <c r="K380" s="241" t="s">
        <v>1446</v>
      </c>
      <c r="L380" s="251">
        <v>44809</v>
      </c>
      <c r="M380" s="252">
        <v>222727</v>
      </c>
      <c r="N380" s="241">
        <v>84</v>
      </c>
      <c r="O380" s="253">
        <f t="shared" si="18"/>
        <v>18709068</v>
      </c>
      <c r="P380" s="253">
        <v>279090.90999999997</v>
      </c>
      <c r="Q380" s="253">
        <f t="shared" si="17"/>
        <v>23443636.439999998</v>
      </c>
    </row>
    <row r="381" spans="2:17">
      <c r="B381" s="200">
        <v>378</v>
      </c>
      <c r="C381" s="241" t="s">
        <v>1447</v>
      </c>
      <c r="D381" s="242">
        <v>83338</v>
      </c>
      <c r="E381" s="243" t="s">
        <v>17</v>
      </c>
      <c r="F381" s="243" t="s">
        <v>88</v>
      </c>
      <c r="G381" s="241"/>
      <c r="H381" s="241" t="s">
        <v>1448</v>
      </c>
      <c r="I381" s="241"/>
      <c r="J381" s="244" t="s">
        <v>85</v>
      </c>
      <c r="K381" s="241" t="s">
        <v>1449</v>
      </c>
      <c r="L381" s="251">
        <v>44811</v>
      </c>
      <c r="M381" s="252">
        <v>222727</v>
      </c>
      <c r="N381" s="241">
        <v>5</v>
      </c>
      <c r="O381" s="253">
        <f t="shared" si="18"/>
        <v>1113635</v>
      </c>
      <c r="P381" s="253">
        <v>275000</v>
      </c>
      <c r="Q381" s="253">
        <f t="shared" si="17"/>
        <v>1375000</v>
      </c>
    </row>
    <row r="382" spans="2:17">
      <c r="B382" s="200">
        <v>379</v>
      </c>
      <c r="C382" s="241" t="s">
        <v>1450</v>
      </c>
      <c r="D382" s="242">
        <v>83338</v>
      </c>
      <c r="E382" s="243" t="s">
        <v>17</v>
      </c>
      <c r="F382" s="243" t="s">
        <v>88</v>
      </c>
      <c r="G382" s="241"/>
      <c r="H382" s="241" t="s">
        <v>1451</v>
      </c>
      <c r="I382" s="241"/>
      <c r="J382" s="244" t="s">
        <v>85</v>
      </c>
      <c r="K382" s="241" t="s">
        <v>90</v>
      </c>
      <c r="L382" s="251">
        <v>44811</v>
      </c>
      <c r="M382" s="252">
        <v>222727</v>
      </c>
      <c r="N382" s="241">
        <v>24</v>
      </c>
      <c r="O382" s="253">
        <f t="shared" si="18"/>
        <v>5345448</v>
      </c>
      <c r="P382" s="253">
        <v>275000</v>
      </c>
      <c r="Q382" s="253">
        <f t="shared" si="17"/>
        <v>6600000</v>
      </c>
    </row>
    <row r="383" spans="2:17">
      <c r="B383" s="200">
        <v>380</v>
      </c>
      <c r="C383" s="241" t="s">
        <v>1452</v>
      </c>
      <c r="D383" s="242">
        <v>83338</v>
      </c>
      <c r="E383" s="243" t="s">
        <v>17</v>
      </c>
      <c r="F383" s="243" t="s">
        <v>88</v>
      </c>
      <c r="G383" s="241"/>
      <c r="H383" s="241" t="s">
        <v>1448</v>
      </c>
      <c r="I383" s="241"/>
      <c r="J383" s="244" t="s">
        <v>92</v>
      </c>
      <c r="K383" s="241" t="s">
        <v>1453</v>
      </c>
      <c r="L383" s="251">
        <v>44811</v>
      </c>
      <c r="M383" s="252">
        <v>46364</v>
      </c>
      <c r="N383" s="241">
        <v>5</v>
      </c>
      <c r="O383" s="253">
        <f t="shared" si="18"/>
        <v>231820</v>
      </c>
      <c r="P383" s="253">
        <v>57000</v>
      </c>
      <c r="Q383" s="253">
        <f t="shared" si="17"/>
        <v>285000</v>
      </c>
    </row>
    <row r="384" spans="2:17">
      <c r="B384" s="200">
        <v>381</v>
      </c>
      <c r="C384" s="241" t="s">
        <v>1454</v>
      </c>
      <c r="D384" s="242">
        <v>83338</v>
      </c>
      <c r="E384" s="243" t="s">
        <v>17</v>
      </c>
      <c r="F384" s="243" t="s">
        <v>88</v>
      </c>
      <c r="G384" s="241"/>
      <c r="H384" s="241" t="s">
        <v>1451</v>
      </c>
      <c r="I384" s="241"/>
      <c r="J384" s="244" t="s">
        <v>92</v>
      </c>
      <c r="K384" s="241" t="s">
        <v>93</v>
      </c>
      <c r="L384" s="251">
        <v>44811</v>
      </c>
      <c r="M384" s="252">
        <v>46364</v>
      </c>
      <c r="N384" s="241">
        <v>24</v>
      </c>
      <c r="O384" s="253">
        <f t="shared" si="18"/>
        <v>1112736</v>
      </c>
      <c r="P384" s="253">
        <v>57000</v>
      </c>
      <c r="Q384" s="253">
        <f t="shared" si="17"/>
        <v>1368000</v>
      </c>
    </row>
    <row r="385" spans="2:17">
      <c r="B385" s="200">
        <v>382</v>
      </c>
      <c r="C385" s="241" t="s">
        <v>1455</v>
      </c>
      <c r="D385" s="242">
        <v>83338</v>
      </c>
      <c r="E385" s="243" t="s">
        <v>17</v>
      </c>
      <c r="F385" s="243" t="s">
        <v>88</v>
      </c>
      <c r="G385" s="241"/>
      <c r="H385" s="241" t="s">
        <v>1456</v>
      </c>
      <c r="I385" s="241"/>
      <c r="J385" s="244" t="s">
        <v>1457</v>
      </c>
      <c r="K385" s="241" t="s">
        <v>1458</v>
      </c>
      <c r="L385" s="251">
        <v>44811</v>
      </c>
      <c r="M385" s="252">
        <v>216480.5</v>
      </c>
      <c r="N385" s="241">
        <v>3</v>
      </c>
      <c r="O385" s="253">
        <f t="shared" si="18"/>
        <v>649441.5</v>
      </c>
      <c r="P385" s="253">
        <v>533408</v>
      </c>
      <c r="Q385" s="253">
        <f t="shared" si="17"/>
        <v>1600224</v>
      </c>
    </row>
    <row r="386" spans="2:17">
      <c r="B386" s="200">
        <v>383</v>
      </c>
      <c r="C386" s="241" t="s">
        <v>1459</v>
      </c>
      <c r="D386" s="242">
        <v>4800465039</v>
      </c>
      <c r="E386" s="243" t="s">
        <v>12</v>
      </c>
      <c r="F386" s="243" t="s">
        <v>742</v>
      </c>
      <c r="G386" s="241"/>
      <c r="H386" s="241" t="s">
        <v>1460</v>
      </c>
      <c r="I386" s="241"/>
      <c r="J386" s="244" t="s">
        <v>92</v>
      </c>
      <c r="K386" s="241" t="s">
        <v>1461</v>
      </c>
      <c r="L386" s="251">
        <v>44812</v>
      </c>
      <c r="M386" s="252">
        <v>32273</v>
      </c>
      <c r="N386" s="241">
        <v>906</v>
      </c>
      <c r="O386" s="253">
        <f t="shared" si="18"/>
        <v>29239338</v>
      </c>
      <c r="P386" s="253">
        <v>35500</v>
      </c>
      <c r="Q386" s="253">
        <f t="shared" si="17"/>
        <v>32163000</v>
      </c>
    </row>
    <row r="387" spans="2:17">
      <c r="B387" s="200">
        <v>384</v>
      </c>
      <c r="C387" s="241" t="s">
        <v>1462</v>
      </c>
      <c r="D387" s="242" t="s">
        <v>1463</v>
      </c>
      <c r="E387" s="243" t="s">
        <v>11</v>
      </c>
      <c r="F387" s="243" t="s">
        <v>1412</v>
      </c>
      <c r="G387" s="241"/>
      <c r="H387" s="241" t="s">
        <v>1464</v>
      </c>
      <c r="I387" s="241"/>
      <c r="J387" s="244" t="s">
        <v>1413</v>
      </c>
      <c r="K387" s="241" t="s">
        <v>1465</v>
      </c>
      <c r="L387" s="251">
        <v>44812</v>
      </c>
      <c r="M387" s="252">
        <v>106575</v>
      </c>
      <c r="N387" s="241">
        <v>1</v>
      </c>
      <c r="O387" s="253">
        <f t="shared" si="18"/>
        <v>106575</v>
      </c>
      <c r="P387" s="253">
        <v>116264</v>
      </c>
      <c r="Q387" s="253">
        <f t="shared" si="17"/>
        <v>116264</v>
      </c>
    </row>
    <row r="388" spans="2:17">
      <c r="B388" s="200">
        <v>385</v>
      </c>
      <c r="C388" s="241" t="s">
        <v>1466</v>
      </c>
      <c r="D388" s="242" t="s">
        <v>1467</v>
      </c>
      <c r="E388" s="243" t="s">
        <v>1468</v>
      </c>
      <c r="F388" s="244" t="s">
        <v>1276</v>
      </c>
      <c r="G388" s="241"/>
      <c r="H388" s="241" t="s">
        <v>1469</v>
      </c>
      <c r="I388" s="241"/>
      <c r="J388" s="244" t="s">
        <v>85</v>
      </c>
      <c r="K388" s="241" t="s">
        <v>1470</v>
      </c>
      <c r="L388" s="251">
        <v>44812</v>
      </c>
      <c r="M388" s="252">
        <v>222727</v>
      </c>
      <c r="N388" s="241">
        <v>60</v>
      </c>
      <c r="O388" s="253">
        <f t="shared" si="18"/>
        <v>13363620</v>
      </c>
      <c r="P388" s="253">
        <v>367702</v>
      </c>
      <c r="Q388" s="253">
        <f t="shared" si="17"/>
        <v>22062120</v>
      </c>
    </row>
    <row r="389" spans="2:17">
      <c r="B389" s="200">
        <v>386</v>
      </c>
      <c r="C389" s="241" t="s">
        <v>1471</v>
      </c>
      <c r="D389" s="242" t="s">
        <v>2</v>
      </c>
      <c r="E389" s="243" t="s">
        <v>1472</v>
      </c>
      <c r="F389" s="244" t="s">
        <v>131</v>
      </c>
      <c r="G389" s="241"/>
      <c r="H389" s="241" t="s">
        <v>1473</v>
      </c>
      <c r="I389" s="241"/>
      <c r="J389" s="244" t="s">
        <v>50</v>
      </c>
      <c r="K389" s="241" t="s">
        <v>1474</v>
      </c>
      <c r="L389" s="251">
        <v>44824</v>
      </c>
      <c r="M389" s="252">
        <v>351191</v>
      </c>
      <c r="N389" s="241">
        <v>305</v>
      </c>
      <c r="O389" s="253">
        <f t="shared" si="18"/>
        <v>107113255</v>
      </c>
      <c r="P389" s="253">
        <v>449549</v>
      </c>
      <c r="Q389" s="253">
        <f t="shared" si="17"/>
        <v>137112445</v>
      </c>
    </row>
    <row r="390" spans="2:17">
      <c r="B390" s="200">
        <v>387</v>
      </c>
      <c r="C390" s="241" t="s">
        <v>1475</v>
      </c>
      <c r="D390" s="242" t="s">
        <v>1476</v>
      </c>
      <c r="E390" s="243" t="s">
        <v>9</v>
      </c>
      <c r="F390" s="244" t="s">
        <v>1365</v>
      </c>
      <c r="G390" s="241"/>
      <c r="H390" s="241" t="s">
        <v>1477</v>
      </c>
      <c r="I390" s="241"/>
      <c r="J390" s="244" t="s">
        <v>50</v>
      </c>
      <c r="K390" s="241" t="s">
        <v>1478</v>
      </c>
      <c r="L390" s="251">
        <v>44831</v>
      </c>
      <c r="M390" s="252">
        <v>254545</v>
      </c>
      <c r="N390" s="241">
        <v>2</v>
      </c>
      <c r="O390" s="253">
        <f t="shared" si="18"/>
        <v>509090</v>
      </c>
      <c r="P390" s="253">
        <v>275000</v>
      </c>
      <c r="Q390" s="253">
        <f t="shared" si="17"/>
        <v>550000</v>
      </c>
    </row>
    <row r="391" spans="2:17">
      <c r="B391" s="200">
        <v>388</v>
      </c>
      <c r="C391" s="241" t="s">
        <v>1479</v>
      </c>
      <c r="D391" s="242" t="s">
        <v>1480</v>
      </c>
      <c r="E391" s="243" t="s">
        <v>82</v>
      </c>
      <c r="F391" s="243" t="s">
        <v>83</v>
      </c>
      <c r="G391" s="241"/>
      <c r="H391" s="241" t="s">
        <v>1481</v>
      </c>
      <c r="I391" s="241"/>
      <c r="J391" s="244" t="s">
        <v>85</v>
      </c>
      <c r="K391" s="241" t="s">
        <v>1482</v>
      </c>
      <c r="L391" s="251">
        <v>44832</v>
      </c>
      <c r="M391" s="252">
        <v>222727</v>
      </c>
      <c r="N391" s="241">
        <v>165</v>
      </c>
      <c r="O391" s="253">
        <f t="shared" si="18"/>
        <v>36749955</v>
      </c>
      <c r="P391" s="253">
        <v>279090.90999999997</v>
      </c>
      <c r="Q391" s="253">
        <f t="shared" si="17"/>
        <v>46050000.149999999</v>
      </c>
    </row>
    <row r="392" spans="2:17">
      <c r="B392" s="200">
        <v>389</v>
      </c>
      <c r="C392" s="241" t="s">
        <v>1483</v>
      </c>
      <c r="D392" s="242">
        <v>2500024113</v>
      </c>
      <c r="E392" s="243" t="s">
        <v>10</v>
      </c>
      <c r="F392" s="243" t="s">
        <v>814</v>
      </c>
      <c r="G392" s="241"/>
      <c r="H392" s="241" t="s">
        <v>1484</v>
      </c>
      <c r="I392" s="241"/>
      <c r="J392" s="244" t="s">
        <v>816</v>
      </c>
      <c r="K392" s="241" t="s">
        <v>1384</v>
      </c>
      <c r="L392" s="251">
        <v>44783</v>
      </c>
      <c r="M392" s="252">
        <v>22727</v>
      </c>
      <c r="N392" s="241">
        <v>5</v>
      </c>
      <c r="O392" s="253">
        <f t="shared" si="18"/>
        <v>113635</v>
      </c>
      <c r="P392" s="253">
        <v>29091</v>
      </c>
      <c r="Q392" s="253">
        <f t="shared" si="17"/>
        <v>145455</v>
      </c>
    </row>
    <row r="393" spans="2:17">
      <c r="B393" s="200">
        <v>390</v>
      </c>
      <c r="C393" s="237" t="s">
        <v>1485</v>
      </c>
      <c r="D393" s="238">
        <v>4800470092</v>
      </c>
      <c r="E393" s="239" t="s">
        <v>12</v>
      </c>
      <c r="F393" s="239" t="s">
        <v>466</v>
      </c>
      <c r="G393" s="237"/>
      <c r="H393" s="237" t="s">
        <v>1486</v>
      </c>
      <c r="I393" s="237"/>
      <c r="J393" s="240" t="s">
        <v>85</v>
      </c>
      <c r="K393" s="237" t="s">
        <v>1487</v>
      </c>
      <c r="L393" s="248">
        <v>44859</v>
      </c>
      <c r="M393" s="249">
        <v>222727</v>
      </c>
      <c r="N393" s="237">
        <v>95</v>
      </c>
      <c r="O393" s="250">
        <f t="shared" si="18"/>
        <v>21159065</v>
      </c>
      <c r="P393" s="250">
        <v>257182</v>
      </c>
      <c r="Q393" s="250">
        <f t="shared" si="17"/>
        <v>24432290</v>
      </c>
    </row>
    <row r="394" spans="2:17" s="1" customFormat="1" ht="12.75">
      <c r="B394" s="200">
        <v>391</v>
      </c>
      <c r="C394" s="237" t="s">
        <v>1488</v>
      </c>
      <c r="D394" s="238">
        <v>2500026864</v>
      </c>
      <c r="E394" s="239" t="s">
        <v>11</v>
      </c>
      <c r="F394" s="240" t="s">
        <v>814</v>
      </c>
      <c r="G394" s="237"/>
      <c r="H394" s="237" t="s">
        <v>1489</v>
      </c>
      <c r="I394" s="237"/>
      <c r="J394" s="240" t="s">
        <v>816</v>
      </c>
      <c r="K394" s="237" t="s">
        <v>1384</v>
      </c>
      <c r="L394" s="248">
        <v>44848</v>
      </c>
      <c r="M394" s="249">
        <v>22727</v>
      </c>
      <c r="N394" s="237">
        <v>5</v>
      </c>
      <c r="O394" s="250">
        <f t="shared" si="18"/>
        <v>113635</v>
      </c>
      <c r="P394" s="250">
        <v>29091</v>
      </c>
      <c r="Q394" s="250">
        <f t="shared" si="17"/>
        <v>145455</v>
      </c>
    </row>
    <row r="395" spans="2:17" s="1" customFormat="1" ht="12.75">
      <c r="B395" s="200">
        <v>392</v>
      </c>
      <c r="C395" s="237" t="s">
        <v>1490</v>
      </c>
      <c r="D395" s="238">
        <v>2500026864</v>
      </c>
      <c r="E395" s="239" t="s">
        <v>11</v>
      </c>
      <c r="F395" s="240" t="s">
        <v>814</v>
      </c>
      <c r="G395" s="237"/>
      <c r="H395" s="237" t="s">
        <v>1491</v>
      </c>
      <c r="I395" s="237"/>
      <c r="J395" s="240" t="s">
        <v>816</v>
      </c>
      <c r="K395" s="237" t="s">
        <v>1492</v>
      </c>
      <c r="L395" s="248">
        <v>44848</v>
      </c>
      <c r="M395" s="249">
        <v>22727</v>
      </c>
      <c r="N395" s="237">
        <v>10</v>
      </c>
      <c r="O395" s="250">
        <f t="shared" si="18"/>
        <v>227270</v>
      </c>
      <c r="P395" s="250">
        <v>29091</v>
      </c>
      <c r="Q395" s="250">
        <f t="shared" si="17"/>
        <v>290910</v>
      </c>
    </row>
    <row r="396" spans="2:17">
      <c r="B396" s="200">
        <v>393</v>
      </c>
      <c r="C396" s="241" t="s">
        <v>1493</v>
      </c>
      <c r="D396" s="242" t="s">
        <v>1494</v>
      </c>
      <c r="E396" s="243" t="s">
        <v>1495</v>
      </c>
      <c r="F396" s="244" t="s">
        <v>1438</v>
      </c>
      <c r="G396" s="241"/>
      <c r="H396" s="241" t="s">
        <v>1496</v>
      </c>
      <c r="I396" s="241"/>
      <c r="J396" s="244" t="s">
        <v>63</v>
      </c>
      <c r="K396" s="241" t="s">
        <v>1497</v>
      </c>
      <c r="L396" s="251">
        <v>44881</v>
      </c>
      <c r="M396" s="252">
        <v>74181.600000000006</v>
      </c>
      <c r="N396" s="241">
        <v>113</v>
      </c>
      <c r="O396" s="253">
        <f t="shared" si="18"/>
        <v>8382520.8000000007</v>
      </c>
      <c r="P396" s="253">
        <f>149000/1.11</f>
        <v>134234.23423423423</v>
      </c>
      <c r="Q396" s="253">
        <f t="shared" si="17"/>
        <v>15168468.468468469</v>
      </c>
    </row>
    <row r="397" spans="2:17">
      <c r="B397" s="200">
        <v>394</v>
      </c>
      <c r="C397" s="241" t="s">
        <v>1498</v>
      </c>
      <c r="D397" s="242" t="s">
        <v>1499</v>
      </c>
      <c r="E397" s="243" t="s">
        <v>7</v>
      </c>
      <c r="F397" s="243" t="s">
        <v>83</v>
      </c>
      <c r="G397" s="241"/>
      <c r="H397" s="241" t="s">
        <v>1500</v>
      </c>
      <c r="I397" s="241"/>
      <c r="J397" s="244" t="s">
        <v>85</v>
      </c>
      <c r="K397" s="241" t="s">
        <v>1501</v>
      </c>
      <c r="L397" s="251">
        <v>44886</v>
      </c>
      <c r="M397" s="252">
        <v>222727</v>
      </c>
      <c r="N397" s="241">
        <v>154</v>
      </c>
      <c r="O397" s="253">
        <f t="shared" si="18"/>
        <v>34299958</v>
      </c>
      <c r="P397" s="253">
        <v>279090.90999999997</v>
      </c>
      <c r="Q397" s="253">
        <f t="shared" si="17"/>
        <v>42980000.139999993</v>
      </c>
    </row>
    <row r="398" spans="2:17">
      <c r="B398" s="200">
        <v>395</v>
      </c>
      <c r="C398" s="241" t="s">
        <v>1502</v>
      </c>
      <c r="D398" s="242">
        <v>2500030158</v>
      </c>
      <c r="E398" s="243" t="s">
        <v>10</v>
      </c>
      <c r="F398" s="243" t="s">
        <v>1503</v>
      </c>
      <c r="G398" s="241"/>
      <c r="H398" s="241" t="s">
        <v>1504</v>
      </c>
      <c r="I398" s="241"/>
      <c r="J398" s="244" t="s">
        <v>816</v>
      </c>
      <c r="K398" s="241" t="s">
        <v>1505</v>
      </c>
      <c r="L398" s="251">
        <v>44874</v>
      </c>
      <c r="M398" s="252">
        <v>22727</v>
      </c>
      <c r="N398" s="241">
        <v>15</v>
      </c>
      <c r="O398" s="253">
        <f t="shared" si="18"/>
        <v>340905</v>
      </c>
      <c r="P398" s="253">
        <v>29091</v>
      </c>
      <c r="Q398" s="253">
        <f t="shared" ref="Q398:Q439" si="19">P398*N398</f>
        <v>436365</v>
      </c>
    </row>
    <row r="399" spans="2:17">
      <c r="B399" s="200">
        <v>396</v>
      </c>
      <c r="C399" s="241" t="s">
        <v>1506</v>
      </c>
      <c r="D399" s="242" t="s">
        <v>1507</v>
      </c>
      <c r="E399" s="243" t="s">
        <v>11</v>
      </c>
      <c r="F399" s="243" t="s">
        <v>1188</v>
      </c>
      <c r="G399" s="241"/>
      <c r="H399" s="241" t="s">
        <v>1508</v>
      </c>
      <c r="I399" s="241"/>
      <c r="J399" s="244" t="s">
        <v>50</v>
      </c>
      <c r="K399" s="241" t="s">
        <v>1509</v>
      </c>
      <c r="L399" s="251">
        <v>44888</v>
      </c>
      <c r="M399" s="252">
        <v>444545</v>
      </c>
      <c r="N399" s="241">
        <v>28</v>
      </c>
      <c r="O399" s="253">
        <f t="shared" si="18"/>
        <v>12447260</v>
      </c>
      <c r="P399" s="253">
        <v>556364</v>
      </c>
      <c r="Q399" s="253">
        <f t="shared" si="19"/>
        <v>15578192</v>
      </c>
    </row>
    <row r="400" spans="2:17">
      <c r="B400" s="200">
        <v>397</v>
      </c>
      <c r="C400" s="241" t="s">
        <v>1510</v>
      </c>
      <c r="D400" s="242" t="s">
        <v>1511</v>
      </c>
      <c r="E400" s="243" t="s">
        <v>1437</v>
      </c>
      <c r="F400" s="243" t="s">
        <v>1512</v>
      </c>
      <c r="G400" s="241"/>
      <c r="H400" s="241" t="s">
        <v>1513</v>
      </c>
      <c r="I400" s="241"/>
      <c r="J400" s="244" t="s">
        <v>85</v>
      </c>
      <c r="K400" s="241" t="s">
        <v>1514</v>
      </c>
      <c r="L400" s="251">
        <v>44888</v>
      </c>
      <c r="M400" s="252">
        <v>222727</v>
      </c>
      <c r="N400" s="241">
        <v>11</v>
      </c>
      <c r="O400" s="253">
        <f t="shared" si="18"/>
        <v>2449997</v>
      </c>
      <c r="P400" s="253">
        <v>281184</v>
      </c>
      <c r="Q400" s="253">
        <f t="shared" si="19"/>
        <v>3093024</v>
      </c>
    </row>
    <row r="401" spans="2:17">
      <c r="B401" s="200">
        <v>398</v>
      </c>
      <c r="C401" s="237" t="s">
        <v>1515</v>
      </c>
      <c r="D401" s="238" t="s">
        <v>1516</v>
      </c>
      <c r="E401" s="239" t="s">
        <v>11</v>
      </c>
      <c r="F401" s="239" t="s">
        <v>1517</v>
      </c>
      <c r="G401" s="237"/>
      <c r="H401" s="237" t="s">
        <v>1518</v>
      </c>
      <c r="I401" s="237"/>
      <c r="J401" s="240" t="s">
        <v>1519</v>
      </c>
      <c r="K401" s="237" t="s">
        <v>1520</v>
      </c>
      <c r="L401" s="248">
        <v>44896</v>
      </c>
      <c r="M401" s="249">
        <v>43636</v>
      </c>
      <c r="N401" s="237">
        <v>40</v>
      </c>
      <c r="O401" s="250">
        <f t="shared" si="18"/>
        <v>1745440</v>
      </c>
      <c r="P401" s="250">
        <v>57300</v>
      </c>
      <c r="Q401" s="250">
        <f t="shared" si="19"/>
        <v>2292000</v>
      </c>
    </row>
    <row r="402" spans="2:17">
      <c r="B402" s="200">
        <v>399</v>
      </c>
      <c r="C402" s="237" t="s">
        <v>1521</v>
      </c>
      <c r="D402" s="238" t="s">
        <v>1522</v>
      </c>
      <c r="E402" s="239" t="s">
        <v>11</v>
      </c>
      <c r="F402" s="239" t="s">
        <v>1517</v>
      </c>
      <c r="G402" s="237"/>
      <c r="H402" s="237" t="s">
        <v>1523</v>
      </c>
      <c r="I402" s="237"/>
      <c r="J402" s="240" t="s">
        <v>1519</v>
      </c>
      <c r="K402" s="237" t="s">
        <v>1524</v>
      </c>
      <c r="L402" s="248">
        <v>44900</v>
      </c>
      <c r="M402" s="249">
        <v>43636</v>
      </c>
      <c r="N402" s="237">
        <v>60</v>
      </c>
      <c r="O402" s="250">
        <f t="shared" si="18"/>
        <v>2618160</v>
      </c>
      <c r="P402" s="250">
        <v>57300</v>
      </c>
      <c r="Q402" s="250">
        <f t="shared" si="19"/>
        <v>3438000</v>
      </c>
    </row>
    <row r="403" spans="2:17" s="1" customFormat="1" ht="12.75">
      <c r="B403" s="200">
        <v>400</v>
      </c>
      <c r="C403" s="237" t="s">
        <v>1525</v>
      </c>
      <c r="D403" s="238" t="s">
        <v>2</v>
      </c>
      <c r="E403" s="239" t="s">
        <v>2</v>
      </c>
      <c r="F403" s="240" t="s">
        <v>1526</v>
      </c>
      <c r="G403" s="237"/>
      <c r="H403" s="237" t="s">
        <v>1527</v>
      </c>
      <c r="I403" s="237"/>
      <c r="J403" s="240" t="s">
        <v>1528</v>
      </c>
      <c r="K403" s="237" t="s">
        <v>1529</v>
      </c>
      <c r="L403" s="248">
        <v>44903</v>
      </c>
      <c r="M403" s="249">
        <v>36081</v>
      </c>
      <c r="N403" s="237">
        <v>3</v>
      </c>
      <c r="O403" s="250">
        <f t="shared" si="18"/>
        <v>108243</v>
      </c>
      <c r="P403" s="250">
        <f>49950/1.11</f>
        <v>44999.999999999993</v>
      </c>
      <c r="Q403" s="250">
        <f t="shared" si="19"/>
        <v>134999.99999999997</v>
      </c>
    </row>
    <row r="404" spans="2:17" s="1" customFormat="1" ht="12.75">
      <c r="B404" s="200">
        <v>401</v>
      </c>
      <c r="C404" s="237" t="s">
        <v>1530</v>
      </c>
      <c r="D404" s="238" t="s">
        <v>2</v>
      </c>
      <c r="E404" s="239" t="s">
        <v>2</v>
      </c>
      <c r="F404" s="240" t="s">
        <v>1526</v>
      </c>
      <c r="G404" s="237"/>
      <c r="H404" s="237" t="s">
        <v>1527</v>
      </c>
      <c r="I404" s="237"/>
      <c r="J404" s="240" t="s">
        <v>1528</v>
      </c>
      <c r="K404" s="237" t="s">
        <v>1531</v>
      </c>
      <c r="L404" s="248">
        <v>44903</v>
      </c>
      <c r="M404" s="249">
        <v>36081</v>
      </c>
      <c r="N404" s="237">
        <v>3</v>
      </c>
      <c r="O404" s="250">
        <f t="shared" si="18"/>
        <v>108243</v>
      </c>
      <c r="P404" s="250">
        <f>49950/1.11</f>
        <v>44999.999999999993</v>
      </c>
      <c r="Q404" s="250">
        <f t="shared" si="19"/>
        <v>134999.99999999997</v>
      </c>
    </row>
    <row r="405" spans="2:17">
      <c r="B405" s="200">
        <v>402</v>
      </c>
      <c r="C405" s="237" t="s">
        <v>1532</v>
      </c>
      <c r="D405" s="238" t="s">
        <v>1533</v>
      </c>
      <c r="E405" s="239" t="s">
        <v>11</v>
      </c>
      <c r="F405" s="239" t="s">
        <v>1517</v>
      </c>
      <c r="G405" s="237"/>
      <c r="H405" s="237" t="s">
        <v>1534</v>
      </c>
      <c r="I405" s="237"/>
      <c r="J405" s="240" t="s">
        <v>1519</v>
      </c>
      <c r="K405" s="237" t="s">
        <v>1535</v>
      </c>
      <c r="L405" s="248">
        <v>44905</v>
      </c>
      <c r="M405" s="249">
        <v>43636</v>
      </c>
      <c r="N405" s="237">
        <v>700</v>
      </c>
      <c r="O405" s="250">
        <f t="shared" si="18"/>
        <v>30545200</v>
      </c>
      <c r="P405" s="250">
        <v>57300</v>
      </c>
      <c r="Q405" s="250">
        <f t="shared" si="19"/>
        <v>40110000</v>
      </c>
    </row>
    <row r="406" spans="2:17" s="1" customFormat="1" ht="12.75">
      <c r="B406" s="200">
        <v>403</v>
      </c>
      <c r="C406" s="237" t="s">
        <v>1536</v>
      </c>
      <c r="D406" s="238">
        <v>84404</v>
      </c>
      <c r="E406" s="239" t="s">
        <v>17</v>
      </c>
      <c r="F406" s="240" t="s">
        <v>114</v>
      </c>
      <c r="G406" s="237"/>
      <c r="H406" s="237" t="s">
        <v>1537</v>
      </c>
      <c r="I406" s="237"/>
      <c r="J406" s="240" t="s">
        <v>85</v>
      </c>
      <c r="K406" s="237" t="s">
        <v>1538</v>
      </c>
      <c r="L406" s="248">
        <v>44907</v>
      </c>
      <c r="M406" s="249">
        <v>222727</v>
      </c>
      <c r="N406" s="237">
        <v>49</v>
      </c>
      <c r="O406" s="250">
        <f t="shared" si="18"/>
        <v>10913623</v>
      </c>
      <c r="P406" s="250">
        <v>279091</v>
      </c>
      <c r="Q406" s="250">
        <f t="shared" si="19"/>
        <v>13675459</v>
      </c>
    </row>
    <row r="407" spans="2:17">
      <c r="B407" s="200">
        <v>404</v>
      </c>
      <c r="C407" s="237" t="s">
        <v>1539</v>
      </c>
      <c r="D407" s="238">
        <v>84404</v>
      </c>
      <c r="E407" s="239" t="s">
        <v>17</v>
      </c>
      <c r="F407" s="240" t="s">
        <v>114</v>
      </c>
      <c r="G407" s="237"/>
      <c r="H407" s="237" t="s">
        <v>1537</v>
      </c>
      <c r="I407" s="237"/>
      <c r="J407" s="240" t="s">
        <v>92</v>
      </c>
      <c r="K407" s="237" t="s">
        <v>116</v>
      </c>
      <c r="L407" s="248">
        <v>44907</v>
      </c>
      <c r="M407" s="249">
        <v>46364</v>
      </c>
      <c r="N407" s="237">
        <v>49</v>
      </c>
      <c r="O407" s="250">
        <f t="shared" si="18"/>
        <v>2271836</v>
      </c>
      <c r="P407" s="250">
        <v>58182</v>
      </c>
      <c r="Q407" s="250">
        <f t="shared" si="19"/>
        <v>2850918</v>
      </c>
    </row>
    <row r="408" spans="2:17" s="1" customFormat="1" ht="12.75">
      <c r="B408" s="200">
        <v>405</v>
      </c>
      <c r="C408" s="237" t="s">
        <v>1540</v>
      </c>
      <c r="D408" s="238">
        <v>84404</v>
      </c>
      <c r="E408" s="239" t="s">
        <v>17</v>
      </c>
      <c r="F408" s="240" t="s">
        <v>114</v>
      </c>
      <c r="G408" s="237"/>
      <c r="H408" s="237" t="s">
        <v>1541</v>
      </c>
      <c r="I408" s="237"/>
      <c r="J408" s="240" t="s">
        <v>85</v>
      </c>
      <c r="K408" s="237" t="s">
        <v>1542</v>
      </c>
      <c r="L408" s="248">
        <v>44907</v>
      </c>
      <c r="M408" s="249">
        <v>171818</v>
      </c>
      <c r="N408" s="237">
        <v>20</v>
      </c>
      <c r="O408" s="250">
        <f t="shared" si="18"/>
        <v>3436360</v>
      </c>
      <c r="P408" s="250">
        <v>279091</v>
      </c>
      <c r="Q408" s="250">
        <f t="shared" si="19"/>
        <v>5581820</v>
      </c>
    </row>
    <row r="409" spans="2:17" s="1" customFormat="1" ht="12.75">
      <c r="B409" s="200">
        <v>406</v>
      </c>
      <c r="C409" s="237" t="s">
        <v>1543</v>
      </c>
      <c r="D409" s="238">
        <v>84404</v>
      </c>
      <c r="E409" s="239" t="s">
        <v>17</v>
      </c>
      <c r="F409" s="240" t="s">
        <v>114</v>
      </c>
      <c r="G409" s="237"/>
      <c r="H409" s="237" t="s">
        <v>1541</v>
      </c>
      <c r="I409" s="237"/>
      <c r="J409" s="240" t="s">
        <v>92</v>
      </c>
      <c r="K409" s="237" t="s">
        <v>118</v>
      </c>
      <c r="L409" s="248">
        <v>44907</v>
      </c>
      <c r="M409" s="249">
        <v>40909</v>
      </c>
      <c r="N409" s="237">
        <v>20</v>
      </c>
      <c r="O409" s="250">
        <f t="shared" si="18"/>
        <v>818180</v>
      </c>
      <c r="P409" s="250">
        <v>58182</v>
      </c>
      <c r="Q409" s="250">
        <f t="shared" si="19"/>
        <v>1163640</v>
      </c>
    </row>
    <row r="410" spans="2:17" s="1" customFormat="1" ht="12.75">
      <c r="B410" s="200">
        <v>407</v>
      </c>
      <c r="C410" s="237" t="s">
        <v>1544</v>
      </c>
      <c r="D410" s="238">
        <v>84404</v>
      </c>
      <c r="E410" s="239" t="s">
        <v>17</v>
      </c>
      <c r="F410" s="240" t="s">
        <v>114</v>
      </c>
      <c r="G410" s="237"/>
      <c r="H410" s="237" t="s">
        <v>1545</v>
      </c>
      <c r="I410" s="237"/>
      <c r="J410" s="240" t="s">
        <v>1457</v>
      </c>
      <c r="K410" s="237" t="s">
        <v>1546</v>
      </c>
      <c r="L410" s="248">
        <v>44907</v>
      </c>
      <c r="M410" s="249">
        <v>216480.5</v>
      </c>
      <c r="N410" s="237">
        <v>1</v>
      </c>
      <c r="O410" s="250">
        <f t="shared" si="18"/>
        <v>216480.5</v>
      </c>
      <c r="P410" s="250">
        <v>533408</v>
      </c>
      <c r="Q410" s="250">
        <f t="shared" si="19"/>
        <v>533408</v>
      </c>
    </row>
    <row r="411" spans="2:17">
      <c r="B411" s="200">
        <v>408</v>
      </c>
      <c r="C411" s="237" t="s">
        <v>1547</v>
      </c>
      <c r="D411" s="238" t="s">
        <v>1548</v>
      </c>
      <c r="E411" s="239" t="s">
        <v>11</v>
      </c>
      <c r="F411" s="239" t="s">
        <v>1517</v>
      </c>
      <c r="G411" s="237"/>
      <c r="H411" s="237" t="s">
        <v>1549</v>
      </c>
      <c r="I411" s="237"/>
      <c r="J411" s="240" t="s">
        <v>1519</v>
      </c>
      <c r="K411" s="237" t="s">
        <v>1550</v>
      </c>
      <c r="L411" s="248">
        <v>44907</v>
      </c>
      <c r="M411" s="249">
        <v>43636</v>
      </c>
      <c r="N411" s="237">
        <v>300</v>
      </c>
      <c r="O411" s="250">
        <f t="shared" si="18"/>
        <v>13090800</v>
      </c>
      <c r="P411" s="250">
        <v>57300</v>
      </c>
      <c r="Q411" s="250">
        <f t="shared" si="19"/>
        <v>17190000</v>
      </c>
    </row>
    <row r="412" spans="2:17">
      <c r="B412" s="200">
        <v>409</v>
      </c>
      <c r="C412" s="237" t="s">
        <v>1551</v>
      </c>
      <c r="D412" s="238" t="s">
        <v>1552</v>
      </c>
      <c r="E412" s="239" t="s">
        <v>11</v>
      </c>
      <c r="F412" s="240" t="s">
        <v>733</v>
      </c>
      <c r="G412" s="237"/>
      <c r="H412" s="237" t="s">
        <v>1553</v>
      </c>
      <c r="I412" s="237"/>
      <c r="J412" s="240" t="s">
        <v>85</v>
      </c>
      <c r="K412" s="237" t="s">
        <v>1554</v>
      </c>
      <c r="L412" s="248">
        <v>44910</v>
      </c>
      <c r="M412" s="249">
        <v>222727</v>
      </c>
      <c r="N412" s="237">
        <v>105</v>
      </c>
      <c r="O412" s="250">
        <f t="shared" si="18"/>
        <v>23386335</v>
      </c>
      <c r="P412" s="250">
        <v>279091</v>
      </c>
      <c r="Q412" s="250">
        <f t="shared" si="19"/>
        <v>29304555</v>
      </c>
    </row>
    <row r="413" spans="2:17" s="1" customFormat="1" ht="12.75">
      <c r="B413" s="200">
        <v>410</v>
      </c>
      <c r="C413" s="237" t="s">
        <v>1555</v>
      </c>
      <c r="D413" s="238" t="s">
        <v>2</v>
      </c>
      <c r="E413" s="239" t="s">
        <v>2</v>
      </c>
      <c r="F413" s="240" t="s">
        <v>1526</v>
      </c>
      <c r="G413" s="237"/>
      <c r="H413" s="237" t="s">
        <v>1556</v>
      </c>
      <c r="I413" s="237"/>
      <c r="J413" s="240" t="s">
        <v>1457</v>
      </c>
      <c r="K413" s="237" t="s">
        <v>1557</v>
      </c>
      <c r="L413" s="248">
        <v>44911</v>
      </c>
      <c r="M413" s="249">
        <v>432961</v>
      </c>
      <c r="N413" s="237">
        <v>1</v>
      </c>
      <c r="O413" s="250">
        <f t="shared" si="18"/>
        <v>432961</v>
      </c>
      <c r="P413" s="250">
        <f>592083/1.11</f>
        <v>533408.10810810805</v>
      </c>
      <c r="Q413" s="250">
        <f t="shared" si="19"/>
        <v>533408.10810810805</v>
      </c>
    </row>
    <row r="414" spans="2:17" s="1" customFormat="1" ht="12.75">
      <c r="B414" s="259">
        <v>411</v>
      </c>
      <c r="C414" s="45" t="s">
        <v>1558</v>
      </c>
      <c r="D414" s="46" t="s">
        <v>2</v>
      </c>
      <c r="E414" s="47" t="s">
        <v>2</v>
      </c>
      <c r="F414" s="49" t="s">
        <v>1526</v>
      </c>
      <c r="G414" s="45"/>
      <c r="H414" s="45" t="s">
        <v>1556</v>
      </c>
      <c r="I414" s="45"/>
      <c r="J414" s="49" t="s">
        <v>1457</v>
      </c>
      <c r="K414" s="45" t="s">
        <v>1559</v>
      </c>
      <c r="L414" s="102">
        <v>44911</v>
      </c>
      <c r="M414" s="103">
        <v>432961</v>
      </c>
      <c r="N414" s="45">
        <v>2</v>
      </c>
      <c r="O414" s="120">
        <f t="shared" si="18"/>
        <v>865922</v>
      </c>
      <c r="P414" s="120">
        <f>592083/1.11</f>
        <v>533408.10810810805</v>
      </c>
      <c r="Q414" s="250">
        <f t="shared" si="19"/>
        <v>1066816.2162162161</v>
      </c>
    </row>
    <row r="415" spans="2:17" s="1" customFormat="1" ht="12.75">
      <c r="B415" s="259">
        <v>412</v>
      </c>
      <c r="C415" s="45" t="s">
        <v>1560</v>
      </c>
      <c r="D415" s="46" t="s">
        <v>1561</v>
      </c>
      <c r="E415" s="47" t="s">
        <v>9</v>
      </c>
      <c r="F415" s="49" t="s">
        <v>1562</v>
      </c>
      <c r="G415" s="45"/>
      <c r="H415" s="45" t="s">
        <v>1563</v>
      </c>
      <c r="I415" s="45"/>
      <c r="J415" s="49" t="s">
        <v>50</v>
      </c>
      <c r="K415" s="45" t="s">
        <v>1564</v>
      </c>
      <c r="L415" s="102">
        <v>44915</v>
      </c>
      <c r="M415" s="103">
        <v>254545</v>
      </c>
      <c r="N415" s="45">
        <v>5</v>
      </c>
      <c r="O415" s="120">
        <f t="shared" si="18"/>
        <v>1272725</v>
      </c>
      <c r="P415" s="120">
        <v>275000</v>
      </c>
      <c r="Q415" s="250">
        <f t="shared" si="19"/>
        <v>1375000</v>
      </c>
    </row>
    <row r="416" spans="2:17" s="1" customFormat="1" ht="12.75">
      <c r="B416" s="260">
        <v>413</v>
      </c>
      <c r="C416" s="45" t="s">
        <v>1565</v>
      </c>
      <c r="D416" s="46" t="s">
        <v>1515</v>
      </c>
      <c r="E416" s="47" t="s">
        <v>1468</v>
      </c>
      <c r="F416" s="49" t="s">
        <v>1566</v>
      </c>
      <c r="G416" s="45"/>
      <c r="H416" s="45" t="s">
        <v>1567</v>
      </c>
      <c r="I416" s="45"/>
      <c r="J416" s="49" t="s">
        <v>85</v>
      </c>
      <c r="K416" s="45" t="s">
        <v>1568</v>
      </c>
      <c r="L416" s="102">
        <v>44916</v>
      </c>
      <c r="M416" s="103">
        <v>222727</v>
      </c>
      <c r="N416" s="45">
        <v>105</v>
      </c>
      <c r="O416" s="120">
        <f t="shared" si="18"/>
        <v>23386335</v>
      </c>
      <c r="P416" s="120">
        <v>273292</v>
      </c>
      <c r="Q416" s="250">
        <f t="shared" si="19"/>
        <v>28695660</v>
      </c>
    </row>
    <row r="417" spans="2:17">
      <c r="B417" s="259">
        <v>414</v>
      </c>
      <c r="C417" s="54" t="s">
        <v>1569</v>
      </c>
      <c r="D417" s="55" t="s">
        <v>1570</v>
      </c>
      <c r="E417" s="56" t="s">
        <v>10</v>
      </c>
      <c r="F417" s="59" t="s">
        <v>814</v>
      </c>
      <c r="G417" s="55"/>
      <c r="H417" s="104" t="s">
        <v>1571</v>
      </c>
      <c r="I417" s="55"/>
      <c r="J417" s="105" t="s">
        <v>816</v>
      </c>
      <c r="K417" s="106" t="s">
        <v>1572</v>
      </c>
      <c r="L417" s="107">
        <v>44931</v>
      </c>
      <c r="M417" s="108">
        <v>22727</v>
      </c>
      <c r="N417" s="70">
        <v>2</v>
      </c>
      <c r="O417" s="121">
        <f t="shared" si="18"/>
        <v>45454</v>
      </c>
      <c r="P417" s="121">
        <v>29091</v>
      </c>
      <c r="Q417" s="271">
        <f t="shared" si="19"/>
        <v>58182</v>
      </c>
    </row>
    <row r="418" spans="2:17" ht="15.75" customHeight="1">
      <c r="B418" s="259">
        <v>415</v>
      </c>
      <c r="C418" s="261" t="s">
        <v>1573</v>
      </c>
      <c r="D418" s="262" t="s">
        <v>1574</v>
      </c>
      <c r="E418" s="62" t="s">
        <v>10</v>
      </c>
      <c r="F418" s="63" t="s">
        <v>814</v>
      </c>
      <c r="G418" s="262"/>
      <c r="H418" s="109" t="s">
        <v>1575</v>
      </c>
      <c r="I418" s="266"/>
      <c r="J418" s="105" t="s">
        <v>816</v>
      </c>
      <c r="K418" s="267" t="s">
        <v>1576</v>
      </c>
      <c r="L418" s="268">
        <v>44936</v>
      </c>
      <c r="M418" s="108">
        <v>22727</v>
      </c>
      <c r="N418" s="70">
        <v>4</v>
      </c>
      <c r="O418" s="121">
        <f t="shared" si="18"/>
        <v>90908</v>
      </c>
      <c r="P418" s="121">
        <v>29091</v>
      </c>
      <c r="Q418" s="271">
        <f t="shared" si="19"/>
        <v>116364</v>
      </c>
    </row>
    <row r="419" spans="2:17">
      <c r="B419" s="260">
        <v>416</v>
      </c>
      <c r="C419" s="263" t="s">
        <v>1577</v>
      </c>
      <c r="D419" s="264" t="s">
        <v>1574</v>
      </c>
      <c r="E419" s="56" t="s">
        <v>10</v>
      </c>
      <c r="F419" s="59" t="s">
        <v>814</v>
      </c>
      <c r="G419" s="262"/>
      <c r="H419" s="109" t="s">
        <v>1578</v>
      </c>
      <c r="I419" s="269"/>
      <c r="J419" s="105" t="s">
        <v>816</v>
      </c>
      <c r="K419" s="70" t="s">
        <v>1505</v>
      </c>
      <c r="L419" s="268">
        <v>44936</v>
      </c>
      <c r="M419" s="108">
        <v>22727</v>
      </c>
      <c r="N419" s="70">
        <v>15</v>
      </c>
      <c r="O419" s="121">
        <f t="shared" si="18"/>
        <v>340905</v>
      </c>
      <c r="P419" s="121">
        <v>29091</v>
      </c>
      <c r="Q419" s="271">
        <f t="shared" si="19"/>
        <v>436365</v>
      </c>
    </row>
    <row r="420" spans="2:17">
      <c r="B420" s="259">
        <v>417</v>
      </c>
      <c r="C420" s="261" t="s">
        <v>1579</v>
      </c>
      <c r="D420" s="265" t="s">
        <v>1580</v>
      </c>
      <c r="E420" s="62" t="s">
        <v>11</v>
      </c>
      <c r="F420" s="63" t="s">
        <v>1581</v>
      </c>
      <c r="G420" s="262"/>
      <c r="H420" s="61" t="s">
        <v>1582</v>
      </c>
      <c r="I420" s="266"/>
      <c r="J420" s="105" t="s">
        <v>85</v>
      </c>
      <c r="K420" s="267" t="s">
        <v>1583</v>
      </c>
      <c r="L420" s="268">
        <v>44929</v>
      </c>
      <c r="M420" s="270">
        <v>222727</v>
      </c>
      <c r="N420" s="70">
        <v>2</v>
      </c>
      <c r="O420" s="121">
        <f t="shared" si="18"/>
        <v>445454</v>
      </c>
      <c r="P420" s="271">
        <v>279091</v>
      </c>
      <c r="Q420" s="271">
        <f t="shared" si="19"/>
        <v>558182</v>
      </c>
    </row>
    <row r="421" spans="2:17">
      <c r="B421" s="259">
        <v>418</v>
      </c>
      <c r="C421" s="60" t="s">
        <v>1584</v>
      </c>
      <c r="D421" s="66" t="s">
        <v>1585</v>
      </c>
      <c r="E421" s="62" t="s">
        <v>11</v>
      </c>
      <c r="F421" s="67" t="s">
        <v>1586</v>
      </c>
      <c r="G421" s="61"/>
      <c r="H421" s="61" t="s">
        <v>1587</v>
      </c>
      <c r="I421" s="66"/>
      <c r="J421" s="272" t="s">
        <v>1588</v>
      </c>
      <c r="K421" s="273" t="s">
        <v>1589</v>
      </c>
      <c r="L421" s="274">
        <v>44932</v>
      </c>
      <c r="M421" s="270">
        <v>231750</v>
      </c>
      <c r="N421" s="70">
        <v>86</v>
      </c>
      <c r="O421" s="121">
        <f t="shared" si="18"/>
        <v>19930500</v>
      </c>
      <c r="P421" s="121">
        <v>245000</v>
      </c>
      <c r="Q421" s="271">
        <f t="shared" si="19"/>
        <v>21070000</v>
      </c>
    </row>
    <row r="422" spans="2:17">
      <c r="B422" s="260">
        <v>419</v>
      </c>
      <c r="C422" s="60" t="s">
        <v>1590</v>
      </c>
      <c r="D422" s="66" t="s">
        <v>1591</v>
      </c>
      <c r="E422" s="67" t="s">
        <v>1592</v>
      </c>
      <c r="F422" s="67" t="s">
        <v>1593</v>
      </c>
      <c r="G422" s="61"/>
      <c r="H422" s="61" t="s">
        <v>1594</v>
      </c>
      <c r="I422" s="66"/>
      <c r="J422" s="105" t="s">
        <v>85</v>
      </c>
      <c r="K422" s="267" t="s">
        <v>1595</v>
      </c>
      <c r="L422" s="274">
        <v>44935</v>
      </c>
      <c r="M422" s="108">
        <v>222727</v>
      </c>
      <c r="N422" s="70">
        <v>38</v>
      </c>
      <c r="O422" s="121">
        <f t="shared" si="18"/>
        <v>8463626</v>
      </c>
      <c r="P422" s="275">
        <v>309791</v>
      </c>
      <c r="Q422" s="271">
        <f t="shared" si="19"/>
        <v>11772058</v>
      </c>
    </row>
    <row r="423" spans="2:17" ht="15" customHeight="1">
      <c r="B423" s="52">
        <v>420</v>
      </c>
      <c r="C423" s="60" t="s">
        <v>1596</v>
      </c>
      <c r="D423" s="70" t="s">
        <v>1597</v>
      </c>
      <c r="E423" s="198" t="s">
        <v>1598</v>
      </c>
      <c r="F423" s="67" t="s">
        <v>1599</v>
      </c>
      <c r="G423" s="112"/>
      <c r="H423" s="61" t="s">
        <v>1600</v>
      </c>
      <c r="I423" s="112"/>
      <c r="J423" s="105" t="s">
        <v>85</v>
      </c>
      <c r="K423" s="70" t="s">
        <v>1601</v>
      </c>
      <c r="L423" s="113">
        <v>44936</v>
      </c>
      <c r="M423" s="108">
        <v>222727</v>
      </c>
      <c r="N423" s="70">
        <v>15</v>
      </c>
      <c r="O423" s="121">
        <f t="shared" si="18"/>
        <v>3340905</v>
      </c>
      <c r="P423" s="122">
        <v>309791</v>
      </c>
      <c r="Q423" s="121">
        <f t="shared" si="19"/>
        <v>4646865</v>
      </c>
    </row>
    <row r="424" spans="2:17">
      <c r="B424" s="52">
        <v>421</v>
      </c>
      <c r="C424" s="60" t="s">
        <v>1602</v>
      </c>
      <c r="D424" s="70" t="s">
        <v>1597</v>
      </c>
      <c r="E424" s="198" t="s">
        <v>1598</v>
      </c>
      <c r="F424" s="67" t="s">
        <v>1599</v>
      </c>
      <c r="G424" s="112"/>
      <c r="H424" s="61" t="s">
        <v>1600</v>
      </c>
      <c r="I424" s="112"/>
      <c r="J424" s="105" t="s">
        <v>63</v>
      </c>
      <c r="K424" s="70" t="s">
        <v>1603</v>
      </c>
      <c r="L424" s="113">
        <v>44936</v>
      </c>
      <c r="M424" s="108">
        <v>92727</v>
      </c>
      <c r="N424" s="70">
        <v>15</v>
      </c>
      <c r="O424" s="121">
        <f t="shared" si="18"/>
        <v>1390905</v>
      </c>
      <c r="P424" s="122">
        <v>129164</v>
      </c>
      <c r="Q424" s="121">
        <f t="shared" si="19"/>
        <v>1937460</v>
      </c>
    </row>
    <row r="425" spans="2:17">
      <c r="B425" s="52">
        <v>422</v>
      </c>
      <c r="C425" s="60" t="s">
        <v>1604</v>
      </c>
      <c r="D425" s="70" t="s">
        <v>1605</v>
      </c>
      <c r="E425" s="71" t="s">
        <v>1606</v>
      </c>
      <c r="F425" s="67" t="s">
        <v>1607</v>
      </c>
      <c r="G425" s="112"/>
      <c r="H425" s="61" t="s">
        <v>1608</v>
      </c>
      <c r="I425" s="112"/>
      <c r="J425" s="105" t="s">
        <v>85</v>
      </c>
      <c r="K425" s="70" t="s">
        <v>1609</v>
      </c>
      <c r="L425" s="113">
        <v>44945</v>
      </c>
      <c r="M425" s="108">
        <v>222727</v>
      </c>
      <c r="N425" s="70">
        <v>25</v>
      </c>
      <c r="O425" s="121">
        <f t="shared" si="18"/>
        <v>5568175</v>
      </c>
      <c r="P425" s="122">
        <v>257182</v>
      </c>
      <c r="Q425" s="121">
        <f t="shared" si="19"/>
        <v>6429550</v>
      </c>
    </row>
    <row r="426" spans="2:17" ht="15" customHeight="1">
      <c r="B426" s="52">
        <v>423</v>
      </c>
      <c r="C426" s="60" t="s">
        <v>1610</v>
      </c>
      <c r="D426" s="70" t="s">
        <v>1611</v>
      </c>
      <c r="E426" s="198" t="s">
        <v>1598</v>
      </c>
      <c r="F426" s="74" t="s">
        <v>1612</v>
      </c>
      <c r="G426" s="112"/>
      <c r="H426" s="61" t="s">
        <v>1613</v>
      </c>
      <c r="I426" s="112"/>
      <c r="J426" s="110" t="s">
        <v>1614</v>
      </c>
      <c r="K426" s="70" t="s">
        <v>1615</v>
      </c>
      <c r="L426" s="113">
        <v>44952</v>
      </c>
      <c r="M426" s="108">
        <v>92438</v>
      </c>
      <c r="N426" s="70">
        <v>58</v>
      </c>
      <c r="O426" s="121">
        <f t="shared" si="18"/>
        <v>5361404</v>
      </c>
      <c r="P426" s="122">
        <v>109890</v>
      </c>
      <c r="Q426" s="121">
        <f t="shared" si="19"/>
        <v>6373620</v>
      </c>
    </row>
    <row r="427" spans="2:17">
      <c r="B427" s="52">
        <v>424</v>
      </c>
      <c r="C427" s="60" t="s">
        <v>1616</v>
      </c>
      <c r="D427" s="70" t="s">
        <v>1617</v>
      </c>
      <c r="E427" s="71" t="s">
        <v>1606</v>
      </c>
      <c r="F427" s="62" t="s">
        <v>742</v>
      </c>
      <c r="G427" s="112"/>
      <c r="H427" s="61" t="s">
        <v>1618</v>
      </c>
      <c r="I427" s="112"/>
      <c r="J427" s="105" t="s">
        <v>92</v>
      </c>
      <c r="K427" s="70" t="s">
        <v>1619</v>
      </c>
      <c r="L427" s="113">
        <v>44947</v>
      </c>
      <c r="M427" s="108">
        <v>32273</v>
      </c>
      <c r="N427" s="70">
        <v>218</v>
      </c>
      <c r="O427" s="121">
        <f t="shared" si="18"/>
        <v>7035514</v>
      </c>
      <c r="P427" s="122">
        <v>35500</v>
      </c>
      <c r="Q427" s="121">
        <f t="shared" si="19"/>
        <v>7739000</v>
      </c>
    </row>
    <row r="428" spans="2:17">
      <c r="B428" s="52">
        <v>425</v>
      </c>
      <c r="C428" s="60" t="s">
        <v>1620</v>
      </c>
      <c r="D428" s="66">
        <v>2500040497</v>
      </c>
      <c r="E428" s="62" t="s">
        <v>10</v>
      </c>
      <c r="F428" s="63" t="s">
        <v>814</v>
      </c>
      <c r="G428" s="112"/>
      <c r="H428" s="109" t="s">
        <v>1621</v>
      </c>
      <c r="I428" s="112"/>
      <c r="J428" s="105" t="s">
        <v>816</v>
      </c>
      <c r="K428" s="70" t="s">
        <v>1572</v>
      </c>
      <c r="L428" s="113">
        <v>44960</v>
      </c>
      <c r="M428" s="108">
        <v>22727</v>
      </c>
      <c r="N428" s="70">
        <v>2</v>
      </c>
      <c r="O428" s="121">
        <f t="shared" ref="O428:O439" si="20">M428*N428</f>
        <v>45454</v>
      </c>
      <c r="P428" s="121">
        <v>29091</v>
      </c>
      <c r="Q428" s="121">
        <f t="shared" si="19"/>
        <v>58182</v>
      </c>
    </row>
    <row r="429" spans="2:17">
      <c r="B429" s="52">
        <v>426</v>
      </c>
      <c r="C429" s="60" t="s">
        <v>1622</v>
      </c>
      <c r="D429" s="66">
        <v>2500042410</v>
      </c>
      <c r="E429" s="62" t="s">
        <v>10</v>
      </c>
      <c r="F429" s="63" t="s">
        <v>814</v>
      </c>
      <c r="G429" s="70"/>
      <c r="H429" s="109" t="s">
        <v>1623</v>
      </c>
      <c r="I429" s="70"/>
      <c r="J429" s="105" t="s">
        <v>816</v>
      </c>
      <c r="K429" s="70" t="s">
        <v>1624</v>
      </c>
      <c r="L429" s="113">
        <v>44974</v>
      </c>
      <c r="M429" s="108">
        <v>22727</v>
      </c>
      <c r="N429" s="70">
        <v>19</v>
      </c>
      <c r="O429" s="121">
        <f t="shared" si="20"/>
        <v>431813</v>
      </c>
      <c r="P429" s="121">
        <v>29091</v>
      </c>
      <c r="Q429" s="121">
        <f t="shared" si="19"/>
        <v>552729</v>
      </c>
    </row>
    <row r="430" spans="2:17">
      <c r="B430" s="52">
        <v>427</v>
      </c>
      <c r="C430" s="60" t="s">
        <v>1625</v>
      </c>
      <c r="D430" s="70" t="s">
        <v>1626</v>
      </c>
      <c r="E430" s="62" t="s">
        <v>11</v>
      </c>
      <c r="F430" s="67" t="s">
        <v>1627</v>
      </c>
      <c r="G430" s="70"/>
      <c r="H430" s="109" t="s">
        <v>1628</v>
      </c>
      <c r="I430" s="70"/>
      <c r="J430" s="105" t="s">
        <v>85</v>
      </c>
      <c r="K430" s="70" t="s">
        <v>1629</v>
      </c>
      <c r="L430" s="113">
        <v>44963</v>
      </c>
      <c r="M430" s="108">
        <v>222727</v>
      </c>
      <c r="N430" s="70">
        <v>2</v>
      </c>
      <c r="O430" s="121">
        <f t="shared" si="20"/>
        <v>445454</v>
      </c>
      <c r="P430" s="121">
        <v>279091</v>
      </c>
      <c r="Q430" s="121">
        <f t="shared" si="19"/>
        <v>558182</v>
      </c>
    </row>
    <row r="431" spans="2:17">
      <c r="B431" s="52">
        <v>428</v>
      </c>
      <c r="C431" s="60" t="s">
        <v>1630</v>
      </c>
      <c r="D431" s="66">
        <v>2500042737</v>
      </c>
      <c r="E431" s="62" t="s">
        <v>10</v>
      </c>
      <c r="F431" s="63" t="s">
        <v>814</v>
      </c>
      <c r="G431" s="70"/>
      <c r="H431" s="109" t="s">
        <v>1631</v>
      </c>
      <c r="I431" s="70"/>
      <c r="J431" s="105" t="s">
        <v>85</v>
      </c>
      <c r="K431" s="70" t="s">
        <v>1632</v>
      </c>
      <c r="L431" s="113">
        <v>44977</v>
      </c>
      <c r="M431" s="108">
        <v>222727</v>
      </c>
      <c r="N431" s="70">
        <v>358</v>
      </c>
      <c r="O431" s="121">
        <f t="shared" si="20"/>
        <v>79736266</v>
      </c>
      <c r="P431" s="121">
        <v>279091</v>
      </c>
      <c r="Q431" s="121">
        <f t="shared" si="19"/>
        <v>99914578</v>
      </c>
    </row>
    <row r="432" spans="2:17">
      <c r="B432" s="52">
        <v>429</v>
      </c>
      <c r="C432" s="60" t="s">
        <v>1633</v>
      </c>
      <c r="D432" s="70" t="s">
        <v>1634</v>
      </c>
      <c r="E432" s="67" t="s">
        <v>82</v>
      </c>
      <c r="F432" s="67" t="s">
        <v>83</v>
      </c>
      <c r="G432" s="70"/>
      <c r="H432" s="109" t="s">
        <v>1635</v>
      </c>
      <c r="I432" s="70"/>
      <c r="J432" s="105" t="s">
        <v>85</v>
      </c>
      <c r="K432" s="70" t="s">
        <v>1636</v>
      </c>
      <c r="L432" s="113">
        <v>44978</v>
      </c>
      <c r="M432" s="108">
        <v>222727</v>
      </c>
      <c r="N432" s="70">
        <v>250</v>
      </c>
      <c r="O432" s="121">
        <f t="shared" si="20"/>
        <v>55681750</v>
      </c>
      <c r="P432" s="121">
        <v>279091</v>
      </c>
      <c r="Q432" s="121">
        <f t="shared" si="19"/>
        <v>69772750</v>
      </c>
    </row>
    <row r="433" spans="2:17">
      <c r="B433" s="76">
        <v>430</v>
      </c>
      <c r="C433" s="77" t="s">
        <v>1637</v>
      </c>
      <c r="D433" s="19" t="s">
        <v>1638</v>
      </c>
      <c r="E433" s="21" t="s">
        <v>11</v>
      </c>
      <c r="F433" s="78" t="s">
        <v>1581</v>
      </c>
      <c r="G433" s="19"/>
      <c r="H433" s="19" t="s">
        <v>1639</v>
      </c>
      <c r="I433" s="19"/>
      <c r="J433" s="24" t="s">
        <v>85</v>
      </c>
      <c r="K433" s="19" t="s">
        <v>1640</v>
      </c>
      <c r="L433" s="36">
        <v>44995</v>
      </c>
      <c r="M433" s="37">
        <v>222727</v>
      </c>
      <c r="N433" s="19">
        <v>2</v>
      </c>
      <c r="O433" s="40">
        <f t="shared" si="20"/>
        <v>445454</v>
      </c>
      <c r="P433" s="40">
        <v>279091</v>
      </c>
      <c r="Q433" s="40">
        <f t="shared" si="19"/>
        <v>558182</v>
      </c>
    </row>
    <row r="434" spans="2:17">
      <c r="B434" s="76">
        <v>431</v>
      </c>
      <c r="C434" s="77" t="s">
        <v>1641</v>
      </c>
      <c r="D434" s="19" t="s">
        <v>1642</v>
      </c>
      <c r="E434" s="21" t="s">
        <v>1643</v>
      </c>
      <c r="F434" s="24" t="s">
        <v>1644</v>
      </c>
      <c r="G434" s="19"/>
      <c r="H434" s="19" t="s">
        <v>1645</v>
      </c>
      <c r="I434" s="19"/>
      <c r="J434" s="24" t="s">
        <v>63</v>
      </c>
      <c r="K434" s="19" t="s">
        <v>1646</v>
      </c>
      <c r="L434" s="36">
        <v>44998</v>
      </c>
      <c r="M434" s="37">
        <v>92727</v>
      </c>
      <c r="N434" s="19">
        <v>5</v>
      </c>
      <c r="O434" s="40">
        <f t="shared" si="20"/>
        <v>463635</v>
      </c>
      <c r="P434" s="40">
        <v>116364</v>
      </c>
      <c r="Q434" s="40">
        <f t="shared" si="19"/>
        <v>581820</v>
      </c>
    </row>
    <row r="435" spans="2:17">
      <c r="B435" s="76">
        <v>432</v>
      </c>
      <c r="C435" s="77" t="s">
        <v>1647</v>
      </c>
      <c r="D435" s="19" t="s">
        <v>1648</v>
      </c>
      <c r="E435" s="21" t="s">
        <v>11</v>
      </c>
      <c r="F435" s="79" t="s">
        <v>1649</v>
      </c>
      <c r="G435" s="19"/>
      <c r="H435" s="19" t="s">
        <v>1650</v>
      </c>
      <c r="I435" s="19"/>
      <c r="J435" s="24" t="s">
        <v>85</v>
      </c>
      <c r="K435" s="19" t="s">
        <v>1651</v>
      </c>
      <c r="L435" s="36">
        <v>45000</v>
      </c>
      <c r="M435" s="37">
        <v>222727</v>
      </c>
      <c r="N435" s="19">
        <v>46</v>
      </c>
      <c r="O435" s="40">
        <f t="shared" si="20"/>
        <v>10245442</v>
      </c>
      <c r="P435" s="40">
        <v>279091</v>
      </c>
      <c r="Q435" s="40">
        <f t="shared" si="19"/>
        <v>12838186</v>
      </c>
    </row>
    <row r="436" spans="2:17">
      <c r="B436" s="76">
        <v>433</v>
      </c>
      <c r="C436" s="77" t="s">
        <v>1652</v>
      </c>
      <c r="D436" s="19" t="s">
        <v>1653</v>
      </c>
      <c r="E436" s="80" t="s">
        <v>1606</v>
      </c>
      <c r="F436" s="24" t="s">
        <v>1654</v>
      </c>
      <c r="G436" s="19"/>
      <c r="H436" s="19" t="s">
        <v>1655</v>
      </c>
      <c r="I436" s="19"/>
      <c r="J436" s="24" t="s">
        <v>85</v>
      </c>
      <c r="K436" s="19" t="s">
        <v>1656</v>
      </c>
      <c r="L436" s="36">
        <v>45002</v>
      </c>
      <c r="M436" s="37">
        <v>222727</v>
      </c>
      <c r="N436" s="19">
        <v>3</v>
      </c>
      <c r="O436" s="40">
        <f t="shared" si="20"/>
        <v>668181</v>
      </c>
      <c r="P436" s="40">
        <v>256000</v>
      </c>
      <c r="Q436" s="40">
        <f t="shared" si="19"/>
        <v>768000</v>
      </c>
    </row>
    <row r="437" spans="2:17">
      <c r="B437" s="76">
        <v>434</v>
      </c>
      <c r="C437" s="77" t="s">
        <v>1657</v>
      </c>
      <c r="D437" s="19" t="s">
        <v>1658</v>
      </c>
      <c r="E437" s="21" t="s">
        <v>17</v>
      </c>
      <c r="F437" s="24" t="s">
        <v>114</v>
      </c>
      <c r="G437" s="19"/>
      <c r="H437" s="19" t="s">
        <v>1659</v>
      </c>
      <c r="I437" s="19"/>
      <c r="J437" s="24" t="s">
        <v>1457</v>
      </c>
      <c r="K437" s="19" t="s">
        <v>1660</v>
      </c>
      <c r="L437" s="36">
        <v>45012</v>
      </c>
      <c r="M437" s="37">
        <v>432961</v>
      </c>
      <c r="N437" s="19">
        <v>41</v>
      </c>
      <c r="O437" s="40">
        <f t="shared" si="20"/>
        <v>17751401</v>
      </c>
      <c r="P437" s="40">
        <v>533408</v>
      </c>
      <c r="Q437" s="40">
        <f t="shared" si="19"/>
        <v>21869728</v>
      </c>
    </row>
    <row r="438" spans="2:17">
      <c r="B438" s="76">
        <v>435</v>
      </c>
      <c r="C438" s="77" t="s">
        <v>1661</v>
      </c>
      <c r="D438" s="19" t="s">
        <v>1658</v>
      </c>
      <c r="E438" s="21" t="s">
        <v>17</v>
      </c>
      <c r="F438" s="24" t="s">
        <v>114</v>
      </c>
      <c r="G438" s="19"/>
      <c r="H438" s="19" t="s">
        <v>1662</v>
      </c>
      <c r="I438" s="19"/>
      <c r="J438" s="24" t="s">
        <v>85</v>
      </c>
      <c r="K438" s="19" t="s">
        <v>303</v>
      </c>
      <c r="L438" s="36">
        <v>45012</v>
      </c>
      <c r="M438" s="37">
        <v>222727</v>
      </c>
      <c r="N438" s="19">
        <v>4</v>
      </c>
      <c r="O438" s="40">
        <f t="shared" si="20"/>
        <v>890908</v>
      </c>
      <c r="P438" s="40">
        <v>279091</v>
      </c>
      <c r="Q438" s="40">
        <f t="shared" si="19"/>
        <v>1116364</v>
      </c>
    </row>
    <row r="439" spans="2:17">
      <c r="B439" s="76">
        <v>436</v>
      </c>
      <c r="C439" s="77" t="s">
        <v>1663</v>
      </c>
      <c r="D439" s="19" t="s">
        <v>1658</v>
      </c>
      <c r="E439" s="21" t="s">
        <v>17</v>
      </c>
      <c r="F439" s="24" t="s">
        <v>114</v>
      </c>
      <c r="G439" s="19"/>
      <c r="H439" s="19" t="s">
        <v>1664</v>
      </c>
      <c r="I439" s="19"/>
      <c r="J439" s="24" t="s">
        <v>85</v>
      </c>
      <c r="K439" s="19" t="s">
        <v>377</v>
      </c>
      <c r="L439" s="36">
        <v>45012</v>
      </c>
      <c r="M439" s="37">
        <v>222727</v>
      </c>
      <c r="N439" s="19">
        <v>1</v>
      </c>
      <c r="O439" s="40">
        <f t="shared" si="20"/>
        <v>222727</v>
      </c>
      <c r="P439" s="40">
        <v>279091</v>
      </c>
      <c r="Q439" s="40">
        <f t="shared" si="19"/>
        <v>279091</v>
      </c>
    </row>
  </sheetData>
  <autoFilter ref="B2:O439" xr:uid="{00000000-0009-0000-0000-000003000000}"/>
  <mergeCells count="11">
    <mergeCell ref="B2:B3"/>
    <mergeCell ref="C2:C3"/>
    <mergeCell ref="E2:E3"/>
    <mergeCell ref="F2:F3"/>
    <mergeCell ref="J2:J3"/>
    <mergeCell ref="Q2:Q3"/>
    <mergeCell ref="K2:K3"/>
    <mergeCell ref="M2:M3"/>
    <mergeCell ref="N2:N3"/>
    <mergeCell ref="O2:O3"/>
    <mergeCell ref="P2:P3"/>
  </mergeCells>
  <pageMargins left="0.75" right="0.75" top="1" bottom="1" header="0.5" footer="0.5"/>
  <pageSetup scale="37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Q444"/>
  <sheetViews>
    <sheetView zoomScale="85" zoomScaleNormal="85" workbookViewId="0">
      <pane ySplit="3" topLeftCell="A190" activePane="bottomLeft" state="frozen"/>
      <selection pane="bottomLeft" activeCell="F447" sqref="F447"/>
    </sheetView>
  </sheetViews>
  <sheetFormatPr defaultColWidth="9.140625" defaultRowHeight="15"/>
  <cols>
    <col min="1" max="1" width="4.140625" customWidth="1"/>
    <col min="2" max="2" width="5.7109375" style="2" customWidth="1"/>
    <col min="3" max="3" width="20" customWidth="1"/>
    <col min="4" max="4" width="28.140625" style="3" customWidth="1"/>
    <col min="5" max="5" width="29.28515625" style="4" customWidth="1"/>
    <col min="6" max="6" width="56.140625" customWidth="1"/>
    <col min="7" max="7" width="23.85546875" customWidth="1"/>
    <col min="8" max="8" width="24" customWidth="1"/>
    <col min="9" max="9" width="21.7109375" customWidth="1"/>
    <col min="10" max="10" width="46.7109375" style="6" customWidth="1"/>
    <col min="11" max="11" width="37.85546875" customWidth="1"/>
    <col min="12" max="12" width="10.7109375" style="7" customWidth="1"/>
    <col min="13" max="13" width="16.28515625" customWidth="1"/>
    <col min="14" max="14" width="9.140625" customWidth="1"/>
    <col min="15" max="15" width="17.140625" customWidth="1"/>
    <col min="16" max="16" width="18.42578125" customWidth="1"/>
    <col min="17" max="17" width="18" customWidth="1"/>
    <col min="19" max="19" width="14.28515625" customWidth="1"/>
  </cols>
  <sheetData>
    <row r="2" spans="2:17">
      <c r="B2" s="374" t="s">
        <v>24</v>
      </c>
      <c r="C2" s="372" t="s">
        <v>25</v>
      </c>
      <c r="D2" s="10"/>
      <c r="E2" s="376" t="s">
        <v>26</v>
      </c>
      <c r="F2" s="372" t="s">
        <v>27</v>
      </c>
      <c r="G2" s="13" t="s">
        <v>28</v>
      </c>
      <c r="H2" s="13" t="s">
        <v>29</v>
      </c>
      <c r="I2" s="13" t="s">
        <v>30</v>
      </c>
      <c r="J2" s="372" t="s">
        <v>31</v>
      </c>
      <c r="K2" s="372" t="s">
        <v>32</v>
      </c>
      <c r="L2" s="33"/>
      <c r="M2" s="370" t="s">
        <v>33</v>
      </c>
      <c r="N2" s="372" t="s">
        <v>34</v>
      </c>
      <c r="O2" s="370" t="s">
        <v>35</v>
      </c>
      <c r="P2" s="370" t="s">
        <v>36</v>
      </c>
      <c r="Q2" s="370" t="s">
        <v>37</v>
      </c>
    </row>
    <row r="3" spans="2:17">
      <c r="B3" s="375"/>
      <c r="C3" s="373"/>
      <c r="D3" s="14" t="s">
        <v>38</v>
      </c>
      <c r="E3" s="377"/>
      <c r="F3" s="373"/>
      <c r="G3" s="13" t="s">
        <v>28</v>
      </c>
      <c r="H3" s="13" t="s">
        <v>29</v>
      </c>
      <c r="I3" s="13" t="s">
        <v>30</v>
      </c>
      <c r="J3" s="373"/>
      <c r="K3" s="373"/>
      <c r="L3" s="35" t="s">
        <v>39</v>
      </c>
      <c r="M3" s="371"/>
      <c r="N3" s="373"/>
      <c r="O3" s="371"/>
      <c r="P3" s="371"/>
      <c r="Q3" s="371"/>
    </row>
    <row r="4" spans="2:17">
      <c r="B4" s="200">
        <v>1</v>
      </c>
      <c r="C4" s="201" t="s">
        <v>40</v>
      </c>
      <c r="D4" s="202" t="s">
        <v>41</v>
      </c>
      <c r="E4" s="203" t="s">
        <v>8</v>
      </c>
      <c r="F4" s="203" t="s">
        <v>42</v>
      </c>
      <c r="G4" s="201"/>
      <c r="H4" s="201" t="s">
        <v>43</v>
      </c>
      <c r="I4" s="201"/>
      <c r="J4" s="203" t="s">
        <v>44</v>
      </c>
      <c r="K4" s="201" t="s">
        <v>45</v>
      </c>
      <c r="L4" s="218">
        <v>43893</v>
      </c>
      <c r="M4" s="219">
        <v>41205</v>
      </c>
      <c r="N4" s="220">
        <v>200</v>
      </c>
      <c r="O4" s="219">
        <f t="shared" ref="O4:O20" si="0">SUM(M4*N4)</f>
        <v>8241000</v>
      </c>
      <c r="P4" s="220">
        <v>45000</v>
      </c>
      <c r="Q4" s="220">
        <f>P4*N4</f>
        <v>9000000</v>
      </c>
    </row>
    <row r="5" spans="2:17">
      <c r="B5" s="200">
        <v>2</v>
      </c>
      <c r="C5" s="204" t="s">
        <v>46</v>
      </c>
      <c r="D5" s="205" t="s">
        <v>47</v>
      </c>
      <c r="E5" s="206" t="s">
        <v>9</v>
      </c>
      <c r="F5" s="206" t="s">
        <v>48</v>
      </c>
      <c r="G5" s="204"/>
      <c r="H5" s="204" t="s">
        <v>49</v>
      </c>
      <c r="I5" s="204"/>
      <c r="J5" s="206" t="s">
        <v>50</v>
      </c>
      <c r="K5" s="204" t="s">
        <v>51</v>
      </c>
      <c r="L5" s="221">
        <v>44193</v>
      </c>
      <c r="M5" s="222">
        <v>254545</v>
      </c>
      <c r="N5" s="223">
        <v>1</v>
      </c>
      <c r="O5" s="222">
        <f t="shared" si="0"/>
        <v>254545</v>
      </c>
      <c r="P5" s="223">
        <v>275000</v>
      </c>
      <c r="Q5" s="223">
        <f t="shared" ref="Q5:Q15" si="1">P5*N5</f>
        <v>275000</v>
      </c>
    </row>
    <row r="6" spans="2:17">
      <c r="B6" s="200">
        <v>3</v>
      </c>
      <c r="C6" s="204" t="s">
        <v>52</v>
      </c>
      <c r="D6" s="205" t="s">
        <v>53</v>
      </c>
      <c r="E6" s="206" t="s">
        <v>9</v>
      </c>
      <c r="F6" s="206" t="s">
        <v>54</v>
      </c>
      <c r="G6" s="204"/>
      <c r="H6" s="204" t="s">
        <v>55</v>
      </c>
      <c r="I6" s="204"/>
      <c r="J6" s="206" t="s">
        <v>50</v>
      </c>
      <c r="K6" s="204" t="s">
        <v>56</v>
      </c>
      <c r="L6" s="221">
        <v>43836</v>
      </c>
      <c r="M6" s="222">
        <v>254545</v>
      </c>
      <c r="N6" s="223">
        <v>5</v>
      </c>
      <c r="O6" s="222">
        <f t="shared" si="0"/>
        <v>1272725</v>
      </c>
      <c r="P6" s="223">
        <v>275000</v>
      </c>
      <c r="Q6" s="223">
        <f t="shared" si="1"/>
        <v>1375000</v>
      </c>
    </row>
    <row r="7" spans="2:17">
      <c r="B7" s="200">
        <v>4</v>
      </c>
      <c r="C7" s="204" t="s">
        <v>52</v>
      </c>
      <c r="D7" s="205" t="s">
        <v>53</v>
      </c>
      <c r="E7" s="206" t="s">
        <v>9</v>
      </c>
      <c r="F7" s="206" t="s">
        <v>57</v>
      </c>
      <c r="G7" s="204"/>
      <c r="H7" s="204" t="s">
        <v>55</v>
      </c>
      <c r="I7" s="204"/>
      <c r="J7" s="206" t="s">
        <v>50</v>
      </c>
      <c r="K7" s="204" t="s">
        <v>58</v>
      </c>
      <c r="L7" s="221">
        <v>43836</v>
      </c>
      <c r="M7" s="222">
        <v>254545</v>
      </c>
      <c r="N7" s="223">
        <v>7</v>
      </c>
      <c r="O7" s="222">
        <f t="shared" si="0"/>
        <v>1781815</v>
      </c>
      <c r="P7" s="223">
        <v>275000</v>
      </c>
      <c r="Q7" s="223">
        <f t="shared" si="1"/>
        <v>1925000</v>
      </c>
    </row>
    <row r="8" spans="2:17">
      <c r="B8" s="200">
        <v>5</v>
      </c>
      <c r="C8" s="204" t="s">
        <v>59</v>
      </c>
      <c r="D8" s="205" t="s">
        <v>60</v>
      </c>
      <c r="E8" s="206"/>
      <c r="F8" s="206" t="s">
        <v>61</v>
      </c>
      <c r="G8" s="204"/>
      <c r="H8" s="204" t="s">
        <v>62</v>
      </c>
      <c r="I8" s="204"/>
      <c r="J8" s="206" t="s">
        <v>63</v>
      </c>
      <c r="K8" s="204" t="s">
        <v>64</v>
      </c>
      <c r="L8" s="221">
        <v>43837</v>
      </c>
      <c r="M8" s="222">
        <v>92727</v>
      </c>
      <c r="N8" s="223">
        <v>10</v>
      </c>
      <c r="O8" s="222">
        <f t="shared" si="0"/>
        <v>927270</v>
      </c>
      <c r="P8" s="223">
        <v>198400</v>
      </c>
      <c r="Q8" s="223">
        <f t="shared" si="1"/>
        <v>1984000</v>
      </c>
    </row>
    <row r="9" spans="2:17">
      <c r="B9" s="200">
        <v>6</v>
      </c>
      <c r="C9" s="204" t="s">
        <v>65</v>
      </c>
      <c r="D9" s="205" t="s">
        <v>66</v>
      </c>
      <c r="E9" s="206" t="s">
        <v>9</v>
      </c>
      <c r="F9" s="206" t="s">
        <v>67</v>
      </c>
      <c r="G9" s="204"/>
      <c r="H9" s="204" t="s">
        <v>68</v>
      </c>
      <c r="I9" s="204"/>
      <c r="J9" s="206" t="s">
        <v>50</v>
      </c>
      <c r="K9" s="204" t="s">
        <v>69</v>
      </c>
      <c r="L9" s="221">
        <v>44211</v>
      </c>
      <c r="M9" s="222">
        <v>254545</v>
      </c>
      <c r="N9" s="223">
        <v>2</v>
      </c>
      <c r="O9" s="222">
        <f t="shared" si="0"/>
        <v>509090</v>
      </c>
      <c r="P9" s="223">
        <v>275000</v>
      </c>
      <c r="Q9" s="223">
        <f t="shared" si="1"/>
        <v>550000</v>
      </c>
    </row>
    <row r="10" spans="2:17">
      <c r="B10" s="200">
        <v>7</v>
      </c>
      <c r="C10" s="204" t="s">
        <v>70</v>
      </c>
      <c r="D10" s="205" t="s">
        <v>71</v>
      </c>
      <c r="E10" s="206" t="s">
        <v>9</v>
      </c>
      <c r="F10" s="206" t="s">
        <v>72</v>
      </c>
      <c r="G10" s="204"/>
      <c r="H10" s="204" t="s">
        <v>73</v>
      </c>
      <c r="I10" s="204"/>
      <c r="J10" s="206" t="s">
        <v>50</v>
      </c>
      <c r="K10" s="204" t="s">
        <v>74</v>
      </c>
      <c r="L10" s="221">
        <v>44214</v>
      </c>
      <c r="M10" s="222">
        <v>254545</v>
      </c>
      <c r="N10" s="223">
        <v>1</v>
      </c>
      <c r="O10" s="222">
        <f t="shared" si="0"/>
        <v>254545</v>
      </c>
      <c r="P10" s="223">
        <v>275000</v>
      </c>
      <c r="Q10" s="223">
        <f t="shared" si="1"/>
        <v>275000</v>
      </c>
    </row>
    <row r="11" spans="2:17">
      <c r="B11" s="200">
        <v>8</v>
      </c>
      <c r="C11" s="204" t="s">
        <v>75</v>
      </c>
      <c r="D11" s="205" t="s">
        <v>76</v>
      </c>
      <c r="E11" s="206" t="s">
        <v>9</v>
      </c>
      <c r="F11" s="206" t="s">
        <v>77</v>
      </c>
      <c r="G11" s="204"/>
      <c r="H11" s="204" t="s">
        <v>78</v>
      </c>
      <c r="I11" s="204"/>
      <c r="J11" s="206" t="s">
        <v>50</v>
      </c>
      <c r="K11" s="204" t="s">
        <v>79</v>
      </c>
      <c r="L11" s="221">
        <v>44221</v>
      </c>
      <c r="M11" s="222">
        <v>254545</v>
      </c>
      <c r="N11" s="223">
        <v>1</v>
      </c>
      <c r="O11" s="222">
        <f t="shared" si="0"/>
        <v>254545</v>
      </c>
      <c r="P11" s="223">
        <v>275000</v>
      </c>
      <c r="Q11" s="223">
        <f t="shared" si="1"/>
        <v>275000</v>
      </c>
    </row>
    <row r="12" spans="2:17">
      <c r="B12" s="200">
        <v>9</v>
      </c>
      <c r="C12" s="204" t="s">
        <v>80</v>
      </c>
      <c r="D12" s="205" t="s">
        <v>81</v>
      </c>
      <c r="E12" s="206" t="s">
        <v>82</v>
      </c>
      <c r="F12" s="206" t="s">
        <v>83</v>
      </c>
      <c r="G12" s="204"/>
      <c r="H12" s="204" t="s">
        <v>84</v>
      </c>
      <c r="I12" s="204"/>
      <c r="J12" s="206" t="s">
        <v>85</v>
      </c>
      <c r="K12" s="204" t="s">
        <v>86</v>
      </c>
      <c r="L12" s="221">
        <v>44222</v>
      </c>
      <c r="M12" s="222">
        <v>222727</v>
      </c>
      <c r="N12" s="223">
        <v>250</v>
      </c>
      <c r="O12" s="222">
        <f t="shared" si="0"/>
        <v>55681750</v>
      </c>
      <c r="P12" s="223">
        <v>279090.90999999997</v>
      </c>
      <c r="Q12" s="223">
        <f t="shared" si="1"/>
        <v>69772727.5</v>
      </c>
    </row>
    <row r="13" spans="2:17">
      <c r="B13" s="200">
        <v>10</v>
      </c>
      <c r="C13" s="204" t="s">
        <v>87</v>
      </c>
      <c r="D13" s="205">
        <v>78130</v>
      </c>
      <c r="E13" s="206" t="s">
        <v>17</v>
      </c>
      <c r="F13" s="206" t="s">
        <v>88</v>
      </c>
      <c r="G13" s="204"/>
      <c r="H13" s="204" t="s">
        <v>89</v>
      </c>
      <c r="I13" s="204"/>
      <c r="J13" s="206" t="s">
        <v>85</v>
      </c>
      <c r="K13" s="204" t="s">
        <v>90</v>
      </c>
      <c r="L13" s="221">
        <v>44224</v>
      </c>
      <c r="M13" s="222">
        <v>222727</v>
      </c>
      <c r="N13" s="223">
        <v>49</v>
      </c>
      <c r="O13" s="222">
        <f t="shared" si="0"/>
        <v>10913623</v>
      </c>
      <c r="P13" s="223">
        <v>279090.90999999997</v>
      </c>
      <c r="Q13" s="223">
        <f t="shared" si="1"/>
        <v>13675454.589999998</v>
      </c>
    </row>
    <row r="14" spans="2:17">
      <c r="B14" s="200">
        <v>11</v>
      </c>
      <c r="C14" s="204" t="s">
        <v>91</v>
      </c>
      <c r="D14" s="205">
        <v>78130</v>
      </c>
      <c r="E14" s="206" t="s">
        <v>17</v>
      </c>
      <c r="F14" s="206" t="s">
        <v>88</v>
      </c>
      <c r="G14" s="204"/>
      <c r="H14" s="204" t="s">
        <v>89</v>
      </c>
      <c r="I14" s="204"/>
      <c r="J14" s="206" t="s">
        <v>92</v>
      </c>
      <c r="K14" s="204" t="s">
        <v>93</v>
      </c>
      <c r="L14" s="221">
        <v>44224</v>
      </c>
      <c r="M14" s="222">
        <v>46364</v>
      </c>
      <c r="N14" s="223">
        <v>49</v>
      </c>
      <c r="O14" s="222">
        <f t="shared" si="0"/>
        <v>2271836</v>
      </c>
      <c r="P14" s="223">
        <v>58181.82</v>
      </c>
      <c r="Q14" s="223">
        <f t="shared" si="1"/>
        <v>2850909.18</v>
      </c>
    </row>
    <row r="15" spans="2:17">
      <c r="B15" s="200">
        <v>12</v>
      </c>
      <c r="C15" s="207" t="s">
        <v>94</v>
      </c>
      <c r="D15" s="208" t="s">
        <v>95</v>
      </c>
      <c r="E15" s="209" t="s">
        <v>9</v>
      </c>
      <c r="F15" s="209" t="s">
        <v>96</v>
      </c>
      <c r="G15" s="207"/>
      <c r="H15" s="207" t="s">
        <v>97</v>
      </c>
      <c r="I15" s="207"/>
      <c r="J15" s="209" t="s">
        <v>50</v>
      </c>
      <c r="K15" s="207" t="s">
        <v>98</v>
      </c>
      <c r="L15" s="224">
        <v>44224</v>
      </c>
      <c r="M15" s="225">
        <v>254545</v>
      </c>
      <c r="N15" s="226">
        <v>1</v>
      </c>
      <c r="O15" s="225">
        <f t="shared" si="0"/>
        <v>254545</v>
      </c>
      <c r="P15" s="226">
        <v>275000</v>
      </c>
      <c r="Q15" s="226">
        <f t="shared" si="1"/>
        <v>275000</v>
      </c>
    </row>
    <row r="16" spans="2:17">
      <c r="B16" s="200">
        <v>13</v>
      </c>
      <c r="C16" s="207" t="s">
        <v>99</v>
      </c>
      <c r="D16" s="208" t="s">
        <v>100</v>
      </c>
      <c r="E16" s="209" t="s">
        <v>9</v>
      </c>
      <c r="F16" s="209" t="s">
        <v>101</v>
      </c>
      <c r="G16" s="207"/>
      <c r="H16" s="207" t="s">
        <v>102</v>
      </c>
      <c r="I16" s="207"/>
      <c r="J16" s="209" t="s">
        <v>50</v>
      </c>
      <c r="K16" s="207" t="s">
        <v>103</v>
      </c>
      <c r="L16" s="224">
        <v>44229</v>
      </c>
      <c r="M16" s="225">
        <v>254545</v>
      </c>
      <c r="N16" s="226">
        <v>1</v>
      </c>
      <c r="O16" s="225">
        <f t="shared" si="0"/>
        <v>254545</v>
      </c>
      <c r="P16" s="226">
        <v>275000</v>
      </c>
      <c r="Q16" s="226">
        <f t="shared" ref="Q16:Q79" si="2">P16*N16</f>
        <v>275000</v>
      </c>
    </row>
    <row r="17" spans="2:17">
      <c r="B17" s="200">
        <v>14</v>
      </c>
      <c r="C17" s="207" t="s">
        <v>104</v>
      </c>
      <c r="D17" s="208" t="s">
        <v>105</v>
      </c>
      <c r="E17" s="209" t="s">
        <v>9</v>
      </c>
      <c r="F17" s="209" t="s">
        <v>106</v>
      </c>
      <c r="G17" s="207"/>
      <c r="H17" s="207" t="s">
        <v>107</v>
      </c>
      <c r="I17" s="207"/>
      <c r="J17" s="209" t="s">
        <v>50</v>
      </c>
      <c r="K17" s="207" t="s">
        <v>108</v>
      </c>
      <c r="L17" s="224">
        <v>44232</v>
      </c>
      <c r="M17" s="225">
        <v>254545</v>
      </c>
      <c r="N17" s="226">
        <v>1</v>
      </c>
      <c r="O17" s="225">
        <f t="shared" si="0"/>
        <v>254545</v>
      </c>
      <c r="P17" s="226">
        <v>275000</v>
      </c>
      <c r="Q17" s="226">
        <f t="shared" si="2"/>
        <v>275000</v>
      </c>
    </row>
    <row r="18" spans="2:17">
      <c r="B18" s="200">
        <v>15</v>
      </c>
      <c r="C18" s="207" t="s">
        <v>109</v>
      </c>
      <c r="D18" s="208" t="s">
        <v>105</v>
      </c>
      <c r="E18" s="209" t="s">
        <v>9</v>
      </c>
      <c r="F18" s="209" t="s">
        <v>110</v>
      </c>
      <c r="G18" s="207"/>
      <c r="H18" s="207" t="s">
        <v>111</v>
      </c>
      <c r="I18" s="207"/>
      <c r="J18" s="209" t="s">
        <v>50</v>
      </c>
      <c r="K18" s="207" t="s">
        <v>112</v>
      </c>
      <c r="L18" s="224">
        <v>44237</v>
      </c>
      <c r="M18" s="225">
        <v>254545</v>
      </c>
      <c r="N18" s="226">
        <v>1</v>
      </c>
      <c r="O18" s="225">
        <f t="shared" si="0"/>
        <v>254545</v>
      </c>
      <c r="P18" s="226">
        <v>275000</v>
      </c>
      <c r="Q18" s="226">
        <f t="shared" si="2"/>
        <v>275000</v>
      </c>
    </row>
    <row r="19" spans="2:17">
      <c r="B19" s="200">
        <v>16</v>
      </c>
      <c r="C19" s="207" t="s">
        <v>113</v>
      </c>
      <c r="D19" s="208">
        <v>78349</v>
      </c>
      <c r="E19" s="209" t="s">
        <v>17</v>
      </c>
      <c r="F19" s="209" t="s">
        <v>114</v>
      </c>
      <c r="G19" s="207"/>
      <c r="H19" s="207" t="s">
        <v>115</v>
      </c>
      <c r="I19" s="207"/>
      <c r="J19" s="209" t="s">
        <v>85</v>
      </c>
      <c r="K19" s="207" t="s">
        <v>116</v>
      </c>
      <c r="L19" s="224">
        <v>44245</v>
      </c>
      <c r="M19" s="225">
        <v>171818</v>
      </c>
      <c r="N19" s="226">
        <v>20</v>
      </c>
      <c r="O19" s="225">
        <f t="shared" si="0"/>
        <v>3436360</v>
      </c>
      <c r="P19" s="226">
        <v>279090.90999999997</v>
      </c>
      <c r="Q19" s="226">
        <f t="shared" si="2"/>
        <v>5581818.1999999993</v>
      </c>
    </row>
    <row r="20" spans="2:17">
      <c r="B20" s="200">
        <v>17</v>
      </c>
      <c r="C20" s="207" t="s">
        <v>117</v>
      </c>
      <c r="D20" s="208">
        <v>78349</v>
      </c>
      <c r="E20" s="209" t="s">
        <v>17</v>
      </c>
      <c r="F20" s="209" t="s">
        <v>114</v>
      </c>
      <c r="G20" s="207"/>
      <c r="H20" s="207" t="s">
        <v>115</v>
      </c>
      <c r="I20" s="207"/>
      <c r="J20" s="209" t="s">
        <v>92</v>
      </c>
      <c r="K20" s="207" t="s">
        <v>118</v>
      </c>
      <c r="L20" s="224">
        <v>44245</v>
      </c>
      <c r="M20" s="225">
        <v>40909</v>
      </c>
      <c r="N20" s="226">
        <v>20</v>
      </c>
      <c r="O20" s="225">
        <f t="shared" si="0"/>
        <v>818180</v>
      </c>
      <c r="P20" s="226">
        <v>58181.82</v>
      </c>
      <c r="Q20" s="226">
        <f t="shared" si="2"/>
        <v>1163636.3999999999</v>
      </c>
    </row>
    <row r="21" spans="2:17">
      <c r="B21" s="200">
        <v>18</v>
      </c>
      <c r="C21" s="207" t="s">
        <v>119</v>
      </c>
      <c r="D21" s="208" t="s">
        <v>120</v>
      </c>
      <c r="E21" s="209" t="s">
        <v>9</v>
      </c>
      <c r="F21" s="209" t="s">
        <v>121</v>
      </c>
      <c r="G21" s="207"/>
      <c r="H21" s="207" t="s">
        <v>122</v>
      </c>
      <c r="I21" s="207"/>
      <c r="J21" s="209" t="s">
        <v>50</v>
      </c>
      <c r="K21" s="207" t="s">
        <v>123</v>
      </c>
      <c r="L21" s="224">
        <v>44251</v>
      </c>
      <c r="M21" s="225">
        <v>254545</v>
      </c>
      <c r="N21" s="226">
        <v>2</v>
      </c>
      <c r="O21" s="225">
        <f t="shared" ref="O21" si="3">SUM(M21*N21)</f>
        <v>509090</v>
      </c>
      <c r="P21" s="226">
        <v>275000</v>
      </c>
      <c r="Q21" s="226">
        <f t="shared" si="2"/>
        <v>550000</v>
      </c>
    </row>
    <row r="22" spans="2:17">
      <c r="B22" s="200">
        <v>19</v>
      </c>
      <c r="C22" s="210" t="s">
        <v>124</v>
      </c>
      <c r="D22" s="211" t="s">
        <v>125</v>
      </c>
      <c r="E22" s="212" t="s">
        <v>9</v>
      </c>
      <c r="F22" s="213" t="s">
        <v>126</v>
      </c>
      <c r="G22" s="210"/>
      <c r="H22" s="210" t="s">
        <v>127</v>
      </c>
      <c r="I22" s="210"/>
      <c r="J22" s="213" t="s">
        <v>50</v>
      </c>
      <c r="K22" s="210" t="s">
        <v>128</v>
      </c>
      <c r="L22" s="227">
        <v>44257</v>
      </c>
      <c r="M22" s="228">
        <v>254545</v>
      </c>
      <c r="N22" s="210">
        <v>2</v>
      </c>
      <c r="O22" s="229">
        <f>N22*M22</f>
        <v>509090</v>
      </c>
      <c r="P22" s="229">
        <v>275000</v>
      </c>
      <c r="Q22" s="229">
        <f t="shared" si="2"/>
        <v>550000</v>
      </c>
    </row>
    <row r="23" spans="2:17">
      <c r="B23" s="200">
        <v>20</v>
      </c>
      <c r="C23" s="210" t="s">
        <v>129</v>
      </c>
      <c r="D23" s="211" t="s">
        <v>130</v>
      </c>
      <c r="E23" s="212" t="s">
        <v>5</v>
      </c>
      <c r="F23" s="213" t="s">
        <v>131</v>
      </c>
      <c r="G23" s="210"/>
      <c r="H23" s="210" t="s">
        <v>132</v>
      </c>
      <c r="I23" s="210"/>
      <c r="J23" s="213" t="s">
        <v>50</v>
      </c>
      <c r="K23" s="210" t="s">
        <v>133</v>
      </c>
      <c r="L23" s="227">
        <v>44259</v>
      </c>
      <c r="M23" s="228">
        <v>444545</v>
      </c>
      <c r="N23" s="210">
        <v>38</v>
      </c>
      <c r="O23" s="229">
        <f>N23*M23</f>
        <v>16892710</v>
      </c>
      <c r="P23" s="229">
        <v>545455</v>
      </c>
      <c r="Q23" s="229">
        <f t="shared" si="2"/>
        <v>20727290</v>
      </c>
    </row>
    <row r="24" spans="2:17">
      <c r="B24" s="200">
        <v>21</v>
      </c>
      <c r="C24" s="210" t="s">
        <v>134</v>
      </c>
      <c r="D24" s="211" t="s">
        <v>135</v>
      </c>
      <c r="E24" s="212" t="s">
        <v>9</v>
      </c>
      <c r="F24" s="213" t="s">
        <v>136</v>
      </c>
      <c r="G24" s="210"/>
      <c r="H24" s="210" t="s">
        <v>137</v>
      </c>
      <c r="I24" s="210"/>
      <c r="J24" s="213" t="s">
        <v>50</v>
      </c>
      <c r="K24" s="210" t="s">
        <v>138</v>
      </c>
      <c r="L24" s="227">
        <v>44264</v>
      </c>
      <c r="M24" s="228">
        <v>254545</v>
      </c>
      <c r="N24" s="210">
        <v>3</v>
      </c>
      <c r="O24" s="229">
        <f>N24*M24</f>
        <v>763635</v>
      </c>
      <c r="P24" s="229">
        <v>275000</v>
      </c>
      <c r="Q24" s="229">
        <f t="shared" si="2"/>
        <v>825000</v>
      </c>
    </row>
    <row r="25" spans="2:17">
      <c r="B25" s="200">
        <v>22</v>
      </c>
      <c r="C25" s="210" t="s">
        <v>139</v>
      </c>
      <c r="D25" s="211" t="s">
        <v>140</v>
      </c>
      <c r="E25" s="212" t="s">
        <v>9</v>
      </c>
      <c r="F25" s="213" t="s">
        <v>141</v>
      </c>
      <c r="G25" s="210"/>
      <c r="H25" s="210" t="s">
        <v>142</v>
      </c>
      <c r="I25" s="210"/>
      <c r="J25" s="213" t="s">
        <v>50</v>
      </c>
      <c r="K25" s="210" t="s">
        <v>143</v>
      </c>
      <c r="L25" s="227">
        <v>44271</v>
      </c>
      <c r="M25" s="228">
        <v>254545</v>
      </c>
      <c r="N25" s="210">
        <v>1</v>
      </c>
      <c r="O25" s="229">
        <f t="shared" ref="O25:O57" si="4">N25*M25</f>
        <v>254545</v>
      </c>
      <c r="P25" s="229">
        <v>275000</v>
      </c>
      <c r="Q25" s="229">
        <f t="shared" si="2"/>
        <v>275000</v>
      </c>
    </row>
    <row r="26" spans="2:17">
      <c r="B26" s="200">
        <v>23</v>
      </c>
      <c r="C26" s="210" t="s">
        <v>144</v>
      </c>
      <c r="D26" s="211" t="s">
        <v>140</v>
      </c>
      <c r="E26" s="212" t="s">
        <v>9</v>
      </c>
      <c r="F26" s="213" t="s">
        <v>145</v>
      </c>
      <c r="G26" s="210"/>
      <c r="H26" s="210" t="s">
        <v>142</v>
      </c>
      <c r="I26" s="210"/>
      <c r="J26" s="213" t="s">
        <v>50</v>
      </c>
      <c r="K26" s="210" t="s">
        <v>146</v>
      </c>
      <c r="L26" s="227">
        <v>44271</v>
      </c>
      <c r="M26" s="228">
        <v>254545</v>
      </c>
      <c r="N26" s="210">
        <v>1</v>
      </c>
      <c r="O26" s="229">
        <f t="shared" si="4"/>
        <v>254545</v>
      </c>
      <c r="P26" s="229">
        <v>275000</v>
      </c>
      <c r="Q26" s="229">
        <f t="shared" si="2"/>
        <v>275000</v>
      </c>
    </row>
    <row r="27" spans="2:17">
      <c r="B27" s="200">
        <v>24</v>
      </c>
      <c r="C27" s="210" t="s">
        <v>147</v>
      </c>
      <c r="D27" s="211" t="s">
        <v>148</v>
      </c>
      <c r="E27" s="212" t="s">
        <v>9</v>
      </c>
      <c r="F27" s="213" t="s">
        <v>149</v>
      </c>
      <c r="G27" s="210"/>
      <c r="H27" s="210" t="s">
        <v>150</v>
      </c>
      <c r="I27" s="210"/>
      <c r="J27" s="213" t="s">
        <v>50</v>
      </c>
      <c r="K27" s="210" t="s">
        <v>151</v>
      </c>
      <c r="L27" s="227">
        <v>44274</v>
      </c>
      <c r="M27" s="228">
        <v>254545</v>
      </c>
      <c r="N27" s="210">
        <v>2</v>
      </c>
      <c r="O27" s="229">
        <f t="shared" si="4"/>
        <v>509090</v>
      </c>
      <c r="P27" s="229">
        <v>275000</v>
      </c>
      <c r="Q27" s="229">
        <f t="shared" si="2"/>
        <v>550000</v>
      </c>
    </row>
    <row r="28" spans="2:17">
      <c r="B28" s="200">
        <v>25</v>
      </c>
      <c r="C28" s="210" t="s">
        <v>152</v>
      </c>
      <c r="D28" s="211" t="s">
        <v>148</v>
      </c>
      <c r="E28" s="212" t="s">
        <v>9</v>
      </c>
      <c r="F28" s="213" t="s">
        <v>153</v>
      </c>
      <c r="G28" s="210"/>
      <c r="H28" s="210" t="s">
        <v>150</v>
      </c>
      <c r="I28" s="210"/>
      <c r="J28" s="213" t="s">
        <v>50</v>
      </c>
      <c r="K28" s="210" t="s">
        <v>154</v>
      </c>
      <c r="L28" s="227">
        <v>44274</v>
      </c>
      <c r="M28" s="228">
        <v>254545</v>
      </c>
      <c r="N28" s="210">
        <v>5</v>
      </c>
      <c r="O28" s="229">
        <f t="shared" si="4"/>
        <v>1272725</v>
      </c>
      <c r="P28" s="229">
        <v>275000</v>
      </c>
      <c r="Q28" s="229">
        <f t="shared" si="2"/>
        <v>1375000</v>
      </c>
    </row>
    <row r="29" spans="2:17">
      <c r="B29" s="200">
        <v>26</v>
      </c>
      <c r="C29" s="210" t="s">
        <v>155</v>
      </c>
      <c r="D29" s="211" t="s">
        <v>148</v>
      </c>
      <c r="E29" s="212" t="s">
        <v>9</v>
      </c>
      <c r="F29" s="213" t="s">
        <v>149</v>
      </c>
      <c r="G29" s="210"/>
      <c r="H29" s="210" t="s">
        <v>150</v>
      </c>
      <c r="I29" s="210"/>
      <c r="J29" s="213" t="s">
        <v>50</v>
      </c>
      <c r="K29" s="210" t="s">
        <v>156</v>
      </c>
      <c r="L29" s="227">
        <v>44274</v>
      </c>
      <c r="M29" s="228">
        <v>254545</v>
      </c>
      <c r="N29" s="210">
        <v>10</v>
      </c>
      <c r="O29" s="229">
        <f t="shared" si="4"/>
        <v>2545450</v>
      </c>
      <c r="P29" s="229">
        <v>275000</v>
      </c>
      <c r="Q29" s="229">
        <f t="shared" si="2"/>
        <v>2750000</v>
      </c>
    </row>
    <row r="30" spans="2:17">
      <c r="B30" s="200">
        <v>27</v>
      </c>
      <c r="C30" s="210" t="s">
        <v>157</v>
      </c>
      <c r="D30" s="211" t="s">
        <v>148</v>
      </c>
      <c r="E30" s="212" t="s">
        <v>9</v>
      </c>
      <c r="F30" s="213" t="s">
        <v>158</v>
      </c>
      <c r="G30" s="210"/>
      <c r="H30" s="210" t="s">
        <v>150</v>
      </c>
      <c r="I30" s="210"/>
      <c r="J30" s="213" t="s">
        <v>50</v>
      </c>
      <c r="K30" s="210" t="s">
        <v>159</v>
      </c>
      <c r="L30" s="227">
        <v>44274</v>
      </c>
      <c r="M30" s="228">
        <v>254545</v>
      </c>
      <c r="N30" s="210">
        <v>7</v>
      </c>
      <c r="O30" s="229">
        <f t="shared" si="4"/>
        <v>1781815</v>
      </c>
      <c r="P30" s="229">
        <v>275000</v>
      </c>
      <c r="Q30" s="229">
        <f t="shared" si="2"/>
        <v>1925000</v>
      </c>
    </row>
    <row r="31" spans="2:17">
      <c r="B31" s="200">
        <v>28</v>
      </c>
      <c r="C31" s="210" t="s">
        <v>160</v>
      </c>
      <c r="D31" s="211" t="s">
        <v>148</v>
      </c>
      <c r="E31" s="212" t="s">
        <v>9</v>
      </c>
      <c r="F31" s="213" t="s">
        <v>161</v>
      </c>
      <c r="G31" s="210"/>
      <c r="H31" s="210" t="s">
        <v>150</v>
      </c>
      <c r="I31" s="210"/>
      <c r="J31" s="213" t="s">
        <v>50</v>
      </c>
      <c r="K31" s="210" t="s">
        <v>162</v>
      </c>
      <c r="L31" s="227">
        <v>44274</v>
      </c>
      <c r="M31" s="228">
        <v>254545</v>
      </c>
      <c r="N31" s="210">
        <v>5</v>
      </c>
      <c r="O31" s="229">
        <f t="shared" si="4"/>
        <v>1272725</v>
      </c>
      <c r="P31" s="229">
        <v>275000</v>
      </c>
      <c r="Q31" s="229">
        <f t="shared" si="2"/>
        <v>1375000</v>
      </c>
    </row>
    <row r="32" spans="2:17">
      <c r="B32" s="200">
        <v>29</v>
      </c>
      <c r="C32" s="210" t="s">
        <v>163</v>
      </c>
      <c r="D32" s="211" t="s">
        <v>164</v>
      </c>
      <c r="E32" s="212"/>
      <c r="F32" s="213" t="s">
        <v>165</v>
      </c>
      <c r="G32" s="210"/>
      <c r="H32" s="210" t="s">
        <v>166</v>
      </c>
      <c r="I32" s="210"/>
      <c r="J32" s="213" t="s">
        <v>85</v>
      </c>
      <c r="K32" s="210" t="s">
        <v>167</v>
      </c>
      <c r="L32" s="227">
        <v>44278</v>
      </c>
      <c r="M32" s="228">
        <v>222727</v>
      </c>
      <c r="N32" s="210">
        <v>20</v>
      </c>
      <c r="O32" s="229">
        <f t="shared" si="4"/>
        <v>4454540</v>
      </c>
      <c r="P32" s="229">
        <v>432591</v>
      </c>
      <c r="Q32" s="229">
        <f t="shared" si="2"/>
        <v>8651820</v>
      </c>
    </row>
    <row r="33" spans="2:17">
      <c r="B33" s="200">
        <v>30</v>
      </c>
      <c r="C33" s="210" t="s">
        <v>168</v>
      </c>
      <c r="D33" s="210" t="s">
        <v>169</v>
      </c>
      <c r="E33" s="212" t="s">
        <v>9</v>
      </c>
      <c r="F33" s="213" t="s">
        <v>170</v>
      </c>
      <c r="G33" s="210"/>
      <c r="H33" s="210" t="s">
        <v>171</v>
      </c>
      <c r="I33" s="210"/>
      <c r="J33" s="213" t="s">
        <v>50</v>
      </c>
      <c r="K33" s="210" t="s">
        <v>172</v>
      </c>
      <c r="L33" s="227">
        <v>44278</v>
      </c>
      <c r="M33" s="228">
        <v>254545</v>
      </c>
      <c r="N33" s="210">
        <v>1</v>
      </c>
      <c r="O33" s="229">
        <f t="shared" si="4"/>
        <v>254545</v>
      </c>
      <c r="P33" s="229">
        <v>275000</v>
      </c>
      <c r="Q33" s="229">
        <f t="shared" si="2"/>
        <v>275000</v>
      </c>
    </row>
    <row r="34" spans="2:17">
      <c r="B34" s="200">
        <v>31</v>
      </c>
      <c r="C34" s="210" t="s">
        <v>173</v>
      </c>
      <c r="D34" s="210" t="s">
        <v>174</v>
      </c>
      <c r="E34" s="212" t="s">
        <v>9</v>
      </c>
      <c r="F34" s="213" t="s">
        <v>175</v>
      </c>
      <c r="G34" s="210"/>
      <c r="H34" s="210" t="s">
        <v>176</v>
      </c>
      <c r="I34" s="210"/>
      <c r="J34" s="213" t="s">
        <v>50</v>
      </c>
      <c r="K34" s="210" t="s">
        <v>177</v>
      </c>
      <c r="L34" s="227">
        <v>44279</v>
      </c>
      <c r="M34" s="228">
        <v>254545</v>
      </c>
      <c r="N34" s="210">
        <v>6</v>
      </c>
      <c r="O34" s="229">
        <f t="shared" si="4"/>
        <v>1527270</v>
      </c>
      <c r="P34" s="229">
        <v>275000</v>
      </c>
      <c r="Q34" s="229">
        <f t="shared" si="2"/>
        <v>1650000</v>
      </c>
    </row>
    <row r="35" spans="2:17">
      <c r="B35" s="200">
        <v>32</v>
      </c>
      <c r="C35" s="210" t="s">
        <v>178</v>
      </c>
      <c r="D35" s="211" t="s">
        <v>179</v>
      </c>
      <c r="E35" s="212" t="s">
        <v>5</v>
      </c>
      <c r="F35" s="213" t="s">
        <v>180</v>
      </c>
      <c r="G35" s="210"/>
      <c r="H35" s="210" t="s">
        <v>181</v>
      </c>
      <c r="I35" s="210"/>
      <c r="J35" s="213" t="s">
        <v>85</v>
      </c>
      <c r="K35" s="210" t="s">
        <v>182</v>
      </c>
      <c r="L35" s="227">
        <v>44279</v>
      </c>
      <c r="M35" s="228">
        <v>222727</v>
      </c>
      <c r="N35" s="210">
        <v>130</v>
      </c>
      <c r="O35" s="229">
        <f t="shared" si="4"/>
        <v>28954510</v>
      </c>
      <c r="P35" s="229">
        <v>279091</v>
      </c>
      <c r="Q35" s="229">
        <f t="shared" si="2"/>
        <v>36281830</v>
      </c>
    </row>
    <row r="36" spans="2:17">
      <c r="B36" s="200">
        <v>33</v>
      </c>
      <c r="C36" s="210" t="s">
        <v>183</v>
      </c>
      <c r="D36" s="211" t="s">
        <v>184</v>
      </c>
      <c r="E36" s="212" t="s">
        <v>6</v>
      </c>
      <c r="F36" s="213" t="s">
        <v>185</v>
      </c>
      <c r="G36" s="210"/>
      <c r="H36" s="210" t="s">
        <v>186</v>
      </c>
      <c r="I36" s="210"/>
      <c r="J36" s="213" t="s">
        <v>50</v>
      </c>
      <c r="K36" s="210" t="s">
        <v>187</v>
      </c>
      <c r="L36" s="227">
        <v>44285</v>
      </c>
      <c r="M36" s="228">
        <v>345455</v>
      </c>
      <c r="N36" s="210">
        <v>350</v>
      </c>
      <c r="O36" s="229">
        <f t="shared" si="4"/>
        <v>120909250</v>
      </c>
      <c r="P36" s="229">
        <v>388181.82</v>
      </c>
      <c r="Q36" s="229">
        <f t="shared" si="2"/>
        <v>135863637</v>
      </c>
    </row>
    <row r="37" spans="2:17">
      <c r="B37" s="200">
        <v>34</v>
      </c>
      <c r="C37" s="210" t="s">
        <v>188</v>
      </c>
      <c r="D37" s="210" t="s">
        <v>189</v>
      </c>
      <c r="E37" s="212" t="s">
        <v>9</v>
      </c>
      <c r="F37" s="213" t="s">
        <v>190</v>
      </c>
      <c r="G37" s="210"/>
      <c r="H37" s="210" t="s">
        <v>191</v>
      </c>
      <c r="I37" s="210"/>
      <c r="J37" s="213" t="s">
        <v>50</v>
      </c>
      <c r="K37" s="210" t="s">
        <v>192</v>
      </c>
      <c r="L37" s="227">
        <v>44281</v>
      </c>
      <c r="M37" s="228">
        <v>254545</v>
      </c>
      <c r="N37" s="210">
        <v>6</v>
      </c>
      <c r="O37" s="229">
        <f t="shared" si="4"/>
        <v>1527270</v>
      </c>
      <c r="P37" s="229">
        <v>275000</v>
      </c>
      <c r="Q37" s="229">
        <f t="shared" si="2"/>
        <v>1650000</v>
      </c>
    </row>
    <row r="38" spans="2:17">
      <c r="B38" s="200">
        <v>35</v>
      </c>
      <c r="C38" s="210" t="s">
        <v>193</v>
      </c>
      <c r="D38" s="210" t="s">
        <v>189</v>
      </c>
      <c r="E38" s="212" t="s">
        <v>9</v>
      </c>
      <c r="F38" s="213" t="s">
        <v>194</v>
      </c>
      <c r="G38" s="210"/>
      <c r="H38" s="210" t="s">
        <v>191</v>
      </c>
      <c r="I38" s="210"/>
      <c r="J38" s="213" t="s">
        <v>50</v>
      </c>
      <c r="K38" s="210" t="s">
        <v>195</v>
      </c>
      <c r="L38" s="227">
        <v>44281</v>
      </c>
      <c r="M38" s="228">
        <v>254545</v>
      </c>
      <c r="N38" s="210">
        <v>3</v>
      </c>
      <c r="O38" s="229">
        <f t="shared" si="4"/>
        <v>763635</v>
      </c>
      <c r="P38" s="229">
        <v>275000</v>
      </c>
      <c r="Q38" s="229">
        <f t="shared" si="2"/>
        <v>825000</v>
      </c>
    </row>
    <row r="39" spans="2:17">
      <c r="B39" s="200">
        <v>36</v>
      </c>
      <c r="C39" s="210" t="s">
        <v>196</v>
      </c>
      <c r="D39" s="210" t="s">
        <v>189</v>
      </c>
      <c r="E39" s="212" t="s">
        <v>9</v>
      </c>
      <c r="F39" s="213" t="s">
        <v>197</v>
      </c>
      <c r="G39" s="210"/>
      <c r="H39" s="210" t="s">
        <v>191</v>
      </c>
      <c r="I39" s="210"/>
      <c r="J39" s="213" t="s">
        <v>50</v>
      </c>
      <c r="K39" s="210" t="s">
        <v>198</v>
      </c>
      <c r="L39" s="227">
        <v>44281</v>
      </c>
      <c r="M39" s="228">
        <v>254545</v>
      </c>
      <c r="N39" s="210">
        <v>2</v>
      </c>
      <c r="O39" s="229">
        <f t="shared" si="4"/>
        <v>509090</v>
      </c>
      <c r="P39" s="229">
        <v>275000</v>
      </c>
      <c r="Q39" s="229">
        <f t="shared" si="2"/>
        <v>550000</v>
      </c>
    </row>
    <row r="40" spans="2:17">
      <c r="B40" s="200">
        <v>37</v>
      </c>
      <c r="C40" s="210" t="s">
        <v>199</v>
      </c>
      <c r="D40" s="210" t="s">
        <v>189</v>
      </c>
      <c r="E40" s="212" t="s">
        <v>9</v>
      </c>
      <c r="F40" s="213" t="s">
        <v>194</v>
      </c>
      <c r="G40" s="210"/>
      <c r="H40" s="210" t="s">
        <v>191</v>
      </c>
      <c r="I40" s="210"/>
      <c r="J40" s="213" t="s">
        <v>50</v>
      </c>
      <c r="K40" s="210" t="s">
        <v>200</v>
      </c>
      <c r="L40" s="227">
        <v>44281</v>
      </c>
      <c r="M40" s="228">
        <v>254545</v>
      </c>
      <c r="N40" s="210">
        <v>5</v>
      </c>
      <c r="O40" s="229">
        <f t="shared" si="4"/>
        <v>1272725</v>
      </c>
      <c r="P40" s="229">
        <v>275000</v>
      </c>
      <c r="Q40" s="229">
        <f t="shared" si="2"/>
        <v>1375000</v>
      </c>
    </row>
    <row r="41" spans="2:17">
      <c r="B41" s="200">
        <v>38</v>
      </c>
      <c r="C41" s="210" t="s">
        <v>201</v>
      </c>
      <c r="D41" s="211" t="s">
        <v>202</v>
      </c>
      <c r="E41" s="212" t="s">
        <v>9</v>
      </c>
      <c r="F41" s="213" t="s">
        <v>203</v>
      </c>
      <c r="G41" s="210"/>
      <c r="H41" s="210" t="s">
        <v>186</v>
      </c>
      <c r="I41" s="210"/>
      <c r="J41" s="213" t="s">
        <v>50</v>
      </c>
      <c r="K41" s="210" t="s">
        <v>204</v>
      </c>
      <c r="L41" s="227">
        <v>44285</v>
      </c>
      <c r="M41" s="228">
        <v>254545</v>
      </c>
      <c r="N41" s="210">
        <v>2</v>
      </c>
      <c r="O41" s="229">
        <f t="shared" si="4"/>
        <v>509090</v>
      </c>
      <c r="P41" s="229">
        <v>275000</v>
      </c>
      <c r="Q41" s="229">
        <f t="shared" si="2"/>
        <v>550000</v>
      </c>
    </row>
    <row r="42" spans="2:17">
      <c r="B42" s="200">
        <v>39</v>
      </c>
      <c r="C42" s="210" t="s">
        <v>205</v>
      </c>
      <c r="D42" s="211" t="s">
        <v>202</v>
      </c>
      <c r="E42" s="212" t="s">
        <v>9</v>
      </c>
      <c r="F42" s="213" t="s">
        <v>206</v>
      </c>
      <c r="G42" s="210"/>
      <c r="H42" s="210" t="s">
        <v>186</v>
      </c>
      <c r="I42" s="210"/>
      <c r="J42" s="213" t="s">
        <v>50</v>
      </c>
      <c r="K42" s="210" t="s">
        <v>207</v>
      </c>
      <c r="L42" s="227">
        <v>44285</v>
      </c>
      <c r="M42" s="228">
        <v>254545</v>
      </c>
      <c r="N42" s="210">
        <v>3</v>
      </c>
      <c r="O42" s="229">
        <f t="shared" si="4"/>
        <v>763635</v>
      </c>
      <c r="P42" s="229">
        <v>275000</v>
      </c>
      <c r="Q42" s="229">
        <f t="shared" si="2"/>
        <v>825000</v>
      </c>
    </row>
    <row r="43" spans="2:17">
      <c r="B43" s="200">
        <v>40</v>
      </c>
      <c r="C43" s="210" t="s">
        <v>208</v>
      </c>
      <c r="D43" s="211" t="s">
        <v>209</v>
      </c>
      <c r="E43" s="212" t="s">
        <v>9</v>
      </c>
      <c r="F43" s="213" t="s">
        <v>210</v>
      </c>
      <c r="G43" s="210"/>
      <c r="H43" s="210" t="s">
        <v>211</v>
      </c>
      <c r="I43" s="210"/>
      <c r="J43" s="213" t="s">
        <v>50</v>
      </c>
      <c r="K43" s="210" t="s">
        <v>212</v>
      </c>
      <c r="L43" s="227">
        <v>44286</v>
      </c>
      <c r="M43" s="228">
        <v>254545</v>
      </c>
      <c r="N43" s="210">
        <v>1</v>
      </c>
      <c r="O43" s="229">
        <f t="shared" si="4"/>
        <v>254545</v>
      </c>
      <c r="P43" s="229">
        <v>275000</v>
      </c>
      <c r="Q43" s="229">
        <f t="shared" si="2"/>
        <v>275000</v>
      </c>
    </row>
    <row r="44" spans="2:17">
      <c r="B44" s="200">
        <v>41</v>
      </c>
      <c r="C44" s="210" t="s">
        <v>213</v>
      </c>
      <c r="D44" s="211" t="s">
        <v>209</v>
      </c>
      <c r="E44" s="212" t="s">
        <v>9</v>
      </c>
      <c r="F44" s="213" t="s">
        <v>214</v>
      </c>
      <c r="G44" s="210"/>
      <c r="H44" s="210" t="s">
        <v>211</v>
      </c>
      <c r="I44" s="210"/>
      <c r="J44" s="213" t="s">
        <v>50</v>
      </c>
      <c r="K44" s="210" t="s">
        <v>215</v>
      </c>
      <c r="L44" s="227">
        <v>44286</v>
      </c>
      <c r="M44" s="228">
        <v>254545</v>
      </c>
      <c r="N44" s="210">
        <v>5</v>
      </c>
      <c r="O44" s="229">
        <f t="shared" si="4"/>
        <v>1272725</v>
      </c>
      <c r="P44" s="229">
        <v>275000</v>
      </c>
      <c r="Q44" s="229">
        <f t="shared" si="2"/>
        <v>1375000</v>
      </c>
    </row>
    <row r="45" spans="2:17">
      <c r="B45" s="200">
        <v>42</v>
      </c>
      <c r="C45" s="210" t="s">
        <v>216</v>
      </c>
      <c r="D45" s="211" t="s">
        <v>217</v>
      </c>
      <c r="E45" s="212" t="s">
        <v>14</v>
      </c>
      <c r="F45" s="213" t="s">
        <v>218</v>
      </c>
      <c r="G45" s="210"/>
      <c r="H45" s="210" t="s">
        <v>181</v>
      </c>
      <c r="I45" s="210"/>
      <c r="J45" s="213" t="s">
        <v>63</v>
      </c>
      <c r="K45" s="210" t="s">
        <v>219</v>
      </c>
      <c r="L45" s="227">
        <v>44285</v>
      </c>
      <c r="M45" s="228">
        <v>92727</v>
      </c>
      <c r="N45" s="210">
        <v>18</v>
      </c>
      <c r="O45" s="229">
        <f t="shared" si="4"/>
        <v>1669086</v>
      </c>
      <c r="P45" s="229">
        <v>106818.18</v>
      </c>
      <c r="Q45" s="229">
        <f t="shared" si="2"/>
        <v>1922727.2399999998</v>
      </c>
    </row>
    <row r="46" spans="2:17">
      <c r="B46" s="200">
        <v>43</v>
      </c>
      <c r="C46" s="214" t="s">
        <v>220</v>
      </c>
      <c r="D46" s="215" t="s">
        <v>221</v>
      </c>
      <c r="E46" s="216" t="s">
        <v>9</v>
      </c>
      <c r="F46" s="217" t="s">
        <v>222</v>
      </c>
      <c r="G46" s="214"/>
      <c r="H46" s="214" t="s">
        <v>223</v>
      </c>
      <c r="I46" s="214"/>
      <c r="J46" s="217" t="s">
        <v>50</v>
      </c>
      <c r="K46" s="214" t="s">
        <v>224</v>
      </c>
      <c r="L46" s="230">
        <v>44298</v>
      </c>
      <c r="M46" s="231">
        <v>254545</v>
      </c>
      <c r="N46" s="214">
        <v>7</v>
      </c>
      <c r="O46" s="232">
        <f t="shared" si="4"/>
        <v>1781815</v>
      </c>
      <c r="P46" s="232">
        <v>275000</v>
      </c>
      <c r="Q46" s="232">
        <f t="shared" si="2"/>
        <v>1925000</v>
      </c>
    </row>
    <row r="47" spans="2:17">
      <c r="B47" s="200">
        <v>44</v>
      </c>
      <c r="C47" s="214" t="s">
        <v>225</v>
      </c>
      <c r="D47" s="215" t="s">
        <v>221</v>
      </c>
      <c r="E47" s="216" t="s">
        <v>9</v>
      </c>
      <c r="F47" s="217" t="s">
        <v>226</v>
      </c>
      <c r="G47" s="214"/>
      <c r="H47" s="214" t="s">
        <v>223</v>
      </c>
      <c r="I47" s="214"/>
      <c r="J47" s="217" t="s">
        <v>50</v>
      </c>
      <c r="K47" s="214" t="s">
        <v>227</v>
      </c>
      <c r="L47" s="230">
        <v>44298</v>
      </c>
      <c r="M47" s="231">
        <v>254545</v>
      </c>
      <c r="N47" s="214">
        <v>5</v>
      </c>
      <c r="O47" s="232">
        <f t="shared" si="4"/>
        <v>1272725</v>
      </c>
      <c r="P47" s="232">
        <v>275000</v>
      </c>
      <c r="Q47" s="232">
        <f t="shared" si="2"/>
        <v>1375000</v>
      </c>
    </row>
    <row r="48" spans="2:17">
      <c r="B48" s="200">
        <v>45</v>
      </c>
      <c r="C48" s="214" t="s">
        <v>228</v>
      </c>
      <c r="D48" s="215" t="s">
        <v>221</v>
      </c>
      <c r="E48" s="216" t="s">
        <v>9</v>
      </c>
      <c r="F48" s="217" t="s">
        <v>229</v>
      </c>
      <c r="G48" s="214"/>
      <c r="H48" s="214" t="s">
        <v>223</v>
      </c>
      <c r="I48" s="214"/>
      <c r="J48" s="217" t="s">
        <v>50</v>
      </c>
      <c r="K48" s="214" t="s">
        <v>230</v>
      </c>
      <c r="L48" s="230">
        <v>44298</v>
      </c>
      <c r="M48" s="231">
        <v>254545</v>
      </c>
      <c r="N48" s="214">
        <v>3</v>
      </c>
      <c r="O48" s="232">
        <f t="shared" si="4"/>
        <v>763635</v>
      </c>
      <c r="P48" s="232">
        <v>275000</v>
      </c>
      <c r="Q48" s="232">
        <f t="shared" si="2"/>
        <v>825000</v>
      </c>
    </row>
    <row r="49" spans="2:17">
      <c r="B49" s="200">
        <v>46</v>
      </c>
      <c r="C49" s="214" t="s">
        <v>231</v>
      </c>
      <c r="D49" s="215" t="s">
        <v>221</v>
      </c>
      <c r="E49" s="216" t="s">
        <v>9</v>
      </c>
      <c r="F49" s="217" t="s">
        <v>232</v>
      </c>
      <c r="G49" s="214"/>
      <c r="H49" s="214" t="s">
        <v>223</v>
      </c>
      <c r="I49" s="214"/>
      <c r="J49" s="217" t="s">
        <v>50</v>
      </c>
      <c r="K49" s="214" t="s">
        <v>233</v>
      </c>
      <c r="L49" s="230">
        <v>44298</v>
      </c>
      <c r="M49" s="231">
        <v>254545</v>
      </c>
      <c r="N49" s="214">
        <v>6</v>
      </c>
      <c r="O49" s="232">
        <f t="shared" si="4"/>
        <v>1527270</v>
      </c>
      <c r="P49" s="232">
        <v>275000</v>
      </c>
      <c r="Q49" s="232">
        <f t="shared" si="2"/>
        <v>1650000</v>
      </c>
    </row>
    <row r="50" spans="2:17">
      <c r="B50" s="200">
        <v>47</v>
      </c>
      <c r="C50" s="214" t="s">
        <v>234</v>
      </c>
      <c r="D50" s="215" t="s">
        <v>221</v>
      </c>
      <c r="E50" s="216" t="s">
        <v>9</v>
      </c>
      <c r="F50" s="217" t="s">
        <v>235</v>
      </c>
      <c r="G50" s="214"/>
      <c r="H50" s="214" t="s">
        <v>223</v>
      </c>
      <c r="I50" s="214"/>
      <c r="J50" s="217" t="s">
        <v>50</v>
      </c>
      <c r="K50" s="214" t="s">
        <v>236</v>
      </c>
      <c r="L50" s="230">
        <v>44298</v>
      </c>
      <c r="M50" s="231">
        <v>254545</v>
      </c>
      <c r="N50" s="214">
        <v>6</v>
      </c>
      <c r="O50" s="232">
        <f t="shared" si="4"/>
        <v>1527270</v>
      </c>
      <c r="P50" s="232">
        <v>275000</v>
      </c>
      <c r="Q50" s="232">
        <f t="shared" si="2"/>
        <v>1650000</v>
      </c>
    </row>
    <row r="51" spans="2:17">
      <c r="B51" s="200">
        <v>48</v>
      </c>
      <c r="C51" s="214" t="s">
        <v>237</v>
      </c>
      <c r="D51" s="215" t="s">
        <v>221</v>
      </c>
      <c r="E51" s="216" t="s">
        <v>9</v>
      </c>
      <c r="F51" s="217" t="s">
        <v>238</v>
      </c>
      <c r="G51" s="214"/>
      <c r="H51" s="214" t="s">
        <v>223</v>
      </c>
      <c r="I51" s="214"/>
      <c r="J51" s="217" t="s">
        <v>50</v>
      </c>
      <c r="K51" s="214" t="s">
        <v>239</v>
      </c>
      <c r="L51" s="230">
        <v>44298</v>
      </c>
      <c r="M51" s="231">
        <v>254545</v>
      </c>
      <c r="N51" s="214">
        <v>5</v>
      </c>
      <c r="O51" s="232">
        <f t="shared" si="4"/>
        <v>1272725</v>
      </c>
      <c r="P51" s="232">
        <v>275000</v>
      </c>
      <c r="Q51" s="232">
        <f t="shared" si="2"/>
        <v>1375000</v>
      </c>
    </row>
    <row r="52" spans="2:17">
      <c r="B52" s="200">
        <v>49</v>
      </c>
      <c r="C52" s="214" t="s">
        <v>240</v>
      </c>
      <c r="D52" s="215" t="s">
        <v>221</v>
      </c>
      <c r="E52" s="216" t="s">
        <v>9</v>
      </c>
      <c r="F52" s="217" t="s">
        <v>241</v>
      </c>
      <c r="G52" s="214"/>
      <c r="H52" s="214" t="s">
        <v>223</v>
      </c>
      <c r="I52" s="214"/>
      <c r="J52" s="217" t="s">
        <v>50</v>
      </c>
      <c r="K52" s="214" t="s">
        <v>242</v>
      </c>
      <c r="L52" s="230">
        <v>44298</v>
      </c>
      <c r="M52" s="231">
        <v>254545</v>
      </c>
      <c r="N52" s="214">
        <v>7</v>
      </c>
      <c r="O52" s="232">
        <f t="shared" si="4"/>
        <v>1781815</v>
      </c>
      <c r="P52" s="232">
        <v>275000</v>
      </c>
      <c r="Q52" s="232">
        <f t="shared" si="2"/>
        <v>1925000</v>
      </c>
    </row>
    <row r="53" spans="2:17">
      <c r="B53" s="200">
        <v>50</v>
      </c>
      <c r="C53" s="214" t="s">
        <v>243</v>
      </c>
      <c r="D53" s="215" t="s">
        <v>244</v>
      </c>
      <c r="E53" s="216" t="s">
        <v>9</v>
      </c>
      <c r="F53" s="217" t="s">
        <v>245</v>
      </c>
      <c r="G53" s="214"/>
      <c r="H53" s="214" t="s">
        <v>246</v>
      </c>
      <c r="I53" s="214"/>
      <c r="J53" s="217" t="s">
        <v>50</v>
      </c>
      <c r="K53" s="214" t="s">
        <v>247</v>
      </c>
      <c r="L53" s="230">
        <v>44299</v>
      </c>
      <c r="M53" s="231">
        <v>254545</v>
      </c>
      <c r="N53" s="214">
        <v>8</v>
      </c>
      <c r="O53" s="232">
        <f t="shared" si="4"/>
        <v>2036360</v>
      </c>
      <c r="P53" s="232">
        <v>275000</v>
      </c>
      <c r="Q53" s="232">
        <f t="shared" si="2"/>
        <v>2200000</v>
      </c>
    </row>
    <row r="54" spans="2:17">
      <c r="B54" s="200">
        <v>51</v>
      </c>
      <c r="C54" s="214" t="s">
        <v>248</v>
      </c>
      <c r="D54" s="215" t="s">
        <v>244</v>
      </c>
      <c r="E54" s="216" t="s">
        <v>9</v>
      </c>
      <c r="F54" s="217" t="s">
        <v>249</v>
      </c>
      <c r="G54" s="214"/>
      <c r="H54" s="214" t="s">
        <v>246</v>
      </c>
      <c r="I54" s="214"/>
      <c r="J54" s="217" t="s">
        <v>50</v>
      </c>
      <c r="K54" s="214" t="s">
        <v>250</v>
      </c>
      <c r="L54" s="230">
        <v>44299</v>
      </c>
      <c r="M54" s="231">
        <v>254545</v>
      </c>
      <c r="N54" s="214">
        <v>7</v>
      </c>
      <c r="O54" s="232">
        <f t="shared" si="4"/>
        <v>1781815</v>
      </c>
      <c r="P54" s="232">
        <v>275000</v>
      </c>
      <c r="Q54" s="232">
        <f t="shared" si="2"/>
        <v>1925000</v>
      </c>
    </row>
    <row r="55" spans="2:17">
      <c r="B55" s="200">
        <v>52</v>
      </c>
      <c r="C55" s="214" t="s">
        <v>251</v>
      </c>
      <c r="D55" s="215" t="s">
        <v>244</v>
      </c>
      <c r="E55" s="216" t="s">
        <v>9</v>
      </c>
      <c r="F55" s="217" t="s">
        <v>252</v>
      </c>
      <c r="G55" s="214"/>
      <c r="H55" s="214" t="s">
        <v>246</v>
      </c>
      <c r="I55" s="214"/>
      <c r="J55" s="217" t="s">
        <v>50</v>
      </c>
      <c r="K55" s="214" t="s">
        <v>253</v>
      </c>
      <c r="L55" s="230">
        <v>44299</v>
      </c>
      <c r="M55" s="231">
        <v>254545</v>
      </c>
      <c r="N55" s="214">
        <v>7</v>
      </c>
      <c r="O55" s="232">
        <f t="shared" si="4"/>
        <v>1781815</v>
      </c>
      <c r="P55" s="232">
        <v>275000</v>
      </c>
      <c r="Q55" s="232">
        <f t="shared" si="2"/>
        <v>1925000</v>
      </c>
    </row>
    <row r="56" spans="2:17">
      <c r="B56" s="200">
        <v>53</v>
      </c>
      <c r="C56" s="214" t="s">
        <v>254</v>
      </c>
      <c r="D56" s="215" t="s">
        <v>244</v>
      </c>
      <c r="E56" s="216" t="s">
        <v>9</v>
      </c>
      <c r="F56" s="217" t="s">
        <v>255</v>
      </c>
      <c r="G56" s="214"/>
      <c r="H56" s="214" t="s">
        <v>246</v>
      </c>
      <c r="I56" s="214"/>
      <c r="J56" s="217" t="s">
        <v>50</v>
      </c>
      <c r="K56" s="214" t="s">
        <v>256</v>
      </c>
      <c r="L56" s="230">
        <v>44299</v>
      </c>
      <c r="M56" s="231">
        <v>254545</v>
      </c>
      <c r="N56" s="214">
        <v>3</v>
      </c>
      <c r="O56" s="232">
        <f t="shared" si="4"/>
        <v>763635</v>
      </c>
      <c r="P56" s="232">
        <v>275000</v>
      </c>
      <c r="Q56" s="232">
        <f t="shared" si="2"/>
        <v>825000</v>
      </c>
    </row>
    <row r="57" spans="2:17">
      <c r="B57" s="200">
        <v>54</v>
      </c>
      <c r="C57" s="214" t="s">
        <v>257</v>
      </c>
      <c r="D57" s="215" t="s">
        <v>244</v>
      </c>
      <c r="E57" s="216" t="s">
        <v>9</v>
      </c>
      <c r="F57" s="217" t="s">
        <v>126</v>
      </c>
      <c r="G57" s="214"/>
      <c r="H57" s="214" t="s">
        <v>246</v>
      </c>
      <c r="I57" s="214"/>
      <c r="J57" s="217" t="s">
        <v>50</v>
      </c>
      <c r="K57" s="214" t="s">
        <v>258</v>
      </c>
      <c r="L57" s="230">
        <v>44299</v>
      </c>
      <c r="M57" s="231">
        <v>254545</v>
      </c>
      <c r="N57" s="214">
        <v>1</v>
      </c>
      <c r="O57" s="232">
        <f t="shared" si="4"/>
        <v>254545</v>
      </c>
      <c r="P57" s="232">
        <v>275000</v>
      </c>
      <c r="Q57" s="232">
        <f t="shared" si="2"/>
        <v>275000</v>
      </c>
    </row>
    <row r="58" spans="2:17">
      <c r="B58" s="200">
        <v>55</v>
      </c>
      <c r="C58" s="214" t="s">
        <v>259</v>
      </c>
      <c r="D58" s="215" t="s">
        <v>260</v>
      </c>
      <c r="E58" s="216" t="s">
        <v>9</v>
      </c>
      <c r="F58" s="217" t="s">
        <v>261</v>
      </c>
      <c r="G58" s="214"/>
      <c r="H58" s="214" t="s">
        <v>262</v>
      </c>
      <c r="I58" s="214"/>
      <c r="J58" s="217" t="s">
        <v>50</v>
      </c>
      <c r="K58" s="214" t="s">
        <v>263</v>
      </c>
      <c r="L58" s="230">
        <v>44301</v>
      </c>
      <c r="M58" s="231">
        <v>254545</v>
      </c>
      <c r="N58" s="214">
        <v>4</v>
      </c>
      <c r="O58" s="232">
        <f t="shared" ref="O58:O124" si="5">N58*M58</f>
        <v>1018180</v>
      </c>
      <c r="P58" s="232">
        <v>275000</v>
      </c>
      <c r="Q58" s="232">
        <f t="shared" si="2"/>
        <v>1100000</v>
      </c>
    </row>
    <row r="59" spans="2:17">
      <c r="B59" s="200">
        <v>56</v>
      </c>
      <c r="C59" s="214" t="s">
        <v>264</v>
      </c>
      <c r="D59" s="215" t="s">
        <v>260</v>
      </c>
      <c r="E59" s="216" t="s">
        <v>9</v>
      </c>
      <c r="F59" s="217" t="s">
        <v>265</v>
      </c>
      <c r="G59" s="214"/>
      <c r="H59" s="214" t="s">
        <v>262</v>
      </c>
      <c r="I59" s="214"/>
      <c r="J59" s="217" t="s">
        <v>50</v>
      </c>
      <c r="K59" s="214" t="s">
        <v>266</v>
      </c>
      <c r="L59" s="230">
        <v>44301</v>
      </c>
      <c r="M59" s="231">
        <v>254545</v>
      </c>
      <c r="N59" s="214">
        <v>6</v>
      </c>
      <c r="O59" s="232">
        <f t="shared" si="5"/>
        <v>1527270</v>
      </c>
      <c r="P59" s="232">
        <v>275000</v>
      </c>
      <c r="Q59" s="232">
        <f t="shared" si="2"/>
        <v>1650000</v>
      </c>
    </row>
    <row r="60" spans="2:17">
      <c r="B60" s="200">
        <v>57</v>
      </c>
      <c r="C60" s="214" t="s">
        <v>267</v>
      </c>
      <c r="D60" s="215" t="s">
        <v>260</v>
      </c>
      <c r="E60" s="216" t="s">
        <v>9</v>
      </c>
      <c r="F60" s="217" t="s">
        <v>214</v>
      </c>
      <c r="G60" s="214"/>
      <c r="H60" s="214" t="s">
        <v>262</v>
      </c>
      <c r="I60" s="214"/>
      <c r="J60" s="217" t="s">
        <v>50</v>
      </c>
      <c r="K60" s="214" t="s">
        <v>268</v>
      </c>
      <c r="L60" s="230">
        <v>44301</v>
      </c>
      <c r="M60" s="231">
        <v>254545</v>
      </c>
      <c r="N60" s="214">
        <v>7</v>
      </c>
      <c r="O60" s="232">
        <f t="shared" si="5"/>
        <v>1781815</v>
      </c>
      <c r="P60" s="232">
        <v>275000</v>
      </c>
      <c r="Q60" s="232">
        <f t="shared" si="2"/>
        <v>1925000</v>
      </c>
    </row>
    <row r="61" spans="2:17">
      <c r="B61" s="200">
        <v>58</v>
      </c>
      <c r="C61" s="214" t="s">
        <v>269</v>
      </c>
      <c r="D61" s="215" t="s">
        <v>260</v>
      </c>
      <c r="E61" s="216" t="s">
        <v>9</v>
      </c>
      <c r="F61" s="217" t="s">
        <v>270</v>
      </c>
      <c r="G61" s="214"/>
      <c r="H61" s="214" t="s">
        <v>262</v>
      </c>
      <c r="I61" s="214"/>
      <c r="J61" s="217" t="s">
        <v>50</v>
      </c>
      <c r="K61" s="214" t="s">
        <v>271</v>
      </c>
      <c r="L61" s="230">
        <v>44301</v>
      </c>
      <c r="M61" s="231">
        <v>254545</v>
      </c>
      <c r="N61" s="214">
        <v>5</v>
      </c>
      <c r="O61" s="232">
        <f t="shared" si="5"/>
        <v>1272725</v>
      </c>
      <c r="P61" s="232">
        <v>275000</v>
      </c>
      <c r="Q61" s="232">
        <f t="shared" si="2"/>
        <v>1375000</v>
      </c>
    </row>
    <row r="62" spans="2:17">
      <c r="B62" s="200">
        <v>59</v>
      </c>
      <c r="C62" s="214" t="s">
        <v>272</v>
      </c>
      <c r="D62" s="215" t="s">
        <v>273</v>
      </c>
      <c r="E62" s="216" t="s">
        <v>9</v>
      </c>
      <c r="F62" s="217" t="s">
        <v>274</v>
      </c>
      <c r="G62" s="214"/>
      <c r="H62" s="214" t="s">
        <v>275</v>
      </c>
      <c r="I62" s="214"/>
      <c r="J62" s="217" t="s">
        <v>50</v>
      </c>
      <c r="K62" s="214" t="s">
        <v>276</v>
      </c>
      <c r="L62" s="230">
        <v>44302</v>
      </c>
      <c r="M62" s="231">
        <v>254545</v>
      </c>
      <c r="N62" s="214">
        <v>8</v>
      </c>
      <c r="O62" s="232">
        <f t="shared" si="5"/>
        <v>2036360</v>
      </c>
      <c r="P62" s="232">
        <v>275000</v>
      </c>
      <c r="Q62" s="232">
        <f t="shared" si="2"/>
        <v>2200000</v>
      </c>
    </row>
    <row r="63" spans="2:17">
      <c r="B63" s="200">
        <v>60</v>
      </c>
      <c r="C63" s="214" t="s">
        <v>277</v>
      </c>
      <c r="D63" s="215" t="s">
        <v>273</v>
      </c>
      <c r="E63" s="216" t="s">
        <v>9</v>
      </c>
      <c r="F63" s="217" t="s">
        <v>278</v>
      </c>
      <c r="G63" s="214"/>
      <c r="H63" s="214" t="s">
        <v>275</v>
      </c>
      <c r="I63" s="214"/>
      <c r="J63" s="217" t="s">
        <v>50</v>
      </c>
      <c r="K63" s="214" t="s">
        <v>279</v>
      </c>
      <c r="L63" s="230">
        <v>44302</v>
      </c>
      <c r="M63" s="231">
        <v>254545</v>
      </c>
      <c r="N63" s="214">
        <v>10</v>
      </c>
      <c r="O63" s="232">
        <f t="shared" si="5"/>
        <v>2545450</v>
      </c>
      <c r="P63" s="232">
        <v>275000</v>
      </c>
      <c r="Q63" s="232">
        <f t="shared" si="2"/>
        <v>2750000</v>
      </c>
    </row>
    <row r="64" spans="2:17">
      <c r="B64" s="200">
        <v>61</v>
      </c>
      <c r="C64" s="214" t="s">
        <v>280</v>
      </c>
      <c r="D64" s="215">
        <v>22100000727</v>
      </c>
      <c r="E64" s="216"/>
      <c r="F64" s="217" t="s">
        <v>281</v>
      </c>
      <c r="G64" s="214"/>
      <c r="H64" s="214" t="s">
        <v>282</v>
      </c>
      <c r="I64" s="214"/>
      <c r="J64" s="217" t="s">
        <v>63</v>
      </c>
      <c r="K64" s="214" t="s">
        <v>283</v>
      </c>
      <c r="L64" s="230">
        <v>44305</v>
      </c>
      <c r="M64" s="231">
        <v>92727</v>
      </c>
      <c r="N64" s="214">
        <v>70</v>
      </c>
      <c r="O64" s="232">
        <f t="shared" si="5"/>
        <v>6490890</v>
      </c>
      <c r="P64" s="232">
        <v>185100</v>
      </c>
      <c r="Q64" s="232">
        <f t="shared" si="2"/>
        <v>12957000</v>
      </c>
    </row>
    <row r="65" spans="2:17">
      <c r="B65" s="200">
        <v>62</v>
      </c>
      <c r="C65" s="214" t="s">
        <v>284</v>
      </c>
      <c r="D65" s="215" t="s">
        <v>285</v>
      </c>
      <c r="E65" s="216" t="s">
        <v>9</v>
      </c>
      <c r="F65" s="217" t="s">
        <v>286</v>
      </c>
      <c r="G65" s="214"/>
      <c r="H65" s="214" t="s">
        <v>287</v>
      </c>
      <c r="I65" s="214"/>
      <c r="J65" s="217" t="s">
        <v>50</v>
      </c>
      <c r="K65" s="214" t="s">
        <v>288</v>
      </c>
      <c r="L65" s="230">
        <v>44307</v>
      </c>
      <c r="M65" s="231">
        <v>254545</v>
      </c>
      <c r="N65" s="214">
        <v>6</v>
      </c>
      <c r="O65" s="232">
        <f t="shared" si="5"/>
        <v>1527270</v>
      </c>
      <c r="P65" s="232">
        <v>275000</v>
      </c>
      <c r="Q65" s="232">
        <f t="shared" si="2"/>
        <v>1650000</v>
      </c>
    </row>
    <row r="66" spans="2:17">
      <c r="B66" s="200">
        <v>63</v>
      </c>
      <c r="C66" s="214" t="s">
        <v>289</v>
      </c>
      <c r="D66" s="215" t="s">
        <v>285</v>
      </c>
      <c r="E66" s="216" t="s">
        <v>9</v>
      </c>
      <c r="F66" s="217" t="s">
        <v>290</v>
      </c>
      <c r="G66" s="214"/>
      <c r="H66" s="214" t="s">
        <v>287</v>
      </c>
      <c r="I66" s="214"/>
      <c r="J66" s="217" t="s">
        <v>50</v>
      </c>
      <c r="K66" s="214" t="s">
        <v>291</v>
      </c>
      <c r="L66" s="230">
        <v>44307</v>
      </c>
      <c r="M66" s="231">
        <v>254545</v>
      </c>
      <c r="N66" s="214">
        <v>4</v>
      </c>
      <c r="O66" s="232">
        <f t="shared" si="5"/>
        <v>1018180</v>
      </c>
      <c r="P66" s="232">
        <v>275000</v>
      </c>
      <c r="Q66" s="232">
        <f t="shared" si="2"/>
        <v>1100000</v>
      </c>
    </row>
    <row r="67" spans="2:17">
      <c r="B67" s="200">
        <v>64</v>
      </c>
      <c r="C67" s="214" t="s">
        <v>292</v>
      </c>
      <c r="D67" s="215" t="s">
        <v>285</v>
      </c>
      <c r="E67" s="216" t="s">
        <v>9</v>
      </c>
      <c r="F67" s="217" t="s">
        <v>293</v>
      </c>
      <c r="G67" s="214"/>
      <c r="H67" s="214" t="s">
        <v>287</v>
      </c>
      <c r="I67" s="214"/>
      <c r="J67" s="217" t="s">
        <v>50</v>
      </c>
      <c r="K67" s="214" t="s">
        <v>294</v>
      </c>
      <c r="L67" s="230">
        <v>44307</v>
      </c>
      <c r="M67" s="231">
        <v>254545</v>
      </c>
      <c r="N67" s="214">
        <v>3</v>
      </c>
      <c r="O67" s="232">
        <f t="shared" si="5"/>
        <v>763635</v>
      </c>
      <c r="P67" s="232">
        <v>275000</v>
      </c>
      <c r="Q67" s="232">
        <f t="shared" si="2"/>
        <v>825000</v>
      </c>
    </row>
    <row r="68" spans="2:17">
      <c r="B68" s="200">
        <v>65</v>
      </c>
      <c r="C68" s="214" t="s">
        <v>295</v>
      </c>
      <c r="D68" s="215" t="s">
        <v>285</v>
      </c>
      <c r="E68" s="216" t="s">
        <v>9</v>
      </c>
      <c r="F68" s="217" t="s">
        <v>296</v>
      </c>
      <c r="G68" s="214"/>
      <c r="H68" s="214" t="s">
        <v>287</v>
      </c>
      <c r="I68" s="214"/>
      <c r="J68" s="217" t="s">
        <v>50</v>
      </c>
      <c r="K68" s="214" t="s">
        <v>297</v>
      </c>
      <c r="L68" s="230">
        <v>44307</v>
      </c>
      <c r="M68" s="231">
        <v>254545</v>
      </c>
      <c r="N68" s="214">
        <v>5</v>
      </c>
      <c r="O68" s="232">
        <f t="shared" si="5"/>
        <v>1272725</v>
      </c>
      <c r="P68" s="232">
        <v>275000</v>
      </c>
      <c r="Q68" s="232">
        <f t="shared" si="2"/>
        <v>1375000</v>
      </c>
    </row>
    <row r="69" spans="2:17">
      <c r="B69" s="200">
        <v>66</v>
      </c>
      <c r="C69" s="214" t="s">
        <v>298</v>
      </c>
      <c r="D69" s="215" t="s">
        <v>285</v>
      </c>
      <c r="E69" s="216" t="s">
        <v>9</v>
      </c>
      <c r="F69" s="217" t="s">
        <v>299</v>
      </c>
      <c r="G69" s="214"/>
      <c r="H69" s="214" t="s">
        <v>287</v>
      </c>
      <c r="I69" s="214"/>
      <c r="J69" s="217" t="s">
        <v>50</v>
      </c>
      <c r="K69" s="214" t="s">
        <v>300</v>
      </c>
      <c r="L69" s="230">
        <v>44307</v>
      </c>
      <c r="M69" s="231">
        <v>254545</v>
      </c>
      <c r="N69" s="214">
        <v>3</v>
      </c>
      <c r="O69" s="232">
        <f t="shared" si="5"/>
        <v>763635</v>
      </c>
      <c r="P69" s="232">
        <v>275000</v>
      </c>
      <c r="Q69" s="232">
        <f t="shared" si="2"/>
        <v>825000</v>
      </c>
    </row>
    <row r="70" spans="2:17">
      <c r="B70" s="200">
        <v>67</v>
      </c>
      <c r="C70" s="214" t="s">
        <v>301</v>
      </c>
      <c r="D70" s="215">
        <v>78868</v>
      </c>
      <c r="E70" s="216" t="s">
        <v>17</v>
      </c>
      <c r="F70" s="217" t="s">
        <v>114</v>
      </c>
      <c r="G70" s="214"/>
      <c r="H70" s="214" t="s">
        <v>302</v>
      </c>
      <c r="I70" s="214"/>
      <c r="J70" s="217" t="s">
        <v>85</v>
      </c>
      <c r="K70" s="214" t="s">
        <v>303</v>
      </c>
      <c r="L70" s="230">
        <v>44307</v>
      </c>
      <c r="M70" s="231">
        <v>222727</v>
      </c>
      <c r="N70" s="214">
        <v>4</v>
      </c>
      <c r="O70" s="232">
        <f t="shared" si="5"/>
        <v>890908</v>
      </c>
      <c r="P70" s="232">
        <v>279090.90999999997</v>
      </c>
      <c r="Q70" s="232">
        <f t="shared" si="2"/>
        <v>1116363.6399999999</v>
      </c>
    </row>
    <row r="71" spans="2:17">
      <c r="B71" s="200">
        <v>68</v>
      </c>
      <c r="C71" s="214" t="s">
        <v>304</v>
      </c>
      <c r="D71" s="215">
        <v>78868</v>
      </c>
      <c r="E71" s="216" t="s">
        <v>17</v>
      </c>
      <c r="F71" s="217" t="s">
        <v>114</v>
      </c>
      <c r="G71" s="214"/>
      <c r="H71" s="214" t="s">
        <v>305</v>
      </c>
      <c r="I71" s="214"/>
      <c r="J71" s="217" t="s">
        <v>85</v>
      </c>
      <c r="K71" s="214" t="s">
        <v>306</v>
      </c>
      <c r="L71" s="230">
        <v>44307</v>
      </c>
      <c r="M71" s="231">
        <v>171818</v>
      </c>
      <c r="N71" s="214">
        <v>9</v>
      </c>
      <c r="O71" s="232">
        <f t="shared" si="5"/>
        <v>1546362</v>
      </c>
      <c r="P71" s="232">
        <v>279090.90999999997</v>
      </c>
      <c r="Q71" s="232">
        <f t="shared" si="2"/>
        <v>2511818.19</v>
      </c>
    </row>
    <row r="72" spans="2:17">
      <c r="B72" s="200">
        <v>69</v>
      </c>
      <c r="C72" s="214" t="s">
        <v>307</v>
      </c>
      <c r="D72" s="215">
        <v>78868</v>
      </c>
      <c r="E72" s="216" t="s">
        <v>17</v>
      </c>
      <c r="F72" s="217" t="s">
        <v>114</v>
      </c>
      <c r="G72" s="214"/>
      <c r="H72" s="214" t="s">
        <v>308</v>
      </c>
      <c r="I72" s="214"/>
      <c r="J72" s="217" t="s">
        <v>85</v>
      </c>
      <c r="K72" s="214" t="s">
        <v>309</v>
      </c>
      <c r="L72" s="230">
        <v>44307</v>
      </c>
      <c r="M72" s="231">
        <v>222727</v>
      </c>
      <c r="N72" s="214">
        <v>5</v>
      </c>
      <c r="O72" s="232">
        <f t="shared" si="5"/>
        <v>1113635</v>
      </c>
      <c r="P72" s="232">
        <v>279090.90999999997</v>
      </c>
      <c r="Q72" s="232">
        <f t="shared" si="2"/>
        <v>1395454.5499999998</v>
      </c>
    </row>
    <row r="73" spans="2:17">
      <c r="B73" s="200">
        <v>70</v>
      </c>
      <c r="C73" s="214" t="s">
        <v>310</v>
      </c>
      <c r="D73" s="215">
        <v>78868</v>
      </c>
      <c r="E73" s="216" t="s">
        <v>17</v>
      </c>
      <c r="F73" s="217" t="s">
        <v>114</v>
      </c>
      <c r="G73" s="214"/>
      <c r="H73" s="214" t="s">
        <v>302</v>
      </c>
      <c r="I73" s="214"/>
      <c r="J73" s="217" t="s">
        <v>92</v>
      </c>
      <c r="K73" s="214" t="s">
        <v>311</v>
      </c>
      <c r="L73" s="230">
        <v>44307</v>
      </c>
      <c r="M73" s="231">
        <v>46364</v>
      </c>
      <c r="N73" s="214">
        <v>4</v>
      </c>
      <c r="O73" s="232">
        <f t="shared" si="5"/>
        <v>185456</v>
      </c>
      <c r="P73" s="232">
        <v>58181.82</v>
      </c>
      <c r="Q73" s="232">
        <f t="shared" si="2"/>
        <v>232727.28</v>
      </c>
    </row>
    <row r="74" spans="2:17">
      <c r="B74" s="200">
        <v>71</v>
      </c>
      <c r="C74" s="214" t="s">
        <v>312</v>
      </c>
      <c r="D74" s="215">
        <v>78868</v>
      </c>
      <c r="E74" s="216" t="s">
        <v>17</v>
      </c>
      <c r="F74" s="217" t="s">
        <v>114</v>
      </c>
      <c r="G74" s="214"/>
      <c r="H74" s="214" t="s">
        <v>308</v>
      </c>
      <c r="I74" s="214"/>
      <c r="J74" s="217" t="s">
        <v>92</v>
      </c>
      <c r="K74" s="214" t="s">
        <v>313</v>
      </c>
      <c r="L74" s="230">
        <v>44307</v>
      </c>
      <c r="M74" s="231">
        <v>46364</v>
      </c>
      <c r="N74" s="214">
        <v>5</v>
      </c>
      <c r="O74" s="232">
        <f t="shared" si="5"/>
        <v>231820</v>
      </c>
      <c r="P74" s="232">
        <v>58181.82</v>
      </c>
      <c r="Q74" s="232">
        <f t="shared" si="2"/>
        <v>290909.09999999998</v>
      </c>
    </row>
    <row r="75" spans="2:17">
      <c r="B75" s="200">
        <v>72</v>
      </c>
      <c r="C75" s="214" t="s">
        <v>314</v>
      </c>
      <c r="D75" s="215" t="s">
        <v>315</v>
      </c>
      <c r="E75" s="216" t="s">
        <v>5</v>
      </c>
      <c r="F75" s="217" t="s">
        <v>131</v>
      </c>
      <c r="G75" s="214"/>
      <c r="H75" s="214" t="s">
        <v>316</v>
      </c>
      <c r="I75" s="214"/>
      <c r="J75" s="217" t="s">
        <v>50</v>
      </c>
      <c r="K75" s="214" t="s">
        <v>317</v>
      </c>
      <c r="L75" s="230">
        <v>44308</v>
      </c>
      <c r="M75" s="231">
        <v>444545</v>
      </c>
      <c r="N75" s="214">
        <v>157</v>
      </c>
      <c r="O75" s="232">
        <f t="shared" si="5"/>
        <v>69793565</v>
      </c>
      <c r="P75" s="232">
        <v>545455</v>
      </c>
      <c r="Q75" s="232">
        <f t="shared" si="2"/>
        <v>85636435</v>
      </c>
    </row>
    <row r="76" spans="2:17">
      <c r="B76" s="200">
        <v>73</v>
      </c>
      <c r="C76" s="214" t="s">
        <v>318</v>
      </c>
      <c r="D76" s="215" t="s">
        <v>319</v>
      </c>
      <c r="E76" s="216" t="s">
        <v>11</v>
      </c>
      <c r="F76" s="217" t="s">
        <v>320</v>
      </c>
      <c r="G76" s="214"/>
      <c r="H76" s="214" t="s">
        <v>321</v>
      </c>
      <c r="I76" s="214"/>
      <c r="J76" s="217" t="s">
        <v>85</v>
      </c>
      <c r="K76" s="214" t="s">
        <v>322</v>
      </c>
      <c r="L76" s="230">
        <v>44309</v>
      </c>
      <c r="M76" s="231">
        <v>222727</v>
      </c>
      <c r="N76" s="214">
        <v>25</v>
      </c>
      <c r="O76" s="232">
        <f t="shared" si="5"/>
        <v>5568175</v>
      </c>
      <c r="P76" s="232">
        <v>279090.90999999997</v>
      </c>
      <c r="Q76" s="232">
        <f t="shared" si="2"/>
        <v>6977272.7499999991</v>
      </c>
    </row>
    <row r="77" spans="2:17">
      <c r="B77" s="200">
        <v>74</v>
      </c>
      <c r="C77" s="214" t="s">
        <v>323</v>
      </c>
      <c r="D77" s="215" t="s">
        <v>324</v>
      </c>
      <c r="E77" s="216" t="s">
        <v>20</v>
      </c>
      <c r="F77" s="217" t="s">
        <v>325</v>
      </c>
      <c r="G77" s="214"/>
      <c r="H77" s="214" t="s">
        <v>326</v>
      </c>
      <c r="I77" s="214"/>
      <c r="J77" s="217" t="s">
        <v>63</v>
      </c>
      <c r="K77" s="214" t="s">
        <v>327</v>
      </c>
      <c r="L77" s="230">
        <v>44309</v>
      </c>
      <c r="M77" s="231">
        <v>92727</v>
      </c>
      <c r="N77" s="214">
        <v>250</v>
      </c>
      <c r="O77" s="232">
        <f t="shared" si="5"/>
        <v>23181750</v>
      </c>
      <c r="P77" s="232">
        <v>135273</v>
      </c>
      <c r="Q77" s="232">
        <f t="shared" si="2"/>
        <v>33818250</v>
      </c>
    </row>
    <row r="78" spans="2:17">
      <c r="B78" s="200">
        <v>75</v>
      </c>
      <c r="C78" s="233" t="s">
        <v>328</v>
      </c>
      <c r="D78" s="234" t="s">
        <v>329</v>
      </c>
      <c r="E78" s="235" t="s">
        <v>9</v>
      </c>
      <c r="F78" s="236" t="s">
        <v>330</v>
      </c>
      <c r="G78" s="233"/>
      <c r="H78" s="233" t="s">
        <v>331</v>
      </c>
      <c r="I78" s="233"/>
      <c r="J78" s="236" t="s">
        <v>50</v>
      </c>
      <c r="K78" s="233" t="s">
        <v>332</v>
      </c>
      <c r="L78" s="245">
        <v>44307</v>
      </c>
      <c r="M78" s="246">
        <v>254545</v>
      </c>
      <c r="N78" s="233">
        <v>1</v>
      </c>
      <c r="O78" s="247">
        <f t="shared" si="5"/>
        <v>254545</v>
      </c>
      <c r="P78" s="247">
        <v>275000</v>
      </c>
      <c r="Q78" s="247">
        <f t="shared" si="2"/>
        <v>275000</v>
      </c>
    </row>
    <row r="79" spans="2:17">
      <c r="B79" s="200">
        <v>76</v>
      </c>
      <c r="C79" s="233" t="s">
        <v>333</v>
      </c>
      <c r="D79" s="234" t="s">
        <v>329</v>
      </c>
      <c r="E79" s="235" t="s">
        <v>9</v>
      </c>
      <c r="F79" s="236" t="s">
        <v>334</v>
      </c>
      <c r="G79" s="233"/>
      <c r="H79" s="233" t="s">
        <v>331</v>
      </c>
      <c r="I79" s="233"/>
      <c r="J79" s="236" t="s">
        <v>50</v>
      </c>
      <c r="K79" s="233" t="s">
        <v>335</v>
      </c>
      <c r="L79" s="245">
        <v>44307</v>
      </c>
      <c r="M79" s="246">
        <v>254545</v>
      </c>
      <c r="N79" s="233">
        <v>4</v>
      </c>
      <c r="O79" s="247">
        <f t="shared" si="5"/>
        <v>1018180</v>
      </c>
      <c r="P79" s="247">
        <v>275000</v>
      </c>
      <c r="Q79" s="247">
        <f t="shared" si="2"/>
        <v>1100000</v>
      </c>
    </row>
    <row r="80" spans="2:17">
      <c r="B80" s="200">
        <v>77</v>
      </c>
      <c r="C80" s="233" t="s">
        <v>336</v>
      </c>
      <c r="D80" s="234" t="s">
        <v>329</v>
      </c>
      <c r="E80" s="235" t="s">
        <v>9</v>
      </c>
      <c r="F80" s="236" t="s">
        <v>337</v>
      </c>
      <c r="G80" s="233"/>
      <c r="H80" s="233" t="s">
        <v>331</v>
      </c>
      <c r="I80" s="233"/>
      <c r="J80" s="236" t="s">
        <v>50</v>
      </c>
      <c r="K80" s="233" t="s">
        <v>338</v>
      </c>
      <c r="L80" s="245">
        <v>44307</v>
      </c>
      <c r="M80" s="246">
        <v>254545</v>
      </c>
      <c r="N80" s="233">
        <v>6</v>
      </c>
      <c r="O80" s="247">
        <f t="shared" si="5"/>
        <v>1527270</v>
      </c>
      <c r="P80" s="247">
        <v>275000</v>
      </c>
      <c r="Q80" s="247">
        <f t="shared" ref="Q80:Q143" si="6">P80*N80</f>
        <v>1650000</v>
      </c>
    </row>
    <row r="81" spans="2:17">
      <c r="B81" s="200">
        <v>78</v>
      </c>
      <c r="C81" s="233" t="s">
        <v>339</v>
      </c>
      <c r="D81" s="234" t="s">
        <v>340</v>
      </c>
      <c r="E81" s="235" t="s">
        <v>11</v>
      </c>
      <c r="F81" s="236" t="s">
        <v>320</v>
      </c>
      <c r="G81" s="233"/>
      <c r="H81" s="233" t="s">
        <v>341</v>
      </c>
      <c r="I81" s="233"/>
      <c r="J81" s="236" t="s">
        <v>50</v>
      </c>
      <c r="K81" s="233" t="s">
        <v>342</v>
      </c>
      <c r="L81" s="245">
        <v>44335</v>
      </c>
      <c r="M81" s="246">
        <v>444545</v>
      </c>
      <c r="N81" s="233">
        <v>1</v>
      </c>
      <c r="O81" s="247">
        <f t="shared" si="5"/>
        <v>444545</v>
      </c>
      <c r="P81" s="247">
        <v>556363.63</v>
      </c>
      <c r="Q81" s="247">
        <f t="shared" si="6"/>
        <v>556363.63</v>
      </c>
    </row>
    <row r="82" spans="2:17">
      <c r="B82" s="200">
        <v>79</v>
      </c>
      <c r="C82" s="233" t="s">
        <v>343</v>
      </c>
      <c r="D82" s="234" t="s">
        <v>344</v>
      </c>
      <c r="E82" s="235" t="s">
        <v>82</v>
      </c>
      <c r="F82" s="236" t="s">
        <v>83</v>
      </c>
      <c r="G82" s="233"/>
      <c r="H82" s="233" t="s">
        <v>345</v>
      </c>
      <c r="I82" s="233"/>
      <c r="J82" s="236" t="s">
        <v>85</v>
      </c>
      <c r="K82" s="233" t="s">
        <v>346</v>
      </c>
      <c r="L82" s="245">
        <v>44335</v>
      </c>
      <c r="M82" s="246">
        <v>222727</v>
      </c>
      <c r="N82" s="233">
        <v>350</v>
      </c>
      <c r="O82" s="247">
        <f t="shared" si="5"/>
        <v>77954450</v>
      </c>
      <c r="P82" s="247">
        <v>279090.90999999997</v>
      </c>
      <c r="Q82" s="247">
        <f t="shared" si="6"/>
        <v>97681818.499999985</v>
      </c>
    </row>
    <row r="83" spans="2:17">
      <c r="B83" s="200">
        <v>80</v>
      </c>
      <c r="C83" s="233" t="s">
        <v>347</v>
      </c>
      <c r="D83" s="234" t="s">
        <v>348</v>
      </c>
      <c r="E83" s="235" t="s">
        <v>9</v>
      </c>
      <c r="F83" s="236" t="s">
        <v>349</v>
      </c>
      <c r="G83" s="233"/>
      <c r="H83" s="233" t="s">
        <v>350</v>
      </c>
      <c r="I83" s="233"/>
      <c r="J83" s="236" t="s">
        <v>50</v>
      </c>
      <c r="K83" s="233" t="s">
        <v>351</v>
      </c>
      <c r="L83" s="245">
        <v>44336</v>
      </c>
      <c r="M83" s="246">
        <v>254545</v>
      </c>
      <c r="N83" s="233">
        <v>2</v>
      </c>
      <c r="O83" s="247">
        <f t="shared" si="5"/>
        <v>509090</v>
      </c>
      <c r="P83" s="247">
        <v>275000</v>
      </c>
      <c r="Q83" s="247">
        <f t="shared" si="6"/>
        <v>550000</v>
      </c>
    </row>
    <row r="84" spans="2:17">
      <c r="B84" s="200">
        <v>81</v>
      </c>
      <c r="C84" s="237" t="s">
        <v>352</v>
      </c>
      <c r="D84" s="238" t="s">
        <v>353</v>
      </c>
      <c r="E84" s="239" t="s">
        <v>9</v>
      </c>
      <c r="F84" s="240" t="s">
        <v>354</v>
      </c>
      <c r="G84" s="237"/>
      <c r="H84" s="237" t="s">
        <v>355</v>
      </c>
      <c r="I84" s="237"/>
      <c r="J84" s="240" t="s">
        <v>50</v>
      </c>
      <c r="K84" s="237" t="s">
        <v>356</v>
      </c>
      <c r="L84" s="248">
        <v>44349</v>
      </c>
      <c r="M84" s="249">
        <v>254545</v>
      </c>
      <c r="N84" s="237">
        <v>1</v>
      </c>
      <c r="O84" s="250">
        <f t="shared" si="5"/>
        <v>254545</v>
      </c>
      <c r="P84" s="250">
        <v>275000</v>
      </c>
      <c r="Q84" s="250">
        <f t="shared" si="6"/>
        <v>275000</v>
      </c>
    </row>
    <row r="85" spans="2:17">
      <c r="B85" s="200">
        <v>82</v>
      </c>
      <c r="C85" s="237" t="s">
        <v>357</v>
      </c>
      <c r="D85" s="238" t="s">
        <v>353</v>
      </c>
      <c r="E85" s="239" t="s">
        <v>9</v>
      </c>
      <c r="F85" s="240" t="s">
        <v>358</v>
      </c>
      <c r="G85" s="237"/>
      <c r="H85" s="237" t="s">
        <v>355</v>
      </c>
      <c r="I85" s="237"/>
      <c r="J85" s="240" t="s">
        <v>50</v>
      </c>
      <c r="K85" s="237" t="s">
        <v>359</v>
      </c>
      <c r="L85" s="248">
        <v>44349</v>
      </c>
      <c r="M85" s="249">
        <v>254545</v>
      </c>
      <c r="N85" s="237">
        <v>7</v>
      </c>
      <c r="O85" s="250">
        <f t="shared" si="5"/>
        <v>1781815</v>
      </c>
      <c r="P85" s="250">
        <v>275000</v>
      </c>
      <c r="Q85" s="250">
        <f t="shared" si="6"/>
        <v>1925000</v>
      </c>
    </row>
    <row r="86" spans="2:17">
      <c r="B86" s="200">
        <v>83</v>
      </c>
      <c r="C86" s="237" t="s">
        <v>360</v>
      </c>
      <c r="D86" s="238" t="s">
        <v>353</v>
      </c>
      <c r="E86" s="239" t="s">
        <v>9</v>
      </c>
      <c r="F86" s="240" t="s">
        <v>361</v>
      </c>
      <c r="G86" s="237"/>
      <c r="H86" s="237" t="s">
        <v>355</v>
      </c>
      <c r="I86" s="237"/>
      <c r="J86" s="240" t="s">
        <v>50</v>
      </c>
      <c r="K86" s="237" t="s">
        <v>362</v>
      </c>
      <c r="L86" s="248">
        <v>44349</v>
      </c>
      <c r="M86" s="249">
        <v>254545</v>
      </c>
      <c r="N86" s="237">
        <v>1</v>
      </c>
      <c r="O86" s="250">
        <f t="shared" si="5"/>
        <v>254545</v>
      </c>
      <c r="P86" s="250">
        <v>275000</v>
      </c>
      <c r="Q86" s="250">
        <f t="shared" si="6"/>
        <v>275000</v>
      </c>
    </row>
    <row r="87" spans="2:17">
      <c r="B87" s="200">
        <v>84</v>
      </c>
      <c r="C87" s="237" t="s">
        <v>363</v>
      </c>
      <c r="D87" s="238" t="s">
        <v>353</v>
      </c>
      <c r="E87" s="239" t="s">
        <v>9</v>
      </c>
      <c r="F87" s="240" t="s">
        <v>364</v>
      </c>
      <c r="G87" s="237"/>
      <c r="H87" s="237" t="s">
        <v>355</v>
      </c>
      <c r="I87" s="237"/>
      <c r="J87" s="240" t="s">
        <v>50</v>
      </c>
      <c r="K87" s="237" t="s">
        <v>365</v>
      </c>
      <c r="L87" s="248">
        <v>44349</v>
      </c>
      <c r="M87" s="249">
        <v>254545</v>
      </c>
      <c r="N87" s="237">
        <v>6</v>
      </c>
      <c r="O87" s="250">
        <f t="shared" si="5"/>
        <v>1527270</v>
      </c>
      <c r="P87" s="250">
        <v>275000</v>
      </c>
      <c r="Q87" s="250">
        <f t="shared" si="6"/>
        <v>1650000</v>
      </c>
    </row>
    <row r="88" spans="2:17">
      <c r="B88" s="200">
        <v>85</v>
      </c>
      <c r="C88" s="237" t="s">
        <v>366</v>
      </c>
      <c r="D88" s="238" t="s">
        <v>367</v>
      </c>
      <c r="E88" s="239" t="s">
        <v>9</v>
      </c>
      <c r="F88" s="240" t="s">
        <v>368</v>
      </c>
      <c r="G88" s="237"/>
      <c r="H88" s="237" t="s">
        <v>369</v>
      </c>
      <c r="I88" s="237"/>
      <c r="J88" s="240" t="s">
        <v>50</v>
      </c>
      <c r="K88" s="237" t="s">
        <v>370</v>
      </c>
      <c r="L88" s="248">
        <v>44357</v>
      </c>
      <c r="M88" s="249">
        <v>254545</v>
      </c>
      <c r="N88" s="237">
        <v>2</v>
      </c>
      <c r="O88" s="250">
        <f t="shared" si="5"/>
        <v>509090</v>
      </c>
      <c r="P88" s="250">
        <v>275000</v>
      </c>
      <c r="Q88" s="250">
        <f t="shared" si="6"/>
        <v>550000</v>
      </c>
    </row>
    <row r="89" spans="2:17">
      <c r="B89" s="200">
        <v>86</v>
      </c>
      <c r="C89" s="237" t="s">
        <v>371</v>
      </c>
      <c r="D89" s="238" t="s">
        <v>367</v>
      </c>
      <c r="E89" s="239" t="s">
        <v>9</v>
      </c>
      <c r="F89" s="240" t="s">
        <v>372</v>
      </c>
      <c r="G89" s="237"/>
      <c r="H89" s="237" t="s">
        <v>369</v>
      </c>
      <c r="I89" s="237"/>
      <c r="J89" s="240" t="s">
        <v>50</v>
      </c>
      <c r="K89" s="237" t="s">
        <v>373</v>
      </c>
      <c r="L89" s="248">
        <v>44357</v>
      </c>
      <c r="M89" s="249">
        <v>254545</v>
      </c>
      <c r="N89" s="237">
        <v>1</v>
      </c>
      <c r="O89" s="250">
        <f t="shared" si="5"/>
        <v>254545</v>
      </c>
      <c r="P89" s="250">
        <v>275000</v>
      </c>
      <c r="Q89" s="250">
        <f t="shared" si="6"/>
        <v>275000</v>
      </c>
    </row>
    <row r="90" spans="2:17">
      <c r="B90" s="200">
        <v>87</v>
      </c>
      <c r="C90" s="237" t="s">
        <v>374</v>
      </c>
      <c r="D90" s="238" t="s">
        <v>375</v>
      </c>
      <c r="E90" s="239" t="s">
        <v>17</v>
      </c>
      <c r="F90" s="240" t="s">
        <v>114</v>
      </c>
      <c r="G90" s="237"/>
      <c r="H90" s="237" t="s">
        <v>376</v>
      </c>
      <c r="I90" s="237"/>
      <c r="J90" s="240" t="s">
        <v>85</v>
      </c>
      <c r="K90" s="237" t="s">
        <v>377</v>
      </c>
      <c r="L90" s="248">
        <v>44361</v>
      </c>
      <c r="M90" s="249">
        <v>222727</v>
      </c>
      <c r="N90" s="237">
        <v>1</v>
      </c>
      <c r="O90" s="250">
        <f t="shared" si="5"/>
        <v>222727</v>
      </c>
      <c r="P90" s="250">
        <v>279090.90999999997</v>
      </c>
      <c r="Q90" s="250">
        <f t="shared" si="6"/>
        <v>279090.90999999997</v>
      </c>
    </row>
    <row r="91" spans="2:17">
      <c r="B91" s="200">
        <v>88</v>
      </c>
      <c r="C91" s="237" t="s">
        <v>378</v>
      </c>
      <c r="D91" s="238" t="s">
        <v>375</v>
      </c>
      <c r="E91" s="239" t="s">
        <v>17</v>
      </c>
      <c r="F91" s="240" t="s">
        <v>114</v>
      </c>
      <c r="G91" s="237"/>
      <c r="H91" s="237" t="s">
        <v>379</v>
      </c>
      <c r="I91" s="237"/>
      <c r="J91" s="240" t="s">
        <v>85</v>
      </c>
      <c r="K91" s="237" t="s">
        <v>380</v>
      </c>
      <c r="L91" s="248">
        <v>44361</v>
      </c>
      <c r="M91" s="249">
        <v>222727</v>
      </c>
      <c r="N91" s="237">
        <v>11</v>
      </c>
      <c r="O91" s="250">
        <f t="shared" si="5"/>
        <v>2449997</v>
      </c>
      <c r="P91" s="250">
        <v>279090.90999999997</v>
      </c>
      <c r="Q91" s="250">
        <f t="shared" si="6"/>
        <v>3070000.01</v>
      </c>
    </row>
    <row r="92" spans="2:17">
      <c r="B92" s="200">
        <v>89</v>
      </c>
      <c r="C92" s="237" t="s">
        <v>381</v>
      </c>
      <c r="D92" s="238" t="s">
        <v>375</v>
      </c>
      <c r="E92" s="239" t="s">
        <v>17</v>
      </c>
      <c r="F92" s="240" t="s">
        <v>114</v>
      </c>
      <c r="G92" s="237"/>
      <c r="H92" s="237" t="s">
        <v>382</v>
      </c>
      <c r="I92" s="237"/>
      <c r="J92" s="240" t="s">
        <v>92</v>
      </c>
      <c r="K92" s="237" t="s">
        <v>383</v>
      </c>
      <c r="L92" s="248">
        <v>44361</v>
      </c>
      <c r="M92" s="249">
        <v>46364</v>
      </c>
      <c r="N92" s="237">
        <v>3</v>
      </c>
      <c r="O92" s="250">
        <f t="shared" si="5"/>
        <v>139092</v>
      </c>
      <c r="P92" s="250">
        <v>58181.82</v>
      </c>
      <c r="Q92" s="250">
        <f t="shared" si="6"/>
        <v>174545.46</v>
      </c>
    </row>
    <row r="93" spans="2:17">
      <c r="B93" s="200">
        <v>90</v>
      </c>
      <c r="C93" s="237" t="s">
        <v>384</v>
      </c>
      <c r="D93" s="238" t="s">
        <v>375</v>
      </c>
      <c r="E93" s="239" t="s">
        <v>17</v>
      </c>
      <c r="F93" s="240" t="s">
        <v>114</v>
      </c>
      <c r="G93" s="237"/>
      <c r="H93" s="237" t="s">
        <v>385</v>
      </c>
      <c r="I93" s="237"/>
      <c r="J93" s="240" t="s">
        <v>92</v>
      </c>
      <c r="K93" s="237" t="s">
        <v>386</v>
      </c>
      <c r="L93" s="248">
        <v>44361</v>
      </c>
      <c r="M93" s="249">
        <v>46364</v>
      </c>
      <c r="N93" s="237">
        <v>1</v>
      </c>
      <c r="O93" s="250">
        <f t="shared" si="5"/>
        <v>46364</v>
      </c>
      <c r="P93" s="250">
        <v>58181.82</v>
      </c>
      <c r="Q93" s="250">
        <f t="shared" si="6"/>
        <v>58181.82</v>
      </c>
    </row>
    <row r="94" spans="2:17">
      <c r="B94" s="200">
        <v>91</v>
      </c>
      <c r="C94" s="237" t="s">
        <v>387</v>
      </c>
      <c r="D94" s="238" t="s">
        <v>375</v>
      </c>
      <c r="E94" s="239" t="s">
        <v>17</v>
      </c>
      <c r="F94" s="240" t="s">
        <v>114</v>
      </c>
      <c r="G94" s="237"/>
      <c r="H94" s="237" t="s">
        <v>388</v>
      </c>
      <c r="I94" s="237"/>
      <c r="J94" s="240" t="s">
        <v>92</v>
      </c>
      <c r="K94" s="237" t="s">
        <v>389</v>
      </c>
      <c r="L94" s="248">
        <v>44361</v>
      </c>
      <c r="M94" s="249">
        <v>46364</v>
      </c>
      <c r="N94" s="237">
        <v>11</v>
      </c>
      <c r="O94" s="250">
        <f t="shared" si="5"/>
        <v>510004</v>
      </c>
      <c r="P94" s="250">
        <v>58181.82</v>
      </c>
      <c r="Q94" s="250">
        <f t="shared" si="6"/>
        <v>640000.02</v>
      </c>
    </row>
    <row r="95" spans="2:17">
      <c r="B95" s="200">
        <v>92</v>
      </c>
      <c r="C95" s="237" t="s">
        <v>390</v>
      </c>
      <c r="D95" s="238" t="s">
        <v>391</v>
      </c>
      <c r="E95" s="239" t="s">
        <v>9</v>
      </c>
      <c r="F95" s="240" t="s">
        <v>392</v>
      </c>
      <c r="G95" s="237"/>
      <c r="H95" s="237" t="s">
        <v>393</v>
      </c>
      <c r="I95" s="237"/>
      <c r="J95" s="240" t="s">
        <v>50</v>
      </c>
      <c r="K95" s="237" t="s">
        <v>394</v>
      </c>
      <c r="L95" s="248">
        <v>44363</v>
      </c>
      <c r="M95" s="249">
        <v>254545</v>
      </c>
      <c r="N95" s="237">
        <v>8</v>
      </c>
      <c r="O95" s="250">
        <f t="shared" si="5"/>
        <v>2036360</v>
      </c>
      <c r="P95" s="250">
        <v>275000</v>
      </c>
      <c r="Q95" s="250">
        <f t="shared" si="6"/>
        <v>2200000</v>
      </c>
    </row>
    <row r="96" spans="2:17">
      <c r="B96" s="200">
        <v>93</v>
      </c>
      <c r="C96" s="237" t="s">
        <v>395</v>
      </c>
      <c r="D96" s="238" t="s">
        <v>396</v>
      </c>
      <c r="E96" s="239"/>
      <c r="F96" s="240" t="s">
        <v>397</v>
      </c>
      <c r="G96" s="237"/>
      <c r="H96" s="237" t="s">
        <v>398</v>
      </c>
      <c r="I96" s="237"/>
      <c r="J96" s="240" t="s">
        <v>63</v>
      </c>
      <c r="K96" s="237" t="s">
        <v>399</v>
      </c>
      <c r="L96" s="248">
        <v>44363</v>
      </c>
      <c r="M96" s="249">
        <v>92727</v>
      </c>
      <c r="N96" s="237">
        <v>10</v>
      </c>
      <c r="O96" s="250">
        <f t="shared" si="5"/>
        <v>927270</v>
      </c>
      <c r="P96" s="250">
        <v>198400</v>
      </c>
      <c r="Q96" s="250">
        <f t="shared" si="6"/>
        <v>1984000</v>
      </c>
    </row>
    <row r="97" spans="2:17">
      <c r="B97" s="200">
        <v>94</v>
      </c>
      <c r="C97" s="237" t="s">
        <v>400</v>
      </c>
      <c r="D97" s="238" t="s">
        <v>401</v>
      </c>
      <c r="E97" s="239" t="s">
        <v>9</v>
      </c>
      <c r="F97" s="240" t="s">
        <v>402</v>
      </c>
      <c r="G97" s="237"/>
      <c r="H97" s="237" t="s">
        <v>403</v>
      </c>
      <c r="I97" s="237"/>
      <c r="J97" s="240" t="s">
        <v>50</v>
      </c>
      <c r="K97" s="237" t="s">
        <v>404</v>
      </c>
      <c r="L97" s="248">
        <v>44370</v>
      </c>
      <c r="M97" s="249">
        <v>254545</v>
      </c>
      <c r="N97" s="237">
        <v>3</v>
      </c>
      <c r="O97" s="250">
        <f t="shared" si="5"/>
        <v>763635</v>
      </c>
      <c r="P97" s="250">
        <v>275000</v>
      </c>
      <c r="Q97" s="250">
        <f t="shared" si="6"/>
        <v>825000</v>
      </c>
    </row>
    <row r="98" spans="2:17">
      <c r="B98" s="200">
        <v>95</v>
      </c>
      <c r="C98" s="237" t="s">
        <v>405</v>
      </c>
      <c r="D98" s="238" t="s">
        <v>401</v>
      </c>
      <c r="E98" s="239" t="s">
        <v>9</v>
      </c>
      <c r="F98" s="240" t="s">
        <v>406</v>
      </c>
      <c r="G98" s="237"/>
      <c r="H98" s="237" t="s">
        <v>403</v>
      </c>
      <c r="I98" s="237"/>
      <c r="J98" s="240" t="s">
        <v>50</v>
      </c>
      <c r="K98" s="237" t="s">
        <v>407</v>
      </c>
      <c r="L98" s="248">
        <v>44370</v>
      </c>
      <c r="M98" s="249">
        <v>254545</v>
      </c>
      <c r="N98" s="237">
        <v>1</v>
      </c>
      <c r="O98" s="250">
        <f t="shared" si="5"/>
        <v>254545</v>
      </c>
      <c r="P98" s="250">
        <v>275000</v>
      </c>
      <c r="Q98" s="250">
        <f t="shared" si="6"/>
        <v>275000</v>
      </c>
    </row>
    <row r="99" spans="2:17">
      <c r="B99" s="200">
        <v>96</v>
      </c>
      <c r="C99" s="237" t="s">
        <v>408</v>
      </c>
      <c r="D99" s="238" t="s">
        <v>401</v>
      </c>
      <c r="E99" s="239" t="s">
        <v>9</v>
      </c>
      <c r="F99" s="240" t="s">
        <v>409</v>
      </c>
      <c r="G99" s="237"/>
      <c r="H99" s="237" t="s">
        <v>403</v>
      </c>
      <c r="I99" s="237"/>
      <c r="J99" s="240" t="s">
        <v>50</v>
      </c>
      <c r="K99" s="237" t="s">
        <v>407</v>
      </c>
      <c r="L99" s="248">
        <v>44370</v>
      </c>
      <c r="M99" s="249">
        <v>254545</v>
      </c>
      <c r="N99" s="237">
        <v>1</v>
      </c>
      <c r="O99" s="250">
        <f t="shared" si="5"/>
        <v>254545</v>
      </c>
      <c r="P99" s="250">
        <v>275000</v>
      </c>
      <c r="Q99" s="250">
        <f t="shared" si="6"/>
        <v>275000</v>
      </c>
    </row>
    <row r="100" spans="2:17">
      <c r="B100" s="200">
        <v>97</v>
      </c>
      <c r="C100" s="237" t="s">
        <v>410</v>
      </c>
      <c r="D100" s="238" t="s">
        <v>401</v>
      </c>
      <c r="E100" s="239" t="s">
        <v>9</v>
      </c>
      <c r="F100" s="240" t="s">
        <v>411</v>
      </c>
      <c r="G100" s="237"/>
      <c r="H100" s="237" t="s">
        <v>403</v>
      </c>
      <c r="I100" s="237"/>
      <c r="J100" s="240" t="s">
        <v>50</v>
      </c>
      <c r="K100" s="237" t="s">
        <v>412</v>
      </c>
      <c r="L100" s="248">
        <v>44370</v>
      </c>
      <c r="M100" s="249">
        <v>254545</v>
      </c>
      <c r="N100" s="237">
        <v>2</v>
      </c>
      <c r="O100" s="250">
        <f t="shared" si="5"/>
        <v>509090</v>
      </c>
      <c r="P100" s="250">
        <v>275000</v>
      </c>
      <c r="Q100" s="250">
        <f t="shared" si="6"/>
        <v>550000</v>
      </c>
    </row>
    <row r="101" spans="2:17">
      <c r="B101" s="200">
        <v>98</v>
      </c>
      <c r="C101" s="237" t="s">
        <v>413</v>
      </c>
      <c r="D101" s="320" t="s">
        <v>414</v>
      </c>
      <c r="E101" s="239" t="s">
        <v>4</v>
      </c>
      <c r="F101" s="240" t="s">
        <v>415</v>
      </c>
      <c r="G101" s="237"/>
      <c r="H101" s="237" t="s">
        <v>416</v>
      </c>
      <c r="I101" s="237"/>
      <c r="J101" s="240" t="s">
        <v>85</v>
      </c>
      <c r="K101" s="237" t="s">
        <v>417</v>
      </c>
      <c r="L101" s="248">
        <v>44377</v>
      </c>
      <c r="M101" s="249">
        <v>222727</v>
      </c>
      <c r="N101" s="237">
        <v>96</v>
      </c>
      <c r="O101" s="250">
        <f t="shared" si="5"/>
        <v>21381792</v>
      </c>
      <c r="P101" s="250">
        <v>279090.90999999997</v>
      </c>
      <c r="Q101" s="250">
        <f t="shared" si="6"/>
        <v>26792727.359999999</v>
      </c>
    </row>
    <row r="102" spans="2:17">
      <c r="B102" s="200">
        <v>99</v>
      </c>
      <c r="C102" s="237" t="s">
        <v>418</v>
      </c>
      <c r="D102" s="238" t="s">
        <v>419</v>
      </c>
      <c r="E102" s="239"/>
      <c r="F102" s="240" t="s">
        <v>420</v>
      </c>
      <c r="G102" s="237"/>
      <c r="H102" s="237" t="s">
        <v>421</v>
      </c>
      <c r="I102" s="237"/>
      <c r="J102" s="240" t="s">
        <v>85</v>
      </c>
      <c r="K102" s="237" t="s">
        <v>422</v>
      </c>
      <c r="L102" s="248">
        <v>44377</v>
      </c>
      <c r="M102" s="249">
        <v>222727</v>
      </c>
      <c r="N102" s="237">
        <v>50</v>
      </c>
      <c r="O102" s="250">
        <f t="shared" si="5"/>
        <v>11136350</v>
      </c>
      <c r="P102" s="250">
        <v>170000</v>
      </c>
      <c r="Q102" s="250">
        <f t="shared" si="6"/>
        <v>8500000</v>
      </c>
    </row>
    <row r="103" spans="2:17">
      <c r="B103" s="200">
        <v>100</v>
      </c>
      <c r="C103" s="237" t="s">
        <v>423</v>
      </c>
      <c r="D103" s="238" t="s">
        <v>419</v>
      </c>
      <c r="E103" s="239"/>
      <c r="F103" s="240" t="s">
        <v>420</v>
      </c>
      <c r="G103" s="237"/>
      <c r="H103" s="237" t="s">
        <v>421</v>
      </c>
      <c r="I103" s="237"/>
      <c r="J103" s="240" t="s">
        <v>85</v>
      </c>
      <c r="K103" s="237" t="s">
        <v>424</v>
      </c>
      <c r="L103" s="248">
        <v>44377</v>
      </c>
      <c r="M103" s="249">
        <v>92727</v>
      </c>
      <c r="N103" s="237">
        <v>200</v>
      </c>
      <c r="O103" s="250">
        <f t="shared" si="5"/>
        <v>18545400</v>
      </c>
      <c r="P103" s="250">
        <v>319000</v>
      </c>
      <c r="Q103" s="250">
        <f t="shared" si="6"/>
        <v>63800000</v>
      </c>
    </row>
    <row r="104" spans="2:17">
      <c r="B104" s="200">
        <v>101</v>
      </c>
      <c r="C104" s="237" t="s">
        <v>425</v>
      </c>
      <c r="D104" s="238" t="s">
        <v>426</v>
      </c>
      <c r="E104" s="239"/>
      <c r="F104" s="240" t="s">
        <v>427</v>
      </c>
      <c r="G104" s="237"/>
      <c r="H104" s="237" t="s">
        <v>428</v>
      </c>
      <c r="I104" s="237"/>
      <c r="J104" s="240" t="s">
        <v>85</v>
      </c>
      <c r="K104" s="237" t="s">
        <v>429</v>
      </c>
      <c r="L104" s="248">
        <v>44375</v>
      </c>
      <c r="M104" s="249">
        <v>222727</v>
      </c>
      <c r="N104" s="237">
        <v>300</v>
      </c>
      <c r="O104" s="250">
        <f t="shared" si="5"/>
        <v>66818100</v>
      </c>
      <c r="P104" s="250">
        <v>324545</v>
      </c>
      <c r="Q104" s="250">
        <f t="shared" si="6"/>
        <v>97363500</v>
      </c>
    </row>
    <row r="105" spans="2:17">
      <c r="B105" s="200">
        <v>102</v>
      </c>
      <c r="C105" s="237" t="s">
        <v>430</v>
      </c>
      <c r="D105" s="238" t="s">
        <v>431</v>
      </c>
      <c r="E105" s="239" t="s">
        <v>9</v>
      </c>
      <c r="F105" s="240" t="s">
        <v>432</v>
      </c>
      <c r="G105" s="237"/>
      <c r="H105" s="237" t="s">
        <v>433</v>
      </c>
      <c r="I105" s="237"/>
      <c r="J105" s="240" t="s">
        <v>50</v>
      </c>
      <c r="K105" s="237" t="s">
        <v>434</v>
      </c>
      <c r="L105" s="248">
        <v>44376</v>
      </c>
      <c r="M105" s="249">
        <v>254545</v>
      </c>
      <c r="N105" s="237">
        <v>2</v>
      </c>
      <c r="O105" s="250">
        <f t="shared" si="5"/>
        <v>509090</v>
      </c>
      <c r="P105" s="250">
        <v>275000</v>
      </c>
      <c r="Q105" s="250">
        <f t="shared" si="6"/>
        <v>550000</v>
      </c>
    </row>
    <row r="106" spans="2:17">
      <c r="B106" s="200">
        <v>103</v>
      </c>
      <c r="C106" s="237" t="s">
        <v>435</v>
      </c>
      <c r="D106" s="238" t="s">
        <v>431</v>
      </c>
      <c r="E106" s="239" t="s">
        <v>9</v>
      </c>
      <c r="F106" s="240" t="s">
        <v>436</v>
      </c>
      <c r="G106" s="237"/>
      <c r="H106" s="237" t="s">
        <v>433</v>
      </c>
      <c r="I106" s="237"/>
      <c r="J106" s="240" t="s">
        <v>50</v>
      </c>
      <c r="K106" s="237" t="s">
        <v>437</v>
      </c>
      <c r="L106" s="248">
        <v>44376</v>
      </c>
      <c r="M106" s="249">
        <v>254545</v>
      </c>
      <c r="N106" s="237">
        <v>3</v>
      </c>
      <c r="O106" s="250">
        <f t="shared" si="5"/>
        <v>763635</v>
      </c>
      <c r="P106" s="250">
        <v>275000</v>
      </c>
      <c r="Q106" s="250">
        <f t="shared" si="6"/>
        <v>825000</v>
      </c>
    </row>
    <row r="107" spans="2:17">
      <c r="B107" s="200">
        <v>104</v>
      </c>
      <c r="C107" s="237" t="s">
        <v>438</v>
      </c>
      <c r="D107" s="238" t="s">
        <v>439</v>
      </c>
      <c r="E107" s="239" t="s">
        <v>9</v>
      </c>
      <c r="F107" s="240" t="s">
        <v>440</v>
      </c>
      <c r="G107" s="237"/>
      <c r="H107" s="237" t="s">
        <v>441</v>
      </c>
      <c r="I107" s="237"/>
      <c r="J107" s="240" t="s">
        <v>50</v>
      </c>
      <c r="K107" s="237" t="s">
        <v>442</v>
      </c>
      <c r="L107" s="248">
        <v>44377</v>
      </c>
      <c r="M107" s="249">
        <v>254545</v>
      </c>
      <c r="N107" s="237">
        <v>1</v>
      </c>
      <c r="O107" s="250">
        <f t="shared" si="5"/>
        <v>254545</v>
      </c>
      <c r="P107" s="250">
        <v>275000</v>
      </c>
      <c r="Q107" s="250">
        <f t="shared" si="6"/>
        <v>275000</v>
      </c>
    </row>
    <row r="108" spans="2:17">
      <c r="B108" s="200">
        <v>105</v>
      </c>
      <c r="C108" s="241" t="s">
        <v>443</v>
      </c>
      <c r="D108" s="242" t="s">
        <v>444</v>
      </c>
      <c r="E108" s="243" t="s">
        <v>9</v>
      </c>
      <c r="F108" s="244" t="s">
        <v>445</v>
      </c>
      <c r="G108" s="241"/>
      <c r="H108" s="241" t="s">
        <v>446</v>
      </c>
      <c r="I108" s="241"/>
      <c r="J108" s="244" t="s">
        <v>50</v>
      </c>
      <c r="K108" s="241" t="s">
        <v>447</v>
      </c>
      <c r="L108" s="251">
        <v>44407</v>
      </c>
      <c r="M108" s="252">
        <v>254545</v>
      </c>
      <c r="N108" s="241">
        <v>1</v>
      </c>
      <c r="O108" s="253">
        <f t="shared" si="5"/>
        <v>254545</v>
      </c>
      <c r="P108" s="253">
        <v>275000</v>
      </c>
      <c r="Q108" s="253">
        <f t="shared" si="6"/>
        <v>275000</v>
      </c>
    </row>
    <row r="109" spans="2:17">
      <c r="B109" s="200">
        <v>106</v>
      </c>
      <c r="C109" s="241" t="s">
        <v>448</v>
      </c>
      <c r="D109" s="242" t="s">
        <v>449</v>
      </c>
      <c r="E109" s="243" t="s">
        <v>9</v>
      </c>
      <c r="F109" s="244" t="s">
        <v>450</v>
      </c>
      <c r="G109" s="241"/>
      <c r="H109" s="241" t="s">
        <v>451</v>
      </c>
      <c r="I109" s="241"/>
      <c r="J109" s="244" t="s">
        <v>50</v>
      </c>
      <c r="K109" s="241" t="s">
        <v>452</v>
      </c>
      <c r="L109" s="251">
        <v>44385</v>
      </c>
      <c r="M109" s="252">
        <v>254545</v>
      </c>
      <c r="N109" s="241">
        <v>3</v>
      </c>
      <c r="O109" s="253">
        <f t="shared" si="5"/>
        <v>763635</v>
      </c>
      <c r="P109" s="253">
        <v>275000</v>
      </c>
      <c r="Q109" s="253">
        <f t="shared" si="6"/>
        <v>825000</v>
      </c>
    </row>
    <row r="110" spans="2:17">
      <c r="B110" s="200">
        <v>107</v>
      </c>
      <c r="C110" s="241" t="s">
        <v>453</v>
      </c>
      <c r="D110" s="242" t="s">
        <v>449</v>
      </c>
      <c r="E110" s="243" t="s">
        <v>9</v>
      </c>
      <c r="F110" s="244" t="s">
        <v>454</v>
      </c>
      <c r="G110" s="241"/>
      <c r="H110" s="241" t="s">
        <v>455</v>
      </c>
      <c r="I110" s="241"/>
      <c r="J110" s="244" t="s">
        <v>50</v>
      </c>
      <c r="K110" s="241" t="s">
        <v>456</v>
      </c>
      <c r="L110" s="251">
        <v>44385</v>
      </c>
      <c r="M110" s="252">
        <v>254545</v>
      </c>
      <c r="N110" s="241">
        <v>2</v>
      </c>
      <c r="O110" s="253">
        <f t="shared" si="5"/>
        <v>509090</v>
      </c>
      <c r="P110" s="253">
        <v>275000</v>
      </c>
      <c r="Q110" s="253">
        <f t="shared" si="6"/>
        <v>550000</v>
      </c>
    </row>
    <row r="111" spans="2:17">
      <c r="B111" s="200">
        <v>108</v>
      </c>
      <c r="C111" s="241" t="s">
        <v>457</v>
      </c>
      <c r="D111" s="242" t="s">
        <v>449</v>
      </c>
      <c r="E111" s="243" t="s">
        <v>9</v>
      </c>
      <c r="F111" s="244" t="s">
        <v>458</v>
      </c>
      <c r="G111" s="241"/>
      <c r="H111" s="241" t="s">
        <v>459</v>
      </c>
      <c r="I111" s="241"/>
      <c r="J111" s="244" t="s">
        <v>50</v>
      </c>
      <c r="K111" s="241" t="s">
        <v>460</v>
      </c>
      <c r="L111" s="251">
        <v>44385</v>
      </c>
      <c r="M111" s="252">
        <v>254545</v>
      </c>
      <c r="N111" s="241">
        <v>1</v>
      </c>
      <c r="O111" s="253">
        <f t="shared" si="5"/>
        <v>254545</v>
      </c>
      <c r="P111" s="253">
        <v>275000</v>
      </c>
      <c r="Q111" s="253">
        <f t="shared" si="6"/>
        <v>275000</v>
      </c>
    </row>
    <row r="112" spans="2:17">
      <c r="B112" s="200">
        <v>109</v>
      </c>
      <c r="C112" s="241" t="s">
        <v>461</v>
      </c>
      <c r="D112" s="242" t="s">
        <v>2</v>
      </c>
      <c r="E112" s="243" t="s">
        <v>15</v>
      </c>
      <c r="F112" s="244" t="s">
        <v>462</v>
      </c>
      <c r="G112" s="241"/>
      <c r="H112" s="241" t="s">
        <v>463</v>
      </c>
      <c r="I112" s="241"/>
      <c r="J112" s="244" t="s">
        <v>85</v>
      </c>
      <c r="K112" s="241" t="s">
        <v>464</v>
      </c>
      <c r="L112" s="251">
        <v>44390</v>
      </c>
      <c r="M112" s="252">
        <v>222727</v>
      </c>
      <c r="N112" s="241">
        <v>21</v>
      </c>
      <c r="O112" s="253">
        <f t="shared" si="5"/>
        <v>4677267</v>
      </c>
      <c r="P112" s="253">
        <v>279090.90999999997</v>
      </c>
      <c r="Q112" s="253">
        <f t="shared" si="6"/>
        <v>5860909.1099999994</v>
      </c>
    </row>
    <row r="113" spans="2:17">
      <c r="B113" s="200">
        <v>110</v>
      </c>
      <c r="C113" s="241" t="s">
        <v>465</v>
      </c>
      <c r="D113" s="242">
        <v>4800420059</v>
      </c>
      <c r="E113" s="243" t="s">
        <v>12</v>
      </c>
      <c r="F113" s="244" t="s">
        <v>466</v>
      </c>
      <c r="G113" s="241"/>
      <c r="H113" s="241" t="s">
        <v>467</v>
      </c>
      <c r="I113" s="241"/>
      <c r="J113" s="244" t="s">
        <v>85</v>
      </c>
      <c r="K113" s="241" t="s">
        <v>468</v>
      </c>
      <c r="L113" s="251">
        <v>44392</v>
      </c>
      <c r="M113" s="252">
        <v>222727</v>
      </c>
      <c r="N113" s="241">
        <v>83</v>
      </c>
      <c r="O113" s="253">
        <f t="shared" si="5"/>
        <v>18486341</v>
      </c>
      <c r="P113" s="253">
        <v>265136</v>
      </c>
      <c r="Q113" s="253">
        <f t="shared" si="6"/>
        <v>22006288</v>
      </c>
    </row>
    <row r="114" spans="2:17">
      <c r="B114" s="200">
        <v>111</v>
      </c>
      <c r="C114" s="241" t="s">
        <v>469</v>
      </c>
      <c r="D114" s="242" t="s">
        <v>470</v>
      </c>
      <c r="E114" s="243" t="s">
        <v>6</v>
      </c>
      <c r="F114" s="244" t="s">
        <v>185</v>
      </c>
      <c r="G114" s="241"/>
      <c r="H114" s="241" t="s">
        <v>471</v>
      </c>
      <c r="I114" s="241"/>
      <c r="J114" s="244" t="s">
        <v>50</v>
      </c>
      <c r="K114" s="241" t="s">
        <v>472</v>
      </c>
      <c r="L114" s="251">
        <v>44395</v>
      </c>
      <c r="M114" s="252">
        <v>345455</v>
      </c>
      <c r="N114" s="241">
        <v>258</v>
      </c>
      <c r="O114" s="253">
        <f t="shared" si="5"/>
        <v>89127390</v>
      </c>
      <c r="P114" s="253">
        <v>388181.82</v>
      </c>
      <c r="Q114" s="253">
        <f t="shared" si="6"/>
        <v>100150909.56</v>
      </c>
    </row>
    <row r="115" spans="2:17">
      <c r="B115" s="200">
        <v>112</v>
      </c>
      <c r="C115" s="241" t="s">
        <v>473</v>
      </c>
      <c r="D115" s="242" t="s">
        <v>474</v>
      </c>
      <c r="E115" s="243" t="s">
        <v>13</v>
      </c>
      <c r="F115" s="244" t="s">
        <v>475</v>
      </c>
      <c r="G115" s="241"/>
      <c r="H115" s="241" t="s">
        <v>376</v>
      </c>
      <c r="I115" s="241"/>
      <c r="J115" s="244" t="s">
        <v>63</v>
      </c>
      <c r="K115" s="241" t="s">
        <v>476</v>
      </c>
      <c r="L115" s="251">
        <v>44392</v>
      </c>
      <c r="M115" s="252">
        <v>92727</v>
      </c>
      <c r="N115" s="241">
        <v>150</v>
      </c>
      <c r="O115" s="253">
        <f t="shared" si="5"/>
        <v>13909050</v>
      </c>
      <c r="P115" s="253">
        <f>138000/1.1</f>
        <v>125454.54545454544</v>
      </c>
      <c r="Q115" s="253">
        <f t="shared" si="6"/>
        <v>18818181.818181816</v>
      </c>
    </row>
    <row r="116" spans="2:17">
      <c r="B116" s="200">
        <v>113</v>
      </c>
      <c r="C116" s="241" t="s">
        <v>477</v>
      </c>
      <c r="D116" s="242" t="s">
        <v>478</v>
      </c>
      <c r="E116" s="243" t="s">
        <v>9</v>
      </c>
      <c r="F116" s="244" t="s">
        <v>479</v>
      </c>
      <c r="G116" s="241"/>
      <c r="H116" s="241" t="s">
        <v>480</v>
      </c>
      <c r="I116" s="241"/>
      <c r="J116" s="244" t="s">
        <v>50</v>
      </c>
      <c r="K116" s="241" t="s">
        <v>481</v>
      </c>
      <c r="L116" s="251">
        <v>44398</v>
      </c>
      <c r="M116" s="252">
        <v>254545</v>
      </c>
      <c r="N116" s="241">
        <v>1</v>
      </c>
      <c r="O116" s="253">
        <f t="shared" si="5"/>
        <v>254545</v>
      </c>
      <c r="P116" s="253">
        <v>275000</v>
      </c>
      <c r="Q116" s="253">
        <f t="shared" si="6"/>
        <v>275000</v>
      </c>
    </row>
    <row r="117" spans="2:17">
      <c r="B117" s="200">
        <v>114</v>
      </c>
      <c r="C117" s="241" t="s">
        <v>482</v>
      </c>
      <c r="D117" s="242" t="s">
        <v>478</v>
      </c>
      <c r="E117" s="243" t="s">
        <v>9</v>
      </c>
      <c r="F117" s="244" t="s">
        <v>483</v>
      </c>
      <c r="G117" s="241"/>
      <c r="H117" s="241" t="s">
        <v>480</v>
      </c>
      <c r="I117" s="241"/>
      <c r="J117" s="244" t="s">
        <v>50</v>
      </c>
      <c r="K117" s="241" t="s">
        <v>484</v>
      </c>
      <c r="L117" s="251">
        <v>44398</v>
      </c>
      <c r="M117" s="252">
        <v>254545</v>
      </c>
      <c r="N117" s="241">
        <v>8</v>
      </c>
      <c r="O117" s="253">
        <f t="shared" si="5"/>
        <v>2036360</v>
      </c>
      <c r="P117" s="253">
        <v>275000</v>
      </c>
      <c r="Q117" s="253">
        <f t="shared" si="6"/>
        <v>2200000</v>
      </c>
    </row>
    <row r="118" spans="2:17">
      <c r="B118" s="200">
        <v>115</v>
      </c>
      <c r="C118" s="241" t="s">
        <v>485</v>
      </c>
      <c r="D118" s="242" t="s">
        <v>444</v>
      </c>
      <c r="E118" s="243" t="s">
        <v>9</v>
      </c>
      <c r="F118" s="244" t="s">
        <v>203</v>
      </c>
      <c r="G118" s="241"/>
      <c r="H118" s="241" t="s">
        <v>446</v>
      </c>
      <c r="I118" s="241"/>
      <c r="J118" s="244" t="s">
        <v>50</v>
      </c>
      <c r="K118" s="241" t="s">
        <v>486</v>
      </c>
      <c r="L118" s="251">
        <v>44407</v>
      </c>
      <c r="M118" s="252">
        <v>254545</v>
      </c>
      <c r="N118" s="241">
        <v>1</v>
      </c>
      <c r="O118" s="253">
        <f t="shared" si="5"/>
        <v>254545</v>
      </c>
      <c r="P118" s="253">
        <v>275000</v>
      </c>
      <c r="Q118" s="253">
        <f t="shared" si="6"/>
        <v>275000</v>
      </c>
    </row>
    <row r="119" spans="2:17">
      <c r="B119" s="200">
        <v>116</v>
      </c>
      <c r="C119" s="241" t="s">
        <v>487</v>
      </c>
      <c r="D119" s="242" t="s">
        <v>488</v>
      </c>
      <c r="E119" s="243" t="s">
        <v>9</v>
      </c>
      <c r="F119" s="244" t="s">
        <v>489</v>
      </c>
      <c r="G119" s="241"/>
      <c r="H119" s="241" t="s">
        <v>490</v>
      </c>
      <c r="I119" s="241"/>
      <c r="J119" s="244" t="s">
        <v>50</v>
      </c>
      <c r="K119" s="241" t="s">
        <v>491</v>
      </c>
      <c r="L119" s="251">
        <v>44404</v>
      </c>
      <c r="M119" s="252">
        <v>254545</v>
      </c>
      <c r="N119" s="241">
        <v>1</v>
      </c>
      <c r="O119" s="253">
        <f t="shared" si="5"/>
        <v>254545</v>
      </c>
      <c r="P119" s="253">
        <v>275000</v>
      </c>
      <c r="Q119" s="253">
        <f t="shared" si="6"/>
        <v>275000</v>
      </c>
    </row>
    <row r="120" spans="2:17">
      <c r="B120" s="200">
        <v>117</v>
      </c>
      <c r="C120" s="241" t="s">
        <v>492</v>
      </c>
      <c r="D120" s="242" t="s">
        <v>444</v>
      </c>
      <c r="E120" s="243" t="s">
        <v>9</v>
      </c>
      <c r="F120" s="244" t="s">
        <v>445</v>
      </c>
      <c r="G120" s="241"/>
      <c r="H120" s="241" t="s">
        <v>446</v>
      </c>
      <c r="I120" s="241"/>
      <c r="J120" s="244" t="s">
        <v>50</v>
      </c>
      <c r="K120" s="241" t="s">
        <v>493</v>
      </c>
      <c r="L120" s="251">
        <v>44407</v>
      </c>
      <c r="M120" s="252">
        <v>254545</v>
      </c>
      <c r="N120" s="241">
        <v>1</v>
      </c>
      <c r="O120" s="253">
        <f t="shared" si="5"/>
        <v>254545</v>
      </c>
      <c r="P120" s="253">
        <v>275000</v>
      </c>
      <c r="Q120" s="253">
        <f t="shared" si="6"/>
        <v>275000</v>
      </c>
    </row>
    <row r="121" spans="2:17">
      <c r="B121" s="200">
        <v>118</v>
      </c>
      <c r="C121" s="241" t="s">
        <v>494</v>
      </c>
      <c r="D121" s="242" t="s">
        <v>444</v>
      </c>
      <c r="E121" s="243" t="s">
        <v>9</v>
      </c>
      <c r="F121" s="244" t="s">
        <v>495</v>
      </c>
      <c r="G121" s="241"/>
      <c r="H121" s="241" t="s">
        <v>496</v>
      </c>
      <c r="I121" s="241"/>
      <c r="J121" s="244" t="s">
        <v>50</v>
      </c>
      <c r="K121" s="241" t="s">
        <v>497</v>
      </c>
      <c r="L121" s="251">
        <v>44407</v>
      </c>
      <c r="M121" s="252">
        <v>254545</v>
      </c>
      <c r="N121" s="241">
        <v>1</v>
      </c>
      <c r="O121" s="253">
        <f t="shared" si="5"/>
        <v>254545</v>
      </c>
      <c r="P121" s="253">
        <v>275000</v>
      </c>
      <c r="Q121" s="253">
        <f t="shared" si="6"/>
        <v>275000</v>
      </c>
    </row>
    <row r="122" spans="2:17">
      <c r="B122" s="200">
        <v>119</v>
      </c>
      <c r="C122" s="237" t="s">
        <v>498</v>
      </c>
      <c r="D122" s="238" t="s">
        <v>499</v>
      </c>
      <c r="E122" s="239" t="s">
        <v>11</v>
      </c>
      <c r="F122" s="240" t="s">
        <v>320</v>
      </c>
      <c r="G122" s="237"/>
      <c r="H122" s="237" t="s">
        <v>500</v>
      </c>
      <c r="I122" s="237"/>
      <c r="J122" s="240" t="s">
        <v>50</v>
      </c>
      <c r="K122" s="237" t="s">
        <v>501</v>
      </c>
      <c r="L122" s="248">
        <v>44410</v>
      </c>
      <c r="M122" s="249">
        <v>444545</v>
      </c>
      <c r="N122" s="237">
        <v>19</v>
      </c>
      <c r="O122" s="250">
        <f t="shared" si="5"/>
        <v>8446355</v>
      </c>
      <c r="P122" s="250">
        <v>556363.63</v>
      </c>
      <c r="Q122" s="250">
        <f t="shared" si="6"/>
        <v>10570908.970000001</v>
      </c>
    </row>
    <row r="123" spans="2:17">
      <c r="B123" s="200">
        <v>120</v>
      </c>
      <c r="C123" s="237" t="s">
        <v>502</v>
      </c>
      <c r="D123" s="238" t="s">
        <v>503</v>
      </c>
      <c r="E123" s="239" t="s">
        <v>9</v>
      </c>
      <c r="F123" s="240" t="s">
        <v>504</v>
      </c>
      <c r="G123" s="237"/>
      <c r="H123" s="237" t="s">
        <v>505</v>
      </c>
      <c r="I123" s="237"/>
      <c r="J123" s="240" t="s">
        <v>50</v>
      </c>
      <c r="K123" s="237" t="s">
        <v>506</v>
      </c>
      <c r="L123" s="248">
        <v>44410</v>
      </c>
      <c r="M123" s="249">
        <v>254545</v>
      </c>
      <c r="N123" s="237">
        <v>5</v>
      </c>
      <c r="O123" s="250">
        <f t="shared" si="5"/>
        <v>1272725</v>
      </c>
      <c r="P123" s="250">
        <v>275000</v>
      </c>
      <c r="Q123" s="250">
        <f t="shared" si="6"/>
        <v>1375000</v>
      </c>
    </row>
    <row r="124" spans="2:17">
      <c r="B124" s="200">
        <v>121</v>
      </c>
      <c r="C124" s="237" t="s">
        <v>507</v>
      </c>
      <c r="D124" s="238" t="s">
        <v>508</v>
      </c>
      <c r="E124" s="239" t="s">
        <v>6</v>
      </c>
      <c r="F124" s="240" t="s">
        <v>509</v>
      </c>
      <c r="G124" s="237"/>
      <c r="H124" s="237" t="s">
        <v>510</v>
      </c>
      <c r="I124" s="237"/>
      <c r="J124" s="240" t="s">
        <v>50</v>
      </c>
      <c r="K124" s="237" t="s">
        <v>511</v>
      </c>
      <c r="L124" s="248">
        <v>44414</v>
      </c>
      <c r="M124" s="249">
        <v>444545</v>
      </c>
      <c r="N124" s="237">
        <v>73</v>
      </c>
      <c r="O124" s="250">
        <f t="shared" si="5"/>
        <v>32451785</v>
      </c>
      <c r="P124" s="250">
        <v>530000</v>
      </c>
      <c r="Q124" s="250">
        <f t="shared" si="6"/>
        <v>38690000</v>
      </c>
    </row>
    <row r="125" spans="2:17">
      <c r="B125" s="200">
        <v>122</v>
      </c>
      <c r="C125" s="237" t="s">
        <v>512</v>
      </c>
      <c r="D125" s="238" t="s">
        <v>513</v>
      </c>
      <c r="E125" s="239" t="s">
        <v>9</v>
      </c>
      <c r="F125" s="240" t="s">
        <v>514</v>
      </c>
      <c r="G125" s="237"/>
      <c r="H125" s="237" t="s">
        <v>515</v>
      </c>
      <c r="I125" s="237"/>
      <c r="J125" s="240" t="s">
        <v>50</v>
      </c>
      <c r="K125" s="237" t="s">
        <v>516</v>
      </c>
      <c r="L125" s="248">
        <v>44417</v>
      </c>
      <c r="M125" s="249">
        <v>254545</v>
      </c>
      <c r="N125" s="237">
        <v>2</v>
      </c>
      <c r="O125" s="250">
        <f t="shared" ref="O125:O188" si="7">N125*M125</f>
        <v>509090</v>
      </c>
      <c r="P125" s="250">
        <v>275000</v>
      </c>
      <c r="Q125" s="250">
        <f t="shared" si="6"/>
        <v>550000</v>
      </c>
    </row>
    <row r="126" spans="2:17">
      <c r="B126" s="200">
        <v>123</v>
      </c>
      <c r="C126" s="237" t="s">
        <v>517</v>
      </c>
      <c r="D126" s="238" t="s">
        <v>513</v>
      </c>
      <c r="E126" s="239" t="s">
        <v>9</v>
      </c>
      <c r="F126" s="240" t="s">
        <v>518</v>
      </c>
      <c r="G126" s="237"/>
      <c r="H126" s="237" t="s">
        <v>515</v>
      </c>
      <c r="I126" s="237"/>
      <c r="J126" s="240" t="s">
        <v>50</v>
      </c>
      <c r="K126" s="237" t="s">
        <v>519</v>
      </c>
      <c r="L126" s="248">
        <v>44417</v>
      </c>
      <c r="M126" s="249">
        <v>254545</v>
      </c>
      <c r="N126" s="237">
        <v>3</v>
      </c>
      <c r="O126" s="250">
        <f t="shared" si="7"/>
        <v>763635</v>
      </c>
      <c r="P126" s="250">
        <v>275000</v>
      </c>
      <c r="Q126" s="250">
        <f t="shared" si="6"/>
        <v>825000</v>
      </c>
    </row>
    <row r="127" spans="2:17">
      <c r="B127" s="200">
        <v>124</v>
      </c>
      <c r="C127" s="237" t="s">
        <v>520</v>
      </c>
      <c r="D127" s="238" t="s">
        <v>521</v>
      </c>
      <c r="E127" s="239" t="s">
        <v>9</v>
      </c>
      <c r="F127" s="240" t="s">
        <v>522</v>
      </c>
      <c r="G127" s="237"/>
      <c r="H127" s="237" t="s">
        <v>446</v>
      </c>
      <c r="I127" s="237"/>
      <c r="J127" s="240" t="s">
        <v>50</v>
      </c>
      <c r="K127" s="237" t="s">
        <v>523</v>
      </c>
      <c r="L127" s="248">
        <v>44417</v>
      </c>
      <c r="M127" s="249">
        <v>254545</v>
      </c>
      <c r="N127" s="237">
        <v>1</v>
      </c>
      <c r="O127" s="250">
        <f t="shared" si="7"/>
        <v>254545</v>
      </c>
      <c r="P127" s="250">
        <v>275000</v>
      </c>
      <c r="Q127" s="250">
        <f t="shared" si="6"/>
        <v>275000</v>
      </c>
    </row>
    <row r="128" spans="2:17">
      <c r="B128" s="200">
        <v>125</v>
      </c>
      <c r="C128" s="237" t="s">
        <v>524</v>
      </c>
      <c r="D128" s="238" t="s">
        <v>525</v>
      </c>
      <c r="E128" s="239" t="s">
        <v>9</v>
      </c>
      <c r="F128" s="240" t="s">
        <v>368</v>
      </c>
      <c r="G128" s="237"/>
      <c r="H128" s="237" t="s">
        <v>526</v>
      </c>
      <c r="I128" s="237"/>
      <c r="J128" s="240" t="s">
        <v>50</v>
      </c>
      <c r="K128" s="237" t="s">
        <v>527</v>
      </c>
      <c r="L128" s="248">
        <v>44418</v>
      </c>
      <c r="M128" s="249">
        <v>254545</v>
      </c>
      <c r="N128" s="237">
        <v>5</v>
      </c>
      <c r="O128" s="250">
        <f t="shared" si="7"/>
        <v>1272725</v>
      </c>
      <c r="P128" s="250">
        <v>275000</v>
      </c>
      <c r="Q128" s="250">
        <f t="shared" si="6"/>
        <v>1375000</v>
      </c>
    </row>
    <row r="129" spans="2:17">
      <c r="B129" s="200">
        <v>126</v>
      </c>
      <c r="C129" s="237" t="s">
        <v>528</v>
      </c>
      <c r="D129" s="238" t="s">
        <v>525</v>
      </c>
      <c r="E129" s="239" t="s">
        <v>9</v>
      </c>
      <c r="F129" s="240" t="s">
        <v>368</v>
      </c>
      <c r="G129" s="237"/>
      <c r="H129" s="237" t="s">
        <v>510</v>
      </c>
      <c r="I129" s="237"/>
      <c r="J129" s="240" t="s">
        <v>50</v>
      </c>
      <c r="K129" s="237" t="s">
        <v>529</v>
      </c>
      <c r="L129" s="248">
        <v>44418</v>
      </c>
      <c r="M129" s="249">
        <v>254545</v>
      </c>
      <c r="N129" s="237">
        <v>2</v>
      </c>
      <c r="O129" s="250">
        <f t="shared" si="7"/>
        <v>509090</v>
      </c>
      <c r="P129" s="250">
        <v>275000</v>
      </c>
      <c r="Q129" s="250">
        <f t="shared" si="6"/>
        <v>550000</v>
      </c>
    </row>
    <row r="130" spans="2:17">
      <c r="B130" s="200">
        <v>127</v>
      </c>
      <c r="C130" s="237" t="s">
        <v>530</v>
      </c>
      <c r="D130" s="238" t="s">
        <v>531</v>
      </c>
      <c r="E130" s="239" t="s">
        <v>15</v>
      </c>
      <c r="F130" s="240" t="s">
        <v>462</v>
      </c>
      <c r="G130" s="237"/>
      <c r="H130" s="237" t="s">
        <v>532</v>
      </c>
      <c r="I130" s="237"/>
      <c r="J130" s="240" t="s">
        <v>533</v>
      </c>
      <c r="K130" s="237" t="s">
        <v>534</v>
      </c>
      <c r="L130" s="248">
        <v>44431</v>
      </c>
      <c r="M130" s="249">
        <v>222727</v>
      </c>
      <c r="N130" s="237">
        <v>69</v>
      </c>
      <c r="O130" s="250">
        <f t="shared" si="7"/>
        <v>15368163</v>
      </c>
      <c r="P130" s="250">
        <v>250000</v>
      </c>
      <c r="Q130" s="250">
        <f t="shared" si="6"/>
        <v>17250000</v>
      </c>
    </row>
    <row r="131" spans="2:17">
      <c r="B131" s="200">
        <v>128</v>
      </c>
      <c r="C131" s="237" t="s">
        <v>535</v>
      </c>
      <c r="D131" s="238" t="s">
        <v>536</v>
      </c>
      <c r="E131" s="239" t="s">
        <v>9</v>
      </c>
      <c r="F131" s="240" t="s">
        <v>537</v>
      </c>
      <c r="G131" s="237"/>
      <c r="H131" s="237" t="s">
        <v>538</v>
      </c>
      <c r="I131" s="237"/>
      <c r="J131" s="240" t="s">
        <v>50</v>
      </c>
      <c r="K131" s="237" t="s">
        <v>539</v>
      </c>
      <c r="L131" s="248">
        <v>44438</v>
      </c>
      <c r="M131" s="249">
        <v>254545</v>
      </c>
      <c r="N131" s="237">
        <v>6</v>
      </c>
      <c r="O131" s="250">
        <f t="shared" si="7"/>
        <v>1527270</v>
      </c>
      <c r="P131" s="250">
        <v>275000</v>
      </c>
      <c r="Q131" s="250">
        <f t="shared" si="6"/>
        <v>1650000</v>
      </c>
    </row>
    <row r="132" spans="2:17">
      <c r="B132" s="200">
        <v>129</v>
      </c>
      <c r="C132" s="237" t="s">
        <v>540</v>
      </c>
      <c r="D132" s="238" t="s">
        <v>536</v>
      </c>
      <c r="E132" s="239" t="s">
        <v>9</v>
      </c>
      <c r="F132" s="240" t="s">
        <v>537</v>
      </c>
      <c r="G132" s="237"/>
      <c r="H132" s="237" t="s">
        <v>538</v>
      </c>
      <c r="I132" s="237"/>
      <c r="J132" s="240" t="s">
        <v>50</v>
      </c>
      <c r="K132" s="237" t="s">
        <v>541</v>
      </c>
      <c r="L132" s="248">
        <v>44438</v>
      </c>
      <c r="M132" s="249">
        <v>254545</v>
      </c>
      <c r="N132" s="237">
        <v>4</v>
      </c>
      <c r="O132" s="250">
        <f t="shared" si="7"/>
        <v>1018180</v>
      </c>
      <c r="P132" s="250">
        <v>275000</v>
      </c>
      <c r="Q132" s="250">
        <f t="shared" si="6"/>
        <v>1100000</v>
      </c>
    </row>
    <row r="133" spans="2:17">
      <c r="B133" s="200">
        <v>130</v>
      </c>
      <c r="C133" s="241" t="s">
        <v>542</v>
      </c>
      <c r="D133" s="242" t="s">
        <v>543</v>
      </c>
      <c r="E133" s="243" t="s">
        <v>9</v>
      </c>
      <c r="F133" s="244" t="s">
        <v>544</v>
      </c>
      <c r="G133" s="241"/>
      <c r="H133" s="241" t="s">
        <v>545</v>
      </c>
      <c r="I133" s="241"/>
      <c r="J133" s="244" t="s">
        <v>50</v>
      </c>
      <c r="K133" s="241" t="s">
        <v>546</v>
      </c>
      <c r="L133" s="251">
        <v>44469</v>
      </c>
      <c r="M133" s="252">
        <v>254545</v>
      </c>
      <c r="N133" s="241">
        <v>8</v>
      </c>
      <c r="O133" s="253">
        <f t="shared" si="7"/>
        <v>2036360</v>
      </c>
      <c r="P133" s="253">
        <v>275000</v>
      </c>
      <c r="Q133" s="253">
        <f t="shared" si="6"/>
        <v>2200000</v>
      </c>
    </row>
    <row r="134" spans="2:17">
      <c r="B134" s="200">
        <v>131</v>
      </c>
      <c r="C134" s="241" t="s">
        <v>547</v>
      </c>
      <c r="D134" s="242" t="s">
        <v>548</v>
      </c>
      <c r="E134" s="243" t="s">
        <v>9</v>
      </c>
      <c r="F134" s="244" t="s">
        <v>549</v>
      </c>
      <c r="G134" s="241"/>
      <c r="H134" s="241" t="s">
        <v>550</v>
      </c>
      <c r="I134" s="241"/>
      <c r="J134" s="244" t="s">
        <v>50</v>
      </c>
      <c r="K134" s="241" t="s">
        <v>551</v>
      </c>
      <c r="L134" s="251">
        <v>44446</v>
      </c>
      <c r="M134" s="252">
        <v>254545</v>
      </c>
      <c r="N134" s="241">
        <v>1</v>
      </c>
      <c r="O134" s="253">
        <f t="shared" si="7"/>
        <v>254545</v>
      </c>
      <c r="P134" s="253">
        <v>275000</v>
      </c>
      <c r="Q134" s="253">
        <f t="shared" si="6"/>
        <v>275000</v>
      </c>
    </row>
    <row r="135" spans="2:17">
      <c r="B135" s="200">
        <v>132</v>
      </c>
      <c r="C135" s="241" t="s">
        <v>552</v>
      </c>
      <c r="D135" s="242" t="s">
        <v>548</v>
      </c>
      <c r="E135" s="243" t="s">
        <v>9</v>
      </c>
      <c r="F135" s="244" t="s">
        <v>445</v>
      </c>
      <c r="G135" s="241"/>
      <c r="H135" s="241" t="s">
        <v>446</v>
      </c>
      <c r="I135" s="241"/>
      <c r="J135" s="244" t="s">
        <v>50</v>
      </c>
      <c r="K135" s="241" t="s">
        <v>553</v>
      </c>
      <c r="L135" s="251">
        <v>44446</v>
      </c>
      <c r="M135" s="252">
        <v>254545</v>
      </c>
      <c r="N135" s="241">
        <v>1</v>
      </c>
      <c r="O135" s="253">
        <f t="shared" si="7"/>
        <v>254545</v>
      </c>
      <c r="P135" s="253">
        <v>275000</v>
      </c>
      <c r="Q135" s="253">
        <f t="shared" si="6"/>
        <v>275000</v>
      </c>
    </row>
    <row r="136" spans="2:17">
      <c r="B136" s="200">
        <v>133</v>
      </c>
      <c r="C136" s="241" t="s">
        <v>554</v>
      </c>
      <c r="D136" s="242" t="s">
        <v>555</v>
      </c>
      <c r="E136" s="243" t="s">
        <v>2</v>
      </c>
      <c r="F136" s="244" t="s">
        <v>556</v>
      </c>
      <c r="G136" s="241"/>
      <c r="H136" s="241" t="s">
        <v>557</v>
      </c>
      <c r="I136" s="241"/>
      <c r="J136" s="244" t="s">
        <v>85</v>
      </c>
      <c r="K136" s="241" t="s">
        <v>558</v>
      </c>
      <c r="L136" s="251">
        <v>44447</v>
      </c>
      <c r="M136" s="252">
        <v>222727</v>
      </c>
      <c r="N136" s="241">
        <v>350</v>
      </c>
      <c r="O136" s="253">
        <f t="shared" si="7"/>
        <v>77954450</v>
      </c>
      <c r="P136" s="253">
        <v>392700</v>
      </c>
      <c r="Q136" s="253">
        <f t="shared" si="6"/>
        <v>137445000</v>
      </c>
    </row>
    <row r="137" spans="2:17">
      <c r="B137" s="200">
        <v>134</v>
      </c>
      <c r="C137" s="241" t="s">
        <v>559</v>
      </c>
      <c r="D137" s="242" t="s">
        <v>560</v>
      </c>
      <c r="E137" s="243" t="s">
        <v>9</v>
      </c>
      <c r="F137" s="244" t="s">
        <v>561</v>
      </c>
      <c r="G137" s="241"/>
      <c r="H137" s="241" t="s">
        <v>538</v>
      </c>
      <c r="I137" s="241"/>
      <c r="J137" s="244" t="s">
        <v>50</v>
      </c>
      <c r="K137" s="241" t="s">
        <v>562</v>
      </c>
      <c r="L137" s="251">
        <v>44447</v>
      </c>
      <c r="M137" s="252">
        <v>254545</v>
      </c>
      <c r="N137" s="241">
        <v>1</v>
      </c>
      <c r="O137" s="253">
        <f t="shared" si="7"/>
        <v>254545</v>
      </c>
      <c r="P137" s="253">
        <v>275000</v>
      </c>
      <c r="Q137" s="253">
        <f t="shared" si="6"/>
        <v>275000</v>
      </c>
    </row>
    <row r="138" spans="2:17">
      <c r="B138" s="200">
        <v>135</v>
      </c>
      <c r="C138" s="241" t="s">
        <v>563</v>
      </c>
      <c r="D138" s="242" t="s">
        <v>564</v>
      </c>
      <c r="E138" s="243" t="s">
        <v>9</v>
      </c>
      <c r="F138" s="244" t="s">
        <v>565</v>
      </c>
      <c r="G138" s="241"/>
      <c r="H138" s="241" t="s">
        <v>566</v>
      </c>
      <c r="I138" s="241"/>
      <c r="J138" s="244" t="s">
        <v>50</v>
      </c>
      <c r="K138" s="241" t="s">
        <v>567</v>
      </c>
      <c r="L138" s="251">
        <v>44448</v>
      </c>
      <c r="M138" s="252">
        <v>254545</v>
      </c>
      <c r="N138" s="241">
        <v>1</v>
      </c>
      <c r="O138" s="253">
        <f t="shared" si="7"/>
        <v>254545</v>
      </c>
      <c r="P138" s="253">
        <v>275000</v>
      </c>
      <c r="Q138" s="253">
        <f t="shared" si="6"/>
        <v>275000</v>
      </c>
    </row>
    <row r="139" spans="2:17">
      <c r="B139" s="200">
        <v>136</v>
      </c>
      <c r="C139" s="241" t="s">
        <v>568</v>
      </c>
      <c r="D139" s="242" t="s">
        <v>569</v>
      </c>
      <c r="E139" s="243" t="s">
        <v>9</v>
      </c>
      <c r="F139" s="244" t="s">
        <v>570</v>
      </c>
      <c r="G139" s="241"/>
      <c r="H139" s="241" t="s">
        <v>571</v>
      </c>
      <c r="I139" s="241"/>
      <c r="J139" s="244" t="s">
        <v>50</v>
      </c>
      <c r="K139" s="241" t="s">
        <v>572</v>
      </c>
      <c r="L139" s="251">
        <v>44449</v>
      </c>
      <c r="M139" s="252">
        <v>254545</v>
      </c>
      <c r="N139" s="241">
        <v>3</v>
      </c>
      <c r="O139" s="253">
        <f t="shared" si="7"/>
        <v>763635</v>
      </c>
      <c r="P139" s="253">
        <v>275000</v>
      </c>
      <c r="Q139" s="253">
        <f t="shared" si="6"/>
        <v>825000</v>
      </c>
    </row>
    <row r="140" spans="2:17">
      <c r="B140" s="200">
        <v>137</v>
      </c>
      <c r="C140" s="241" t="s">
        <v>573</v>
      </c>
      <c r="D140" s="242" t="s">
        <v>574</v>
      </c>
      <c r="E140" s="243" t="s">
        <v>7</v>
      </c>
      <c r="F140" s="244" t="s">
        <v>83</v>
      </c>
      <c r="G140" s="241"/>
      <c r="H140" s="241" t="s">
        <v>575</v>
      </c>
      <c r="I140" s="241"/>
      <c r="J140" s="244" t="s">
        <v>85</v>
      </c>
      <c r="K140" s="241" t="s">
        <v>576</v>
      </c>
      <c r="L140" s="251">
        <v>44449</v>
      </c>
      <c r="M140" s="252">
        <v>222727</v>
      </c>
      <c r="N140" s="241">
        <v>165</v>
      </c>
      <c r="O140" s="253">
        <f t="shared" si="7"/>
        <v>36749955</v>
      </c>
      <c r="P140" s="253">
        <v>279090.90999999997</v>
      </c>
      <c r="Q140" s="253">
        <f t="shared" si="6"/>
        <v>46050000.149999999</v>
      </c>
    </row>
    <row r="141" spans="2:17">
      <c r="B141" s="200">
        <v>138</v>
      </c>
      <c r="C141" s="241" t="s">
        <v>577</v>
      </c>
      <c r="D141" s="242">
        <v>79921</v>
      </c>
      <c r="E141" s="243" t="s">
        <v>17</v>
      </c>
      <c r="F141" s="244" t="s">
        <v>114</v>
      </c>
      <c r="G141" s="241"/>
      <c r="H141" s="241" t="s">
        <v>578</v>
      </c>
      <c r="I141" s="241"/>
      <c r="J141" s="244" t="s">
        <v>85</v>
      </c>
      <c r="K141" s="241" t="s">
        <v>377</v>
      </c>
      <c r="L141" s="251">
        <v>44454</v>
      </c>
      <c r="M141" s="252">
        <v>222727</v>
      </c>
      <c r="N141" s="241">
        <v>5</v>
      </c>
      <c r="O141" s="253">
        <f t="shared" si="7"/>
        <v>1113635</v>
      </c>
      <c r="P141" s="253">
        <v>279090.90999999997</v>
      </c>
      <c r="Q141" s="253">
        <f t="shared" si="6"/>
        <v>1395454.5499999998</v>
      </c>
    </row>
    <row r="142" spans="2:17">
      <c r="B142" s="200">
        <v>139</v>
      </c>
      <c r="C142" s="241" t="s">
        <v>579</v>
      </c>
      <c r="D142" s="242">
        <v>79921</v>
      </c>
      <c r="E142" s="243" t="s">
        <v>17</v>
      </c>
      <c r="F142" s="244" t="s">
        <v>114</v>
      </c>
      <c r="G142" s="241"/>
      <c r="H142" s="241" t="s">
        <v>580</v>
      </c>
      <c r="I142" s="241"/>
      <c r="J142" s="244" t="s">
        <v>85</v>
      </c>
      <c r="K142" s="241" t="s">
        <v>380</v>
      </c>
      <c r="L142" s="251">
        <v>44454</v>
      </c>
      <c r="M142" s="252">
        <v>222727</v>
      </c>
      <c r="N142" s="241">
        <v>24</v>
      </c>
      <c r="O142" s="253">
        <f t="shared" si="7"/>
        <v>5345448</v>
      </c>
      <c r="P142" s="253">
        <v>279090.90999999997</v>
      </c>
      <c r="Q142" s="253">
        <f t="shared" si="6"/>
        <v>6698181.8399999999</v>
      </c>
    </row>
    <row r="143" spans="2:17">
      <c r="B143" s="200">
        <v>140</v>
      </c>
      <c r="C143" s="241" t="s">
        <v>581</v>
      </c>
      <c r="D143" s="242">
        <v>79921</v>
      </c>
      <c r="E143" s="243" t="s">
        <v>17</v>
      </c>
      <c r="F143" s="244" t="s">
        <v>114</v>
      </c>
      <c r="G143" s="241"/>
      <c r="H143" s="241" t="s">
        <v>578</v>
      </c>
      <c r="I143" s="241"/>
      <c r="J143" s="244" t="s">
        <v>92</v>
      </c>
      <c r="K143" s="241" t="s">
        <v>383</v>
      </c>
      <c r="L143" s="251">
        <v>44454</v>
      </c>
      <c r="M143" s="252">
        <v>46364</v>
      </c>
      <c r="N143" s="241">
        <v>5</v>
      </c>
      <c r="O143" s="253">
        <f t="shared" si="7"/>
        <v>231820</v>
      </c>
      <c r="P143" s="253">
        <v>58181.82</v>
      </c>
      <c r="Q143" s="253">
        <f t="shared" si="6"/>
        <v>290909.09999999998</v>
      </c>
    </row>
    <row r="144" spans="2:17">
      <c r="B144" s="200">
        <v>141</v>
      </c>
      <c r="C144" s="241" t="s">
        <v>582</v>
      </c>
      <c r="D144" s="242">
        <v>79921</v>
      </c>
      <c r="E144" s="243" t="s">
        <v>17</v>
      </c>
      <c r="F144" s="244" t="s">
        <v>114</v>
      </c>
      <c r="G144" s="241"/>
      <c r="H144" s="241" t="s">
        <v>580</v>
      </c>
      <c r="I144" s="241"/>
      <c r="J144" s="244" t="s">
        <v>92</v>
      </c>
      <c r="K144" s="241" t="s">
        <v>386</v>
      </c>
      <c r="L144" s="251">
        <v>44454</v>
      </c>
      <c r="M144" s="252">
        <v>46364</v>
      </c>
      <c r="N144" s="241">
        <v>24</v>
      </c>
      <c r="O144" s="253">
        <f t="shared" si="7"/>
        <v>1112736</v>
      </c>
      <c r="P144" s="253">
        <v>58181.82</v>
      </c>
      <c r="Q144" s="253">
        <f t="shared" ref="Q144:Q202" si="8">P144*N144</f>
        <v>1396363.68</v>
      </c>
    </row>
    <row r="145" spans="2:17">
      <c r="B145" s="200">
        <v>142</v>
      </c>
      <c r="C145" s="241" t="s">
        <v>583</v>
      </c>
      <c r="D145" s="242">
        <v>4800426981</v>
      </c>
      <c r="E145" s="243" t="s">
        <v>12</v>
      </c>
      <c r="F145" s="244" t="s">
        <v>584</v>
      </c>
      <c r="G145" s="241"/>
      <c r="H145" s="241" t="s">
        <v>585</v>
      </c>
      <c r="I145" s="241"/>
      <c r="J145" s="244" t="s">
        <v>92</v>
      </c>
      <c r="K145" s="241" t="s">
        <v>586</v>
      </c>
      <c r="L145" s="251">
        <v>44455</v>
      </c>
      <c r="M145" s="252">
        <v>32272.73</v>
      </c>
      <c r="N145" s="241">
        <v>811</v>
      </c>
      <c r="O145" s="253">
        <f t="shared" si="7"/>
        <v>26173184.030000001</v>
      </c>
      <c r="P145" s="253">
        <v>35500</v>
      </c>
      <c r="Q145" s="253">
        <f t="shared" si="8"/>
        <v>28790500</v>
      </c>
    </row>
    <row r="146" spans="2:17">
      <c r="B146" s="200">
        <v>143</v>
      </c>
      <c r="C146" s="241" t="s">
        <v>587</v>
      </c>
      <c r="D146" s="242" t="s">
        <v>588</v>
      </c>
      <c r="E146" s="243" t="s">
        <v>9</v>
      </c>
      <c r="F146" s="244" t="s">
        <v>445</v>
      </c>
      <c r="G146" s="241"/>
      <c r="H146" s="241" t="s">
        <v>589</v>
      </c>
      <c r="I146" s="241"/>
      <c r="J146" s="244" t="s">
        <v>50</v>
      </c>
      <c r="K146" s="241" t="s">
        <v>590</v>
      </c>
      <c r="L146" s="251">
        <v>44459</v>
      </c>
      <c r="M146" s="252">
        <v>254545</v>
      </c>
      <c r="N146" s="241">
        <v>1</v>
      </c>
      <c r="O146" s="253">
        <f t="shared" si="7"/>
        <v>254545</v>
      </c>
      <c r="P146" s="253">
        <v>275000</v>
      </c>
      <c r="Q146" s="253">
        <f t="shared" si="8"/>
        <v>275000</v>
      </c>
    </row>
    <row r="147" spans="2:17">
      <c r="B147" s="200">
        <v>144</v>
      </c>
      <c r="C147" s="241" t="s">
        <v>591</v>
      </c>
      <c r="D147" s="242" t="s">
        <v>588</v>
      </c>
      <c r="E147" s="243" t="s">
        <v>9</v>
      </c>
      <c r="F147" s="244" t="s">
        <v>206</v>
      </c>
      <c r="G147" s="241"/>
      <c r="H147" s="241" t="s">
        <v>592</v>
      </c>
      <c r="I147" s="241"/>
      <c r="J147" s="244" t="s">
        <v>50</v>
      </c>
      <c r="K147" s="241" t="s">
        <v>593</v>
      </c>
      <c r="L147" s="251">
        <v>44459</v>
      </c>
      <c r="M147" s="252">
        <v>254545</v>
      </c>
      <c r="N147" s="241">
        <v>1</v>
      </c>
      <c r="O147" s="253">
        <f t="shared" si="7"/>
        <v>254545</v>
      </c>
      <c r="P147" s="253">
        <v>275000</v>
      </c>
      <c r="Q147" s="253">
        <f t="shared" si="8"/>
        <v>275000</v>
      </c>
    </row>
    <row r="148" spans="2:17">
      <c r="B148" s="200">
        <v>145</v>
      </c>
      <c r="C148" s="241" t="s">
        <v>594</v>
      </c>
      <c r="D148" s="242" t="s">
        <v>588</v>
      </c>
      <c r="E148" s="243" t="s">
        <v>9</v>
      </c>
      <c r="F148" s="244" t="s">
        <v>595</v>
      </c>
      <c r="G148" s="241"/>
      <c r="H148" s="241" t="s">
        <v>592</v>
      </c>
      <c r="I148" s="241"/>
      <c r="J148" s="244" t="s">
        <v>50</v>
      </c>
      <c r="K148" s="241" t="s">
        <v>596</v>
      </c>
      <c r="L148" s="251">
        <v>44459</v>
      </c>
      <c r="M148" s="252">
        <v>254545</v>
      </c>
      <c r="N148" s="241">
        <v>1</v>
      </c>
      <c r="O148" s="253">
        <f t="shared" si="7"/>
        <v>254545</v>
      </c>
      <c r="P148" s="253">
        <v>275000</v>
      </c>
      <c r="Q148" s="253">
        <f t="shared" si="8"/>
        <v>275000</v>
      </c>
    </row>
    <row r="149" spans="2:17">
      <c r="B149" s="200">
        <v>146</v>
      </c>
      <c r="C149" s="241" t="s">
        <v>597</v>
      </c>
      <c r="D149" s="242" t="s">
        <v>598</v>
      </c>
      <c r="E149" s="243" t="s">
        <v>9</v>
      </c>
      <c r="F149" s="244" t="s">
        <v>599</v>
      </c>
      <c r="G149" s="241"/>
      <c r="H149" s="241" t="s">
        <v>600</v>
      </c>
      <c r="I149" s="241"/>
      <c r="J149" s="244" t="s">
        <v>50</v>
      </c>
      <c r="K149" s="241" t="s">
        <v>601</v>
      </c>
      <c r="L149" s="251">
        <v>44461</v>
      </c>
      <c r="M149" s="252">
        <v>254545</v>
      </c>
      <c r="N149" s="241">
        <v>6</v>
      </c>
      <c r="O149" s="253">
        <f t="shared" si="7"/>
        <v>1527270</v>
      </c>
      <c r="P149" s="253">
        <v>275000</v>
      </c>
      <c r="Q149" s="253">
        <f t="shared" si="8"/>
        <v>1650000</v>
      </c>
    </row>
    <row r="150" spans="2:17">
      <c r="B150" s="200">
        <v>147</v>
      </c>
      <c r="C150" s="241" t="s">
        <v>602</v>
      </c>
      <c r="D150" s="242" t="s">
        <v>598</v>
      </c>
      <c r="E150" s="243" t="s">
        <v>9</v>
      </c>
      <c r="F150" s="244" t="s">
        <v>603</v>
      </c>
      <c r="G150" s="241"/>
      <c r="H150" s="241" t="s">
        <v>604</v>
      </c>
      <c r="I150" s="241"/>
      <c r="J150" s="244" t="s">
        <v>50</v>
      </c>
      <c r="K150" s="241" t="s">
        <v>605</v>
      </c>
      <c r="L150" s="251">
        <v>44461</v>
      </c>
      <c r="M150" s="252">
        <v>254545</v>
      </c>
      <c r="N150" s="241">
        <v>2</v>
      </c>
      <c r="O150" s="253">
        <f t="shared" si="7"/>
        <v>509090</v>
      </c>
      <c r="P150" s="253">
        <v>275000</v>
      </c>
      <c r="Q150" s="253">
        <f t="shared" si="8"/>
        <v>550000</v>
      </c>
    </row>
    <row r="151" spans="2:17">
      <c r="B151" s="200">
        <v>148</v>
      </c>
      <c r="C151" s="241" t="s">
        <v>606</v>
      </c>
      <c r="D151" s="242" t="s">
        <v>598</v>
      </c>
      <c r="E151" s="243" t="s">
        <v>9</v>
      </c>
      <c r="F151" s="244" t="s">
        <v>607</v>
      </c>
      <c r="G151" s="241"/>
      <c r="H151" s="241" t="s">
        <v>608</v>
      </c>
      <c r="I151" s="241"/>
      <c r="J151" s="244" t="s">
        <v>50</v>
      </c>
      <c r="K151" s="241" t="s">
        <v>609</v>
      </c>
      <c r="L151" s="251">
        <v>44461</v>
      </c>
      <c r="M151" s="252">
        <v>254545</v>
      </c>
      <c r="N151" s="241">
        <v>3</v>
      </c>
      <c r="O151" s="253">
        <f t="shared" si="7"/>
        <v>763635</v>
      </c>
      <c r="P151" s="253">
        <v>275000</v>
      </c>
      <c r="Q151" s="253">
        <f t="shared" si="8"/>
        <v>825000</v>
      </c>
    </row>
    <row r="152" spans="2:17">
      <c r="B152" s="200">
        <v>149</v>
      </c>
      <c r="C152" s="241" t="s">
        <v>610</v>
      </c>
      <c r="D152" s="242" t="s">
        <v>598</v>
      </c>
      <c r="E152" s="243" t="s">
        <v>9</v>
      </c>
      <c r="F152" s="244" t="s">
        <v>611</v>
      </c>
      <c r="G152" s="241"/>
      <c r="H152" s="241" t="s">
        <v>612</v>
      </c>
      <c r="I152" s="241"/>
      <c r="J152" s="244" t="s">
        <v>50</v>
      </c>
      <c r="K152" s="241" t="s">
        <v>613</v>
      </c>
      <c r="L152" s="251">
        <v>44461</v>
      </c>
      <c r="M152" s="252">
        <v>254545</v>
      </c>
      <c r="N152" s="241">
        <v>6</v>
      </c>
      <c r="O152" s="253">
        <f t="shared" si="7"/>
        <v>1527270</v>
      </c>
      <c r="P152" s="253">
        <v>275000</v>
      </c>
      <c r="Q152" s="253">
        <f t="shared" si="8"/>
        <v>1650000</v>
      </c>
    </row>
    <row r="153" spans="2:17">
      <c r="B153" s="200">
        <v>150</v>
      </c>
      <c r="C153" s="241" t="s">
        <v>614</v>
      </c>
      <c r="D153" s="242" t="s">
        <v>615</v>
      </c>
      <c r="E153" s="243" t="s">
        <v>9</v>
      </c>
      <c r="F153" s="244" t="s">
        <v>77</v>
      </c>
      <c r="G153" s="241"/>
      <c r="H153" s="241" t="s">
        <v>616</v>
      </c>
      <c r="I153" s="241"/>
      <c r="J153" s="244" t="s">
        <v>50</v>
      </c>
      <c r="K153" s="241" t="s">
        <v>617</v>
      </c>
      <c r="L153" s="251">
        <v>44463</v>
      </c>
      <c r="M153" s="252">
        <v>254545</v>
      </c>
      <c r="N153" s="241">
        <v>1</v>
      </c>
      <c r="O153" s="253">
        <f t="shared" si="7"/>
        <v>254545</v>
      </c>
      <c r="P153" s="253">
        <v>275000</v>
      </c>
      <c r="Q153" s="253">
        <f t="shared" si="8"/>
        <v>275000</v>
      </c>
    </row>
    <row r="154" spans="2:17">
      <c r="B154" s="200">
        <v>151</v>
      </c>
      <c r="C154" s="241" t="s">
        <v>618</v>
      </c>
      <c r="D154" s="242" t="s">
        <v>615</v>
      </c>
      <c r="E154" s="243" t="s">
        <v>9</v>
      </c>
      <c r="F154" s="244" t="s">
        <v>619</v>
      </c>
      <c r="G154" s="241"/>
      <c r="H154" s="241" t="s">
        <v>620</v>
      </c>
      <c r="I154" s="241"/>
      <c r="J154" s="244" t="s">
        <v>50</v>
      </c>
      <c r="K154" s="241" t="s">
        <v>621</v>
      </c>
      <c r="L154" s="251">
        <v>44463</v>
      </c>
      <c r="M154" s="252">
        <v>254545</v>
      </c>
      <c r="N154" s="241">
        <v>1</v>
      </c>
      <c r="O154" s="253">
        <f t="shared" si="7"/>
        <v>254545</v>
      </c>
      <c r="P154" s="253">
        <v>275000</v>
      </c>
      <c r="Q154" s="253">
        <f t="shared" si="8"/>
        <v>275000</v>
      </c>
    </row>
    <row r="155" spans="2:17">
      <c r="B155" s="200">
        <v>152</v>
      </c>
      <c r="C155" s="241" t="s">
        <v>622</v>
      </c>
      <c r="D155" s="242" t="s">
        <v>615</v>
      </c>
      <c r="E155" s="243" t="s">
        <v>9</v>
      </c>
      <c r="F155" s="244" t="s">
        <v>623</v>
      </c>
      <c r="G155" s="241"/>
      <c r="H155" s="241" t="s">
        <v>620</v>
      </c>
      <c r="I155" s="241"/>
      <c r="J155" s="244" t="s">
        <v>50</v>
      </c>
      <c r="K155" s="241" t="s">
        <v>624</v>
      </c>
      <c r="L155" s="251">
        <v>44463</v>
      </c>
      <c r="M155" s="252">
        <v>254545</v>
      </c>
      <c r="N155" s="241">
        <v>5</v>
      </c>
      <c r="O155" s="253">
        <f t="shared" si="7"/>
        <v>1272725</v>
      </c>
      <c r="P155" s="253">
        <v>275000</v>
      </c>
      <c r="Q155" s="253">
        <f t="shared" si="8"/>
        <v>1375000</v>
      </c>
    </row>
    <row r="156" spans="2:17">
      <c r="B156" s="200">
        <v>153</v>
      </c>
      <c r="C156" s="241" t="s">
        <v>625</v>
      </c>
      <c r="D156" s="242" t="s">
        <v>626</v>
      </c>
      <c r="E156" s="243" t="s">
        <v>7</v>
      </c>
      <c r="F156" s="244" t="s">
        <v>627</v>
      </c>
      <c r="G156" s="241"/>
      <c r="H156" s="241" t="s">
        <v>628</v>
      </c>
      <c r="I156" s="241"/>
      <c r="J156" s="244" t="s">
        <v>629</v>
      </c>
      <c r="K156" s="241" t="s">
        <v>630</v>
      </c>
      <c r="L156" s="251">
        <v>44463</v>
      </c>
      <c r="M156" s="252">
        <v>185455</v>
      </c>
      <c r="N156" s="241">
        <v>2</v>
      </c>
      <c r="O156" s="253">
        <f t="shared" si="7"/>
        <v>370910</v>
      </c>
      <c r="P156" s="253">
        <v>231818.81</v>
      </c>
      <c r="Q156" s="253">
        <f t="shared" si="8"/>
        <v>463637.62</v>
      </c>
    </row>
    <row r="157" spans="2:17">
      <c r="B157" s="200">
        <v>154</v>
      </c>
      <c r="C157" s="241" t="s">
        <v>631</v>
      </c>
      <c r="D157" s="242" t="s">
        <v>626</v>
      </c>
      <c r="E157" s="243" t="s">
        <v>7</v>
      </c>
      <c r="F157" s="244" t="s">
        <v>627</v>
      </c>
      <c r="G157" s="241"/>
      <c r="H157" s="241" t="s">
        <v>632</v>
      </c>
      <c r="I157" s="241"/>
      <c r="J157" s="244" t="s">
        <v>63</v>
      </c>
      <c r="K157" s="241" t="s">
        <v>630</v>
      </c>
      <c r="L157" s="251">
        <v>44463</v>
      </c>
      <c r="M157" s="252">
        <v>92727</v>
      </c>
      <c r="N157" s="241">
        <v>2</v>
      </c>
      <c r="O157" s="253">
        <f t="shared" si="7"/>
        <v>185454</v>
      </c>
      <c r="P157" s="253">
        <v>116363.63</v>
      </c>
      <c r="Q157" s="253">
        <f t="shared" si="8"/>
        <v>232727.26</v>
      </c>
    </row>
    <row r="158" spans="2:17" s="1" customFormat="1" ht="12.75">
      <c r="B158" s="200">
        <v>155</v>
      </c>
      <c r="C158" s="237" t="s">
        <v>633</v>
      </c>
      <c r="D158" s="238">
        <v>4800428229</v>
      </c>
      <c r="E158" s="239" t="s">
        <v>12</v>
      </c>
      <c r="F158" s="240" t="s">
        <v>466</v>
      </c>
      <c r="G158" s="237"/>
      <c r="H158" s="237" t="s">
        <v>634</v>
      </c>
      <c r="I158" s="237"/>
      <c r="J158" s="240" t="s">
        <v>85</v>
      </c>
      <c r="K158" s="237" t="s">
        <v>635</v>
      </c>
      <c r="L158" s="248">
        <v>44469</v>
      </c>
      <c r="M158" s="249">
        <v>222727</v>
      </c>
      <c r="N158" s="237">
        <v>8</v>
      </c>
      <c r="O158" s="250">
        <f t="shared" si="7"/>
        <v>1781816</v>
      </c>
      <c r="P158" s="250">
        <v>265136</v>
      </c>
      <c r="Q158" s="250">
        <f t="shared" si="8"/>
        <v>2121088</v>
      </c>
    </row>
    <row r="159" spans="2:17" s="1" customFormat="1" ht="12.75">
      <c r="B159" s="200">
        <v>156</v>
      </c>
      <c r="C159" s="237" t="s">
        <v>636</v>
      </c>
      <c r="D159" s="238" t="s">
        <v>637</v>
      </c>
      <c r="E159" s="239" t="s">
        <v>9</v>
      </c>
      <c r="F159" s="240" t="s">
        <v>638</v>
      </c>
      <c r="G159" s="237"/>
      <c r="H159" s="237" t="s">
        <v>526</v>
      </c>
      <c r="I159" s="237"/>
      <c r="J159" s="240" t="s">
        <v>50</v>
      </c>
      <c r="K159" s="237" t="s">
        <v>639</v>
      </c>
      <c r="L159" s="248">
        <v>44475</v>
      </c>
      <c r="M159" s="249">
        <v>254545</v>
      </c>
      <c r="N159" s="237">
        <v>1</v>
      </c>
      <c r="O159" s="250">
        <f t="shared" si="7"/>
        <v>254545</v>
      </c>
      <c r="P159" s="250">
        <v>275000</v>
      </c>
      <c r="Q159" s="250">
        <f t="shared" si="8"/>
        <v>275000</v>
      </c>
    </row>
    <row r="160" spans="2:17">
      <c r="B160" s="200">
        <v>157</v>
      </c>
      <c r="C160" s="237" t="s">
        <v>640</v>
      </c>
      <c r="D160" s="238" t="s">
        <v>641</v>
      </c>
      <c r="E160" s="239" t="s">
        <v>9</v>
      </c>
      <c r="F160" s="240" t="s">
        <v>206</v>
      </c>
      <c r="G160" s="237"/>
      <c r="H160" s="237" t="s">
        <v>642</v>
      </c>
      <c r="I160" s="237"/>
      <c r="J160" s="240" t="s">
        <v>50</v>
      </c>
      <c r="K160" s="237" t="s">
        <v>643</v>
      </c>
      <c r="L160" s="248">
        <v>44475</v>
      </c>
      <c r="M160" s="249">
        <v>254545</v>
      </c>
      <c r="N160" s="237">
        <v>1</v>
      </c>
      <c r="O160" s="250">
        <f t="shared" si="7"/>
        <v>254545</v>
      </c>
      <c r="P160" s="250">
        <v>275000</v>
      </c>
      <c r="Q160" s="250">
        <f t="shared" si="8"/>
        <v>275000</v>
      </c>
    </row>
    <row r="161" spans="2:17">
      <c r="B161" s="200">
        <v>158</v>
      </c>
      <c r="C161" s="237" t="s">
        <v>644</v>
      </c>
      <c r="D161" s="238" t="s">
        <v>641</v>
      </c>
      <c r="E161" s="239" t="s">
        <v>9</v>
      </c>
      <c r="F161" s="240" t="s">
        <v>645</v>
      </c>
      <c r="G161" s="237"/>
      <c r="H161" s="237" t="s">
        <v>642</v>
      </c>
      <c r="I161" s="237"/>
      <c r="J161" s="240" t="s">
        <v>50</v>
      </c>
      <c r="K161" s="237" t="s">
        <v>646</v>
      </c>
      <c r="L161" s="248">
        <v>44475</v>
      </c>
      <c r="M161" s="249">
        <v>254545</v>
      </c>
      <c r="N161" s="237">
        <v>1</v>
      </c>
      <c r="O161" s="250">
        <f t="shared" si="7"/>
        <v>254545</v>
      </c>
      <c r="P161" s="250">
        <v>275000</v>
      </c>
      <c r="Q161" s="250">
        <f t="shared" si="8"/>
        <v>275000</v>
      </c>
    </row>
    <row r="162" spans="2:17">
      <c r="B162" s="200">
        <v>159</v>
      </c>
      <c r="C162" s="237" t="s">
        <v>647</v>
      </c>
      <c r="D162" s="238" t="s">
        <v>641</v>
      </c>
      <c r="E162" s="239" t="s">
        <v>9</v>
      </c>
      <c r="F162" s="240" t="s">
        <v>648</v>
      </c>
      <c r="G162" s="237"/>
      <c r="H162" s="237" t="s">
        <v>642</v>
      </c>
      <c r="I162" s="237"/>
      <c r="J162" s="240" t="s">
        <v>50</v>
      </c>
      <c r="K162" s="237" t="s">
        <v>649</v>
      </c>
      <c r="L162" s="248">
        <v>44475</v>
      </c>
      <c r="M162" s="249">
        <v>254545</v>
      </c>
      <c r="N162" s="237">
        <v>1</v>
      </c>
      <c r="O162" s="250">
        <f t="shared" si="7"/>
        <v>254545</v>
      </c>
      <c r="P162" s="250">
        <v>275000</v>
      </c>
      <c r="Q162" s="250">
        <f t="shared" si="8"/>
        <v>275000</v>
      </c>
    </row>
    <row r="163" spans="2:17">
      <c r="B163" s="200">
        <v>160</v>
      </c>
      <c r="C163" s="237" t="s">
        <v>650</v>
      </c>
      <c r="D163" s="238" t="s">
        <v>651</v>
      </c>
      <c r="E163" s="239" t="s">
        <v>9</v>
      </c>
      <c r="F163" s="240" t="s">
        <v>652</v>
      </c>
      <c r="G163" s="237"/>
      <c r="H163" s="237" t="s">
        <v>642</v>
      </c>
      <c r="I163" s="237"/>
      <c r="J163" s="240" t="s">
        <v>50</v>
      </c>
      <c r="K163" s="237" t="s">
        <v>653</v>
      </c>
      <c r="L163" s="248">
        <v>44476</v>
      </c>
      <c r="M163" s="249">
        <v>254545</v>
      </c>
      <c r="N163" s="237">
        <v>1</v>
      </c>
      <c r="O163" s="250">
        <f t="shared" si="7"/>
        <v>254545</v>
      </c>
      <c r="P163" s="250">
        <v>275000</v>
      </c>
      <c r="Q163" s="250">
        <f t="shared" si="8"/>
        <v>275000</v>
      </c>
    </row>
    <row r="164" spans="2:17">
      <c r="B164" s="200">
        <v>161</v>
      </c>
      <c r="C164" s="237" t="s">
        <v>654</v>
      </c>
      <c r="D164" s="238" t="s">
        <v>655</v>
      </c>
      <c r="E164" s="239" t="s">
        <v>9</v>
      </c>
      <c r="F164" s="240" t="s">
        <v>206</v>
      </c>
      <c r="G164" s="237"/>
      <c r="H164" s="237" t="s">
        <v>656</v>
      </c>
      <c r="I164" s="237"/>
      <c r="J164" s="240" t="s">
        <v>50</v>
      </c>
      <c r="K164" s="237" t="s">
        <v>657</v>
      </c>
      <c r="L164" s="248">
        <v>44480</v>
      </c>
      <c r="M164" s="249">
        <v>254545</v>
      </c>
      <c r="N164" s="237">
        <v>1</v>
      </c>
      <c r="O164" s="250">
        <f t="shared" si="7"/>
        <v>254545</v>
      </c>
      <c r="P164" s="250">
        <v>275000</v>
      </c>
      <c r="Q164" s="250">
        <f t="shared" si="8"/>
        <v>275000</v>
      </c>
    </row>
    <row r="165" spans="2:17">
      <c r="B165" s="200">
        <v>162</v>
      </c>
      <c r="C165" s="237" t="s">
        <v>658</v>
      </c>
      <c r="D165" s="238" t="s">
        <v>659</v>
      </c>
      <c r="E165" s="239" t="s">
        <v>9</v>
      </c>
      <c r="F165" s="240" t="s">
        <v>660</v>
      </c>
      <c r="G165" s="237"/>
      <c r="H165" s="237" t="s">
        <v>661</v>
      </c>
      <c r="I165" s="237"/>
      <c r="J165" s="240" t="s">
        <v>50</v>
      </c>
      <c r="K165" s="237" t="s">
        <v>662</v>
      </c>
      <c r="L165" s="248">
        <v>44481</v>
      </c>
      <c r="M165" s="249">
        <v>254545</v>
      </c>
      <c r="N165" s="237">
        <v>1</v>
      </c>
      <c r="O165" s="250">
        <f t="shared" si="7"/>
        <v>254545</v>
      </c>
      <c r="P165" s="250">
        <v>275000</v>
      </c>
      <c r="Q165" s="250">
        <f t="shared" si="8"/>
        <v>275000</v>
      </c>
    </row>
    <row r="166" spans="2:17">
      <c r="B166" s="200">
        <v>163</v>
      </c>
      <c r="C166" s="237" t="s">
        <v>663</v>
      </c>
      <c r="D166" s="238" t="s">
        <v>664</v>
      </c>
      <c r="E166" s="239" t="s">
        <v>9</v>
      </c>
      <c r="F166" s="240" t="s">
        <v>665</v>
      </c>
      <c r="G166" s="237"/>
      <c r="H166" s="237" t="s">
        <v>666</v>
      </c>
      <c r="I166" s="237"/>
      <c r="J166" s="240" t="s">
        <v>50</v>
      </c>
      <c r="K166" s="237" t="s">
        <v>667</v>
      </c>
      <c r="L166" s="248">
        <v>44488</v>
      </c>
      <c r="M166" s="249">
        <v>254545</v>
      </c>
      <c r="N166" s="237">
        <v>1</v>
      </c>
      <c r="O166" s="250">
        <f t="shared" si="7"/>
        <v>254545</v>
      </c>
      <c r="P166" s="250">
        <v>275000</v>
      </c>
      <c r="Q166" s="250">
        <f t="shared" si="8"/>
        <v>275000</v>
      </c>
    </row>
    <row r="167" spans="2:17">
      <c r="B167" s="200">
        <v>164</v>
      </c>
      <c r="C167" s="237" t="s">
        <v>668</v>
      </c>
      <c r="D167" s="238" t="s">
        <v>664</v>
      </c>
      <c r="E167" s="239" t="s">
        <v>9</v>
      </c>
      <c r="F167" s="240" t="s">
        <v>669</v>
      </c>
      <c r="G167" s="237"/>
      <c r="H167" s="237" t="s">
        <v>666</v>
      </c>
      <c r="I167" s="237"/>
      <c r="J167" s="240" t="s">
        <v>50</v>
      </c>
      <c r="K167" s="237" t="s">
        <v>670</v>
      </c>
      <c r="L167" s="248">
        <v>44488</v>
      </c>
      <c r="M167" s="249">
        <v>254545</v>
      </c>
      <c r="N167" s="237">
        <v>1</v>
      </c>
      <c r="O167" s="250">
        <f t="shared" si="7"/>
        <v>254545</v>
      </c>
      <c r="P167" s="250">
        <v>275000</v>
      </c>
      <c r="Q167" s="250">
        <f t="shared" si="8"/>
        <v>275000</v>
      </c>
    </row>
    <row r="168" spans="2:17">
      <c r="B168" s="200">
        <v>165</v>
      </c>
      <c r="C168" s="237" t="s">
        <v>671</v>
      </c>
      <c r="D168" s="238" t="s">
        <v>672</v>
      </c>
      <c r="E168" s="239" t="s">
        <v>9</v>
      </c>
      <c r="F168" s="240" t="s">
        <v>673</v>
      </c>
      <c r="G168" s="237"/>
      <c r="H168" s="237" t="s">
        <v>674</v>
      </c>
      <c r="I168" s="237"/>
      <c r="J168" s="240" t="s">
        <v>50</v>
      </c>
      <c r="K168" s="237" t="s">
        <v>675</v>
      </c>
      <c r="L168" s="248">
        <v>44490</v>
      </c>
      <c r="M168" s="249">
        <v>254545</v>
      </c>
      <c r="N168" s="237">
        <v>1</v>
      </c>
      <c r="O168" s="250">
        <f t="shared" si="7"/>
        <v>254545</v>
      </c>
      <c r="P168" s="250">
        <v>275000</v>
      </c>
      <c r="Q168" s="250">
        <f t="shared" si="8"/>
        <v>275000</v>
      </c>
    </row>
    <row r="169" spans="2:17">
      <c r="B169" s="200">
        <v>166</v>
      </c>
      <c r="C169" s="237" t="s">
        <v>676</v>
      </c>
      <c r="D169" s="238" t="s">
        <v>672</v>
      </c>
      <c r="E169" s="239" t="s">
        <v>9</v>
      </c>
      <c r="F169" s="240" t="s">
        <v>206</v>
      </c>
      <c r="G169" s="237"/>
      <c r="H169" s="237" t="s">
        <v>674</v>
      </c>
      <c r="I169" s="237"/>
      <c r="J169" s="240" t="s">
        <v>50</v>
      </c>
      <c r="K169" s="237" t="s">
        <v>677</v>
      </c>
      <c r="L169" s="248">
        <v>44490</v>
      </c>
      <c r="M169" s="249">
        <v>254545</v>
      </c>
      <c r="N169" s="237">
        <v>2</v>
      </c>
      <c r="O169" s="250">
        <f t="shared" si="7"/>
        <v>509090</v>
      </c>
      <c r="P169" s="250">
        <v>275000</v>
      </c>
      <c r="Q169" s="250">
        <f t="shared" si="8"/>
        <v>550000</v>
      </c>
    </row>
    <row r="170" spans="2:17">
      <c r="B170" s="200">
        <v>167</v>
      </c>
      <c r="C170" s="237" t="s">
        <v>678</v>
      </c>
      <c r="D170" s="238" t="s">
        <v>672</v>
      </c>
      <c r="E170" s="239" t="s">
        <v>9</v>
      </c>
      <c r="F170" s="240" t="s">
        <v>679</v>
      </c>
      <c r="G170" s="237"/>
      <c r="H170" s="237" t="s">
        <v>680</v>
      </c>
      <c r="I170" s="237"/>
      <c r="J170" s="240" t="s">
        <v>50</v>
      </c>
      <c r="K170" s="237" t="s">
        <v>681</v>
      </c>
      <c r="L170" s="248">
        <v>44490</v>
      </c>
      <c r="M170" s="249">
        <v>254545</v>
      </c>
      <c r="N170" s="237">
        <v>1</v>
      </c>
      <c r="O170" s="250">
        <f t="shared" si="7"/>
        <v>254545</v>
      </c>
      <c r="P170" s="250">
        <v>275000</v>
      </c>
      <c r="Q170" s="250">
        <f t="shared" si="8"/>
        <v>275000</v>
      </c>
    </row>
    <row r="171" spans="2:17">
      <c r="B171" s="200">
        <v>168</v>
      </c>
      <c r="C171" s="237" t="s">
        <v>682</v>
      </c>
      <c r="D171" s="238" t="s">
        <v>683</v>
      </c>
      <c r="E171" s="239" t="s">
        <v>9</v>
      </c>
      <c r="F171" s="240" t="s">
        <v>684</v>
      </c>
      <c r="G171" s="237"/>
      <c r="H171" s="237" t="s">
        <v>685</v>
      </c>
      <c r="I171" s="237"/>
      <c r="J171" s="240" t="s">
        <v>50</v>
      </c>
      <c r="K171" s="237" t="s">
        <v>686</v>
      </c>
      <c r="L171" s="248">
        <v>44497</v>
      </c>
      <c r="M171" s="249">
        <v>254545</v>
      </c>
      <c r="N171" s="237">
        <v>1</v>
      </c>
      <c r="O171" s="250">
        <f t="shared" si="7"/>
        <v>254545</v>
      </c>
      <c r="P171" s="250">
        <v>275000</v>
      </c>
      <c r="Q171" s="250">
        <f t="shared" si="8"/>
        <v>275000</v>
      </c>
    </row>
    <row r="172" spans="2:17">
      <c r="B172" s="200">
        <v>169</v>
      </c>
      <c r="C172" s="237" t="s">
        <v>687</v>
      </c>
      <c r="D172" s="238" t="s">
        <v>683</v>
      </c>
      <c r="E172" s="239" t="s">
        <v>9</v>
      </c>
      <c r="F172" s="240" t="s">
        <v>238</v>
      </c>
      <c r="G172" s="237"/>
      <c r="H172" s="237" t="s">
        <v>688</v>
      </c>
      <c r="I172" s="237"/>
      <c r="J172" s="240" t="s">
        <v>50</v>
      </c>
      <c r="K172" s="237" t="s">
        <v>689</v>
      </c>
      <c r="L172" s="248">
        <v>44497</v>
      </c>
      <c r="M172" s="249">
        <v>254545</v>
      </c>
      <c r="N172" s="237">
        <v>1</v>
      </c>
      <c r="O172" s="250">
        <f t="shared" si="7"/>
        <v>254545</v>
      </c>
      <c r="P172" s="250">
        <v>275000</v>
      </c>
      <c r="Q172" s="250">
        <f t="shared" si="8"/>
        <v>275000</v>
      </c>
    </row>
    <row r="173" spans="2:17">
      <c r="B173" s="200">
        <v>170</v>
      </c>
      <c r="C173" s="241" t="s">
        <v>690</v>
      </c>
      <c r="D173" s="242" t="s">
        <v>691</v>
      </c>
      <c r="E173" s="243" t="s">
        <v>9</v>
      </c>
      <c r="F173" s="244" t="s">
        <v>692</v>
      </c>
      <c r="G173" s="241"/>
      <c r="H173" s="241" t="s">
        <v>693</v>
      </c>
      <c r="I173" s="241"/>
      <c r="J173" s="244" t="s">
        <v>50</v>
      </c>
      <c r="K173" s="241" t="s">
        <v>694</v>
      </c>
      <c r="L173" s="251">
        <v>44508</v>
      </c>
      <c r="M173" s="252">
        <v>254545</v>
      </c>
      <c r="N173" s="241">
        <v>3</v>
      </c>
      <c r="O173" s="253">
        <f t="shared" si="7"/>
        <v>763635</v>
      </c>
      <c r="P173" s="253">
        <v>275000</v>
      </c>
      <c r="Q173" s="253">
        <f t="shared" si="8"/>
        <v>825000</v>
      </c>
    </row>
    <row r="174" spans="2:17">
      <c r="B174" s="200">
        <v>171</v>
      </c>
      <c r="C174" s="241" t="s">
        <v>695</v>
      </c>
      <c r="D174" s="242" t="s">
        <v>696</v>
      </c>
      <c r="E174" s="243" t="s">
        <v>9</v>
      </c>
      <c r="F174" s="244" t="s">
        <v>697</v>
      </c>
      <c r="G174" s="241"/>
      <c r="H174" s="241" t="s">
        <v>693</v>
      </c>
      <c r="I174" s="241"/>
      <c r="J174" s="244" t="s">
        <v>50</v>
      </c>
      <c r="K174" s="241" t="s">
        <v>698</v>
      </c>
      <c r="L174" s="251">
        <v>44508</v>
      </c>
      <c r="M174" s="252">
        <v>254545</v>
      </c>
      <c r="N174" s="241">
        <v>2</v>
      </c>
      <c r="O174" s="253">
        <f t="shared" si="7"/>
        <v>509090</v>
      </c>
      <c r="P174" s="253">
        <v>275000</v>
      </c>
      <c r="Q174" s="253">
        <f t="shared" si="8"/>
        <v>550000</v>
      </c>
    </row>
    <row r="175" spans="2:17">
      <c r="B175" s="200">
        <v>172</v>
      </c>
      <c r="C175" s="241" t="s">
        <v>699</v>
      </c>
      <c r="D175" s="242" t="s">
        <v>700</v>
      </c>
      <c r="E175" s="243" t="s">
        <v>9</v>
      </c>
      <c r="F175" s="244" t="s">
        <v>701</v>
      </c>
      <c r="G175" s="241"/>
      <c r="H175" s="241" t="s">
        <v>688</v>
      </c>
      <c r="I175" s="241"/>
      <c r="J175" s="244" t="s">
        <v>50</v>
      </c>
      <c r="K175" s="241" t="s">
        <v>702</v>
      </c>
      <c r="L175" s="251">
        <v>44509</v>
      </c>
      <c r="M175" s="252">
        <v>254545</v>
      </c>
      <c r="N175" s="241">
        <v>1</v>
      </c>
      <c r="O175" s="253">
        <f t="shared" si="7"/>
        <v>254545</v>
      </c>
      <c r="P175" s="253">
        <v>275000</v>
      </c>
      <c r="Q175" s="253">
        <f t="shared" si="8"/>
        <v>275000</v>
      </c>
    </row>
    <row r="176" spans="2:17">
      <c r="B176" s="200">
        <v>173</v>
      </c>
      <c r="C176" s="241" t="s">
        <v>703</v>
      </c>
      <c r="D176" s="242" t="s">
        <v>704</v>
      </c>
      <c r="E176" s="243" t="s">
        <v>9</v>
      </c>
      <c r="F176" s="244" t="s">
        <v>705</v>
      </c>
      <c r="G176" s="241"/>
      <c r="H176" s="241" t="s">
        <v>706</v>
      </c>
      <c r="I176" s="241"/>
      <c r="J176" s="244" t="s">
        <v>50</v>
      </c>
      <c r="K176" s="241" t="s">
        <v>707</v>
      </c>
      <c r="L176" s="251">
        <v>44510</v>
      </c>
      <c r="M176" s="252">
        <v>254545</v>
      </c>
      <c r="N176" s="241">
        <v>3</v>
      </c>
      <c r="O176" s="253">
        <f t="shared" si="7"/>
        <v>763635</v>
      </c>
      <c r="P176" s="253">
        <v>275000</v>
      </c>
      <c r="Q176" s="253">
        <f t="shared" si="8"/>
        <v>825000</v>
      </c>
    </row>
    <row r="177" spans="2:17">
      <c r="B177" s="200">
        <v>174</v>
      </c>
      <c r="C177" s="241" t="s">
        <v>708</v>
      </c>
      <c r="D177" s="242" t="s">
        <v>709</v>
      </c>
      <c r="E177" s="243" t="s">
        <v>9</v>
      </c>
      <c r="F177" s="244" t="s">
        <v>72</v>
      </c>
      <c r="G177" s="241"/>
      <c r="H177" s="241" t="s">
        <v>710</v>
      </c>
      <c r="I177" s="241"/>
      <c r="J177" s="244" t="s">
        <v>50</v>
      </c>
      <c r="K177" s="241" t="s">
        <v>711</v>
      </c>
      <c r="L177" s="251">
        <v>44515</v>
      </c>
      <c r="M177" s="252">
        <v>254545</v>
      </c>
      <c r="N177" s="241">
        <v>1</v>
      </c>
      <c r="O177" s="253">
        <f t="shared" si="7"/>
        <v>254545</v>
      </c>
      <c r="P177" s="253">
        <v>275000</v>
      </c>
      <c r="Q177" s="253">
        <f t="shared" si="8"/>
        <v>275000</v>
      </c>
    </row>
    <row r="178" spans="2:17">
      <c r="B178" s="200">
        <v>175</v>
      </c>
      <c r="C178" s="241" t="s">
        <v>712</v>
      </c>
      <c r="D178" s="242" t="s">
        <v>713</v>
      </c>
      <c r="E178" s="243" t="s">
        <v>7</v>
      </c>
      <c r="F178" s="244" t="s">
        <v>83</v>
      </c>
      <c r="G178" s="241"/>
      <c r="H178" s="241" t="s">
        <v>714</v>
      </c>
      <c r="I178" s="241"/>
      <c r="J178" s="244" t="s">
        <v>85</v>
      </c>
      <c r="K178" s="241" t="s">
        <v>715</v>
      </c>
      <c r="L178" s="251">
        <v>44516</v>
      </c>
      <c r="M178" s="252">
        <v>222727</v>
      </c>
      <c r="N178" s="241">
        <v>154</v>
      </c>
      <c r="O178" s="253">
        <f t="shared" si="7"/>
        <v>34299958</v>
      </c>
      <c r="P178" s="253">
        <v>279090.90999999997</v>
      </c>
      <c r="Q178" s="253">
        <f t="shared" si="8"/>
        <v>42980000.139999993</v>
      </c>
    </row>
    <row r="179" spans="2:17">
      <c r="B179" s="200">
        <v>176</v>
      </c>
      <c r="C179" s="241" t="s">
        <v>716</v>
      </c>
      <c r="D179" s="242" t="s">
        <v>717</v>
      </c>
      <c r="E179" s="243" t="s">
        <v>9</v>
      </c>
      <c r="F179" s="244" t="s">
        <v>718</v>
      </c>
      <c r="G179" s="241"/>
      <c r="H179" s="241" t="s">
        <v>719</v>
      </c>
      <c r="I179" s="241"/>
      <c r="J179" s="244" t="s">
        <v>50</v>
      </c>
      <c r="K179" s="241" t="s">
        <v>720</v>
      </c>
      <c r="L179" s="251">
        <v>44515</v>
      </c>
      <c r="M179" s="252">
        <v>254545</v>
      </c>
      <c r="N179" s="241">
        <v>7</v>
      </c>
      <c r="O179" s="253">
        <f t="shared" si="7"/>
        <v>1781815</v>
      </c>
      <c r="P179" s="253">
        <v>275000</v>
      </c>
      <c r="Q179" s="253">
        <f t="shared" si="8"/>
        <v>1925000</v>
      </c>
    </row>
    <row r="180" spans="2:17">
      <c r="B180" s="200">
        <v>177</v>
      </c>
      <c r="C180" s="241" t="s">
        <v>721</v>
      </c>
      <c r="D180" s="242" t="s">
        <v>722</v>
      </c>
      <c r="E180" s="243" t="s">
        <v>9</v>
      </c>
      <c r="F180" s="244" t="s">
        <v>723</v>
      </c>
      <c r="G180" s="241"/>
      <c r="H180" s="241" t="s">
        <v>724</v>
      </c>
      <c r="I180" s="241"/>
      <c r="J180" s="244" t="s">
        <v>50</v>
      </c>
      <c r="K180" s="241" t="s">
        <v>725</v>
      </c>
      <c r="L180" s="251">
        <v>44517</v>
      </c>
      <c r="M180" s="252">
        <v>254545</v>
      </c>
      <c r="N180" s="241">
        <v>1</v>
      </c>
      <c r="O180" s="253">
        <f t="shared" si="7"/>
        <v>254545</v>
      </c>
      <c r="P180" s="253">
        <v>275000</v>
      </c>
      <c r="Q180" s="253">
        <f t="shared" si="8"/>
        <v>275000</v>
      </c>
    </row>
    <row r="181" spans="2:17">
      <c r="B181" s="200">
        <v>178</v>
      </c>
      <c r="C181" s="241" t="s">
        <v>726</v>
      </c>
      <c r="D181" s="242" t="s">
        <v>727</v>
      </c>
      <c r="E181" s="243" t="s">
        <v>9</v>
      </c>
      <c r="F181" s="244" t="s">
        <v>728</v>
      </c>
      <c r="G181" s="241"/>
      <c r="H181" s="241" t="s">
        <v>729</v>
      </c>
      <c r="I181" s="241"/>
      <c r="J181" s="244" t="s">
        <v>50</v>
      </c>
      <c r="K181" s="241" t="s">
        <v>730</v>
      </c>
      <c r="L181" s="251">
        <v>44522</v>
      </c>
      <c r="M181" s="252">
        <v>254545</v>
      </c>
      <c r="N181" s="241">
        <v>1</v>
      </c>
      <c r="O181" s="253">
        <f t="shared" si="7"/>
        <v>254545</v>
      </c>
      <c r="P181" s="253">
        <v>275000</v>
      </c>
      <c r="Q181" s="253">
        <f t="shared" si="8"/>
        <v>275000</v>
      </c>
    </row>
    <row r="182" spans="2:17">
      <c r="B182" s="200">
        <v>179</v>
      </c>
      <c r="C182" s="241" t="s">
        <v>731</v>
      </c>
      <c r="D182" s="242" t="s">
        <v>732</v>
      </c>
      <c r="E182" s="243" t="s">
        <v>10</v>
      </c>
      <c r="F182" s="244" t="s">
        <v>733</v>
      </c>
      <c r="G182" s="241"/>
      <c r="H182" s="241" t="s">
        <v>734</v>
      </c>
      <c r="I182" s="241"/>
      <c r="J182" s="244" t="s">
        <v>85</v>
      </c>
      <c r="K182" s="241" t="s">
        <v>735</v>
      </c>
      <c r="L182" s="251">
        <v>44522</v>
      </c>
      <c r="M182" s="252">
        <v>254545</v>
      </c>
      <c r="N182" s="241">
        <v>1</v>
      </c>
      <c r="O182" s="253">
        <f t="shared" si="7"/>
        <v>254545</v>
      </c>
      <c r="P182" s="253">
        <v>275000</v>
      </c>
      <c r="Q182" s="253">
        <f t="shared" si="8"/>
        <v>275000</v>
      </c>
    </row>
    <row r="183" spans="2:17">
      <c r="B183" s="200">
        <v>180</v>
      </c>
      <c r="C183" s="237" t="s">
        <v>736</v>
      </c>
      <c r="D183" s="238" t="s">
        <v>737</v>
      </c>
      <c r="E183" s="239" t="s">
        <v>9</v>
      </c>
      <c r="F183" s="240" t="s">
        <v>738</v>
      </c>
      <c r="G183" s="237"/>
      <c r="H183" s="254" t="s">
        <v>739</v>
      </c>
      <c r="I183" s="237"/>
      <c r="J183" s="240" t="s">
        <v>50</v>
      </c>
      <c r="K183" s="237" t="s">
        <v>740</v>
      </c>
      <c r="L183" s="248">
        <v>44543</v>
      </c>
      <c r="M183" s="249">
        <v>254545</v>
      </c>
      <c r="N183" s="237">
        <v>1</v>
      </c>
      <c r="O183" s="250">
        <f t="shared" si="7"/>
        <v>254545</v>
      </c>
      <c r="P183" s="250">
        <v>275000</v>
      </c>
      <c r="Q183" s="250">
        <f t="shared" si="8"/>
        <v>275000</v>
      </c>
    </row>
    <row r="184" spans="2:17">
      <c r="B184" s="200">
        <v>181</v>
      </c>
      <c r="C184" s="237" t="s">
        <v>741</v>
      </c>
      <c r="D184" s="238">
        <v>4800437545</v>
      </c>
      <c r="E184" s="239" t="s">
        <v>12</v>
      </c>
      <c r="F184" s="240" t="s">
        <v>742</v>
      </c>
      <c r="G184" s="237"/>
      <c r="H184" s="254" t="s">
        <v>743</v>
      </c>
      <c r="I184" s="237"/>
      <c r="J184" s="240" t="s">
        <v>92</v>
      </c>
      <c r="K184" s="237" t="s">
        <v>744</v>
      </c>
      <c r="L184" s="248">
        <v>44545</v>
      </c>
      <c r="M184" s="249">
        <v>32272.73</v>
      </c>
      <c r="N184" s="237">
        <v>292</v>
      </c>
      <c r="O184" s="250">
        <f t="shared" si="7"/>
        <v>9423637.1600000001</v>
      </c>
      <c r="P184" s="250">
        <v>35500</v>
      </c>
      <c r="Q184" s="250">
        <f t="shared" si="8"/>
        <v>10366000</v>
      </c>
    </row>
    <row r="185" spans="2:17">
      <c r="B185" s="200">
        <v>182</v>
      </c>
      <c r="C185" s="237" t="s">
        <v>745</v>
      </c>
      <c r="D185" s="238" t="s">
        <v>746</v>
      </c>
      <c r="E185" s="239" t="s">
        <v>9</v>
      </c>
      <c r="F185" s="240" t="s">
        <v>747</v>
      </c>
      <c r="G185" s="237"/>
      <c r="H185" s="237" t="s">
        <v>748</v>
      </c>
      <c r="I185" s="237"/>
      <c r="J185" s="240" t="s">
        <v>50</v>
      </c>
      <c r="K185" s="237" t="s">
        <v>749</v>
      </c>
      <c r="L185" s="248">
        <v>44551</v>
      </c>
      <c r="M185" s="249">
        <v>254545</v>
      </c>
      <c r="N185" s="237">
        <v>1</v>
      </c>
      <c r="O185" s="250">
        <f t="shared" si="7"/>
        <v>254545</v>
      </c>
      <c r="P185" s="250">
        <v>275000</v>
      </c>
      <c r="Q185" s="250">
        <f t="shared" si="8"/>
        <v>275000</v>
      </c>
    </row>
    <row r="186" spans="2:17">
      <c r="B186" s="200">
        <v>183</v>
      </c>
      <c r="C186" s="237" t="s">
        <v>750</v>
      </c>
      <c r="D186" s="238" t="s">
        <v>746</v>
      </c>
      <c r="E186" s="239" t="s">
        <v>9</v>
      </c>
      <c r="F186" s="240" t="s">
        <v>751</v>
      </c>
      <c r="G186" s="237"/>
      <c r="H186" s="237" t="s">
        <v>752</v>
      </c>
      <c r="I186" s="237"/>
      <c r="J186" s="240" t="s">
        <v>50</v>
      </c>
      <c r="K186" s="237" t="s">
        <v>753</v>
      </c>
      <c r="L186" s="248">
        <v>44551</v>
      </c>
      <c r="M186" s="249">
        <v>254545</v>
      </c>
      <c r="N186" s="237">
        <v>1</v>
      </c>
      <c r="O186" s="250">
        <f t="shared" si="7"/>
        <v>254545</v>
      </c>
      <c r="P186" s="250">
        <v>275000</v>
      </c>
      <c r="Q186" s="250">
        <f t="shared" si="8"/>
        <v>275000</v>
      </c>
    </row>
    <row r="187" spans="2:17">
      <c r="B187" s="200">
        <v>184</v>
      </c>
      <c r="C187" s="237" t="s">
        <v>754</v>
      </c>
      <c r="D187" s="238" t="s">
        <v>746</v>
      </c>
      <c r="E187" s="239" t="s">
        <v>9</v>
      </c>
      <c r="F187" s="240" t="s">
        <v>679</v>
      </c>
      <c r="G187" s="237"/>
      <c r="H187" s="237" t="s">
        <v>755</v>
      </c>
      <c r="I187" s="237"/>
      <c r="J187" s="240" t="s">
        <v>50</v>
      </c>
      <c r="K187" s="237" t="s">
        <v>756</v>
      </c>
      <c r="L187" s="248">
        <v>44551</v>
      </c>
      <c r="M187" s="249">
        <v>254545</v>
      </c>
      <c r="N187" s="237">
        <v>1</v>
      </c>
      <c r="O187" s="250">
        <f t="shared" si="7"/>
        <v>254545</v>
      </c>
      <c r="P187" s="250">
        <v>275000</v>
      </c>
      <c r="Q187" s="250">
        <f t="shared" si="8"/>
        <v>275000</v>
      </c>
    </row>
    <row r="188" spans="2:17">
      <c r="B188" s="200">
        <v>185</v>
      </c>
      <c r="C188" s="237" t="s">
        <v>757</v>
      </c>
      <c r="D188" s="238" t="s">
        <v>746</v>
      </c>
      <c r="E188" s="239" t="s">
        <v>9</v>
      </c>
      <c r="F188" s="240" t="s">
        <v>758</v>
      </c>
      <c r="G188" s="237"/>
      <c r="H188" s="237" t="s">
        <v>755</v>
      </c>
      <c r="I188" s="237"/>
      <c r="J188" s="240" t="s">
        <v>50</v>
      </c>
      <c r="K188" s="237" t="s">
        <v>759</v>
      </c>
      <c r="L188" s="248">
        <v>44551</v>
      </c>
      <c r="M188" s="249">
        <v>254545</v>
      </c>
      <c r="N188" s="237">
        <v>1</v>
      </c>
      <c r="O188" s="250">
        <f t="shared" si="7"/>
        <v>254545</v>
      </c>
      <c r="P188" s="250">
        <v>275000</v>
      </c>
      <c r="Q188" s="250">
        <f t="shared" si="8"/>
        <v>275000</v>
      </c>
    </row>
    <row r="189" spans="2:17">
      <c r="B189" s="200">
        <v>186</v>
      </c>
      <c r="C189" s="237" t="s">
        <v>760</v>
      </c>
      <c r="D189" s="238" t="s">
        <v>746</v>
      </c>
      <c r="E189" s="239" t="s">
        <v>9</v>
      </c>
      <c r="F189" s="240" t="s">
        <v>761</v>
      </c>
      <c r="G189" s="237"/>
      <c r="H189" s="237" t="s">
        <v>755</v>
      </c>
      <c r="I189" s="237"/>
      <c r="J189" s="240" t="s">
        <v>50</v>
      </c>
      <c r="K189" s="237" t="s">
        <v>762</v>
      </c>
      <c r="L189" s="248">
        <v>44551</v>
      </c>
      <c r="M189" s="249">
        <v>254545</v>
      </c>
      <c r="N189" s="237">
        <v>6</v>
      </c>
      <c r="O189" s="250">
        <f t="shared" ref="O189:O195" si="9">N189*M189</f>
        <v>1527270</v>
      </c>
      <c r="P189" s="250">
        <v>275000</v>
      </c>
      <c r="Q189" s="250">
        <f t="shared" si="8"/>
        <v>1650000</v>
      </c>
    </row>
    <row r="190" spans="2:17">
      <c r="B190" s="200">
        <v>187</v>
      </c>
      <c r="C190" s="237" t="s">
        <v>763</v>
      </c>
      <c r="D190" s="238" t="s">
        <v>764</v>
      </c>
      <c r="E190" s="239" t="s">
        <v>9</v>
      </c>
      <c r="F190" s="240" t="s">
        <v>765</v>
      </c>
      <c r="G190" s="237"/>
      <c r="H190" s="237" t="s">
        <v>766</v>
      </c>
      <c r="I190" s="237"/>
      <c r="J190" s="240" t="s">
        <v>50</v>
      </c>
      <c r="K190" s="237" t="s">
        <v>767</v>
      </c>
      <c r="L190" s="248">
        <v>44553</v>
      </c>
      <c r="M190" s="249">
        <v>254545</v>
      </c>
      <c r="N190" s="237">
        <v>1</v>
      </c>
      <c r="O190" s="250">
        <f t="shared" si="9"/>
        <v>254545</v>
      </c>
      <c r="P190" s="250">
        <v>275000</v>
      </c>
      <c r="Q190" s="250">
        <f t="shared" si="8"/>
        <v>275000</v>
      </c>
    </row>
    <row r="191" spans="2:17">
      <c r="B191" s="200">
        <v>188</v>
      </c>
      <c r="C191" s="237" t="s">
        <v>768</v>
      </c>
      <c r="D191" s="238" t="s">
        <v>769</v>
      </c>
      <c r="E191" s="239" t="s">
        <v>9</v>
      </c>
      <c r="F191" s="240" t="s">
        <v>770</v>
      </c>
      <c r="G191" s="237"/>
      <c r="H191" s="237" t="s">
        <v>771</v>
      </c>
      <c r="I191" s="237"/>
      <c r="J191" s="240" t="s">
        <v>50</v>
      </c>
      <c r="K191" s="237" t="s">
        <v>772</v>
      </c>
      <c r="L191" s="248">
        <v>44559</v>
      </c>
      <c r="M191" s="249">
        <v>254545</v>
      </c>
      <c r="N191" s="237">
        <v>5</v>
      </c>
      <c r="O191" s="250">
        <f t="shared" si="9"/>
        <v>1272725</v>
      </c>
      <c r="P191" s="250">
        <v>275000</v>
      </c>
      <c r="Q191" s="250">
        <f t="shared" si="8"/>
        <v>1375000</v>
      </c>
    </row>
    <row r="192" spans="2:17">
      <c r="B192" s="200">
        <v>189</v>
      </c>
      <c r="C192" s="237" t="s">
        <v>773</v>
      </c>
      <c r="D192" s="238" t="s">
        <v>774</v>
      </c>
      <c r="E192" s="239" t="s">
        <v>9</v>
      </c>
      <c r="F192" s="240" t="s">
        <v>775</v>
      </c>
      <c r="G192" s="237"/>
      <c r="H192" s="237" t="s">
        <v>776</v>
      </c>
      <c r="I192" s="237"/>
      <c r="J192" s="240" t="s">
        <v>50</v>
      </c>
      <c r="K192" s="237" t="s">
        <v>777</v>
      </c>
      <c r="L192" s="248">
        <v>44561</v>
      </c>
      <c r="M192" s="249">
        <v>254545</v>
      </c>
      <c r="N192" s="237">
        <v>1</v>
      </c>
      <c r="O192" s="250">
        <f t="shared" si="9"/>
        <v>254545</v>
      </c>
      <c r="P192" s="250">
        <v>275000</v>
      </c>
      <c r="Q192" s="250">
        <f t="shared" si="8"/>
        <v>275000</v>
      </c>
    </row>
    <row r="193" spans="2:17">
      <c r="B193" s="200">
        <v>190</v>
      </c>
      <c r="C193" s="237" t="s">
        <v>778</v>
      </c>
      <c r="D193" s="238" t="s">
        <v>779</v>
      </c>
      <c r="E193" s="239" t="s">
        <v>9</v>
      </c>
      <c r="F193" s="240" t="s">
        <v>780</v>
      </c>
      <c r="G193" s="237"/>
      <c r="H193" s="237" t="s">
        <v>776</v>
      </c>
      <c r="I193" s="237"/>
      <c r="J193" s="240" t="s">
        <v>50</v>
      </c>
      <c r="K193" s="237" t="s">
        <v>781</v>
      </c>
      <c r="L193" s="248">
        <v>44554</v>
      </c>
      <c r="M193" s="249">
        <v>254545</v>
      </c>
      <c r="N193" s="237">
        <v>5</v>
      </c>
      <c r="O193" s="250">
        <f t="shared" si="9"/>
        <v>1272725</v>
      </c>
      <c r="P193" s="250">
        <v>275000</v>
      </c>
      <c r="Q193" s="250">
        <f t="shared" si="8"/>
        <v>1375000</v>
      </c>
    </row>
    <row r="194" spans="2:17">
      <c r="B194" s="200">
        <v>191</v>
      </c>
      <c r="C194" s="237" t="s">
        <v>782</v>
      </c>
      <c r="D194" s="238" t="s">
        <v>779</v>
      </c>
      <c r="E194" s="239" t="s">
        <v>9</v>
      </c>
      <c r="F194" s="240" t="s">
        <v>349</v>
      </c>
      <c r="G194" s="237"/>
      <c r="H194" s="237" t="s">
        <v>783</v>
      </c>
      <c r="I194" s="237"/>
      <c r="J194" s="240" t="s">
        <v>50</v>
      </c>
      <c r="K194" s="237" t="s">
        <v>784</v>
      </c>
      <c r="L194" s="248">
        <v>44554</v>
      </c>
      <c r="M194" s="249">
        <v>254545</v>
      </c>
      <c r="N194" s="237">
        <v>3</v>
      </c>
      <c r="O194" s="250">
        <f t="shared" si="9"/>
        <v>763635</v>
      </c>
      <c r="P194" s="250">
        <v>275000</v>
      </c>
      <c r="Q194" s="250">
        <f t="shared" si="8"/>
        <v>825000</v>
      </c>
    </row>
    <row r="195" spans="2:17">
      <c r="B195" s="200">
        <v>192</v>
      </c>
      <c r="C195" s="237" t="s">
        <v>785</v>
      </c>
      <c r="D195" s="238" t="s">
        <v>779</v>
      </c>
      <c r="E195" s="239" t="s">
        <v>9</v>
      </c>
      <c r="F195" s="240" t="s">
        <v>786</v>
      </c>
      <c r="G195" s="237"/>
      <c r="H195" s="237" t="s">
        <v>776</v>
      </c>
      <c r="I195" s="237"/>
      <c r="J195" s="240" t="s">
        <v>50</v>
      </c>
      <c r="K195" s="237" t="s">
        <v>787</v>
      </c>
      <c r="L195" s="248">
        <v>44554</v>
      </c>
      <c r="M195" s="249">
        <v>254545</v>
      </c>
      <c r="N195" s="237">
        <v>8</v>
      </c>
      <c r="O195" s="250">
        <f t="shared" si="9"/>
        <v>2036360</v>
      </c>
      <c r="P195" s="250">
        <v>275000</v>
      </c>
      <c r="Q195" s="250">
        <f t="shared" si="8"/>
        <v>2200000</v>
      </c>
    </row>
    <row r="196" spans="2:17">
      <c r="B196" s="200">
        <v>193</v>
      </c>
      <c r="C196" s="237" t="s">
        <v>788</v>
      </c>
      <c r="D196" s="238">
        <v>80942</v>
      </c>
      <c r="E196" s="255" t="s">
        <v>17</v>
      </c>
      <c r="F196" s="255" t="s">
        <v>88</v>
      </c>
      <c r="G196" s="256"/>
      <c r="H196" s="256" t="s">
        <v>789</v>
      </c>
      <c r="I196" s="256"/>
      <c r="J196" s="255" t="s">
        <v>85</v>
      </c>
      <c r="K196" s="256" t="s">
        <v>90</v>
      </c>
      <c r="L196" s="248">
        <v>44557</v>
      </c>
      <c r="M196" s="257">
        <v>222727</v>
      </c>
      <c r="N196" s="258">
        <v>49</v>
      </c>
      <c r="O196" s="257">
        <f t="shared" ref="O196:O197" si="10">SUM(M196*N196)</f>
        <v>10913623</v>
      </c>
      <c r="P196" s="258">
        <v>279090.90999999997</v>
      </c>
      <c r="Q196" s="258">
        <f t="shared" si="8"/>
        <v>13675454.589999998</v>
      </c>
    </row>
    <row r="197" spans="2:17">
      <c r="B197" s="200">
        <v>194</v>
      </c>
      <c r="C197" s="237" t="s">
        <v>790</v>
      </c>
      <c r="D197" s="238">
        <v>80942</v>
      </c>
      <c r="E197" s="255" t="s">
        <v>17</v>
      </c>
      <c r="F197" s="255" t="s">
        <v>88</v>
      </c>
      <c r="G197" s="256"/>
      <c r="H197" s="256" t="s">
        <v>789</v>
      </c>
      <c r="I197" s="256"/>
      <c r="J197" s="255" t="s">
        <v>92</v>
      </c>
      <c r="K197" s="256" t="s">
        <v>93</v>
      </c>
      <c r="L197" s="248">
        <v>44557</v>
      </c>
      <c r="M197" s="257">
        <v>46364</v>
      </c>
      <c r="N197" s="258">
        <v>49</v>
      </c>
      <c r="O197" s="257">
        <f t="shared" si="10"/>
        <v>2271836</v>
      </c>
      <c r="P197" s="258">
        <v>58181.82</v>
      </c>
      <c r="Q197" s="258">
        <f t="shared" si="8"/>
        <v>2850909.18</v>
      </c>
    </row>
    <row r="198" spans="2:17">
      <c r="B198" s="200">
        <v>195</v>
      </c>
      <c r="C198" s="237" t="s">
        <v>791</v>
      </c>
      <c r="D198" s="238">
        <v>4800439628</v>
      </c>
      <c r="E198" s="239" t="s">
        <v>12</v>
      </c>
      <c r="F198" s="240" t="s">
        <v>466</v>
      </c>
      <c r="G198" s="237"/>
      <c r="H198" s="237" t="s">
        <v>792</v>
      </c>
      <c r="I198" s="237"/>
      <c r="J198" s="240" t="s">
        <v>85</v>
      </c>
      <c r="K198" s="237" t="s">
        <v>793</v>
      </c>
      <c r="L198" s="248">
        <v>44559</v>
      </c>
      <c r="M198" s="249">
        <v>222727</v>
      </c>
      <c r="N198" s="237">
        <v>50</v>
      </c>
      <c r="O198" s="257">
        <f t="shared" ref="O198" si="11">SUM(M198*N198)</f>
        <v>11136350</v>
      </c>
      <c r="P198" s="258">
        <v>265136</v>
      </c>
      <c r="Q198" s="258">
        <f t="shared" si="8"/>
        <v>13256800</v>
      </c>
    </row>
    <row r="199" spans="2:17">
      <c r="B199" s="200">
        <v>196</v>
      </c>
      <c r="C199" s="237" t="s">
        <v>794</v>
      </c>
      <c r="D199" s="238" t="s">
        <v>795</v>
      </c>
      <c r="E199" s="239" t="s">
        <v>9</v>
      </c>
      <c r="F199" s="240" t="s">
        <v>796</v>
      </c>
      <c r="G199" s="237"/>
      <c r="H199" s="237" t="s">
        <v>797</v>
      </c>
      <c r="I199" s="237"/>
      <c r="J199" s="240" t="s">
        <v>50</v>
      </c>
      <c r="K199" s="237" t="s">
        <v>798</v>
      </c>
      <c r="L199" s="248">
        <v>44561</v>
      </c>
      <c r="M199" s="249">
        <v>254545</v>
      </c>
      <c r="N199" s="237">
        <v>1</v>
      </c>
      <c r="O199" s="250">
        <f t="shared" ref="O199:O200" si="12">N199*M199</f>
        <v>254545</v>
      </c>
      <c r="P199" s="250">
        <v>275000</v>
      </c>
      <c r="Q199" s="250">
        <f t="shared" si="8"/>
        <v>275000</v>
      </c>
    </row>
    <row r="200" spans="2:17">
      <c r="B200" s="200">
        <v>197</v>
      </c>
      <c r="C200" s="237" t="s">
        <v>799</v>
      </c>
      <c r="D200" s="238" t="s">
        <v>795</v>
      </c>
      <c r="E200" s="239" t="s">
        <v>9</v>
      </c>
      <c r="F200" s="240" t="s">
        <v>800</v>
      </c>
      <c r="G200" s="237"/>
      <c r="H200" s="237" t="s">
        <v>801</v>
      </c>
      <c r="I200" s="237"/>
      <c r="J200" s="240" t="s">
        <v>50</v>
      </c>
      <c r="K200" s="237" t="s">
        <v>802</v>
      </c>
      <c r="L200" s="248">
        <v>44561</v>
      </c>
      <c r="M200" s="249">
        <v>254545</v>
      </c>
      <c r="N200" s="237">
        <v>1</v>
      </c>
      <c r="O200" s="250">
        <f t="shared" si="12"/>
        <v>254545</v>
      </c>
      <c r="P200" s="250">
        <v>275000</v>
      </c>
      <c r="Q200" s="250">
        <f t="shared" si="8"/>
        <v>275000</v>
      </c>
    </row>
    <row r="201" spans="2:17">
      <c r="B201" s="200">
        <v>198</v>
      </c>
      <c r="C201" s="241" t="s">
        <v>803</v>
      </c>
      <c r="D201" s="242" t="s">
        <v>804</v>
      </c>
      <c r="E201" s="243" t="s">
        <v>9</v>
      </c>
      <c r="F201" s="244" t="s">
        <v>805</v>
      </c>
      <c r="G201" s="241"/>
      <c r="H201" s="241" t="s">
        <v>806</v>
      </c>
      <c r="I201" s="241"/>
      <c r="J201" s="244" t="s">
        <v>50</v>
      </c>
      <c r="K201" s="241" t="s">
        <v>807</v>
      </c>
      <c r="L201" s="251">
        <v>44564</v>
      </c>
      <c r="M201" s="252">
        <v>254545</v>
      </c>
      <c r="N201" s="241">
        <v>2</v>
      </c>
      <c r="O201" s="253">
        <f>M201*N201</f>
        <v>509090</v>
      </c>
      <c r="P201" s="253">
        <v>275000</v>
      </c>
      <c r="Q201" s="253">
        <f t="shared" si="8"/>
        <v>550000</v>
      </c>
    </row>
    <row r="202" spans="2:17">
      <c r="B202" s="200">
        <v>199</v>
      </c>
      <c r="C202" s="241" t="s">
        <v>808</v>
      </c>
      <c r="D202" s="242" t="s">
        <v>804</v>
      </c>
      <c r="E202" s="243" t="s">
        <v>9</v>
      </c>
      <c r="F202" s="244" t="s">
        <v>809</v>
      </c>
      <c r="G202" s="241"/>
      <c r="H202" s="241" t="s">
        <v>810</v>
      </c>
      <c r="I202" s="241"/>
      <c r="J202" s="244" t="s">
        <v>50</v>
      </c>
      <c r="K202" s="241" t="s">
        <v>811</v>
      </c>
      <c r="L202" s="251">
        <v>44564</v>
      </c>
      <c r="M202" s="252">
        <v>254545</v>
      </c>
      <c r="N202" s="241">
        <v>3</v>
      </c>
      <c r="O202" s="253">
        <f>M202*N202</f>
        <v>763635</v>
      </c>
      <c r="P202" s="253">
        <v>275001</v>
      </c>
      <c r="Q202" s="253">
        <f t="shared" si="8"/>
        <v>825003</v>
      </c>
    </row>
    <row r="203" spans="2:17">
      <c r="B203" s="200">
        <v>200</v>
      </c>
      <c r="C203" s="241" t="s">
        <v>812</v>
      </c>
      <c r="D203" s="242" t="s">
        <v>813</v>
      </c>
      <c r="E203" s="243" t="s">
        <v>10</v>
      </c>
      <c r="F203" s="244" t="s">
        <v>814</v>
      </c>
      <c r="G203" s="241" t="s">
        <v>815</v>
      </c>
      <c r="H203" s="241" t="s">
        <v>2</v>
      </c>
      <c r="I203" s="241"/>
      <c r="J203" s="244" t="s">
        <v>816</v>
      </c>
      <c r="K203" s="241" t="s">
        <v>817</v>
      </c>
      <c r="L203" s="251">
        <v>44568</v>
      </c>
      <c r="M203" s="252">
        <v>22727</v>
      </c>
      <c r="N203" s="241">
        <v>150</v>
      </c>
      <c r="O203" s="253">
        <f t="shared" ref="O203:O352" si="13">M203*N203</f>
        <v>3409050</v>
      </c>
      <c r="P203" s="253">
        <v>29090.91</v>
      </c>
      <c r="Q203" s="253">
        <f t="shared" ref="Q203:Q356" si="14">P203*N203</f>
        <v>4363636.5</v>
      </c>
    </row>
    <row r="204" spans="2:17">
      <c r="B204" s="200">
        <v>201</v>
      </c>
      <c r="C204" s="241" t="s">
        <v>818</v>
      </c>
      <c r="D204" s="242" t="s">
        <v>819</v>
      </c>
      <c r="E204" s="243" t="s">
        <v>9</v>
      </c>
      <c r="F204" s="244" t="s">
        <v>820</v>
      </c>
      <c r="G204" s="241"/>
      <c r="H204" s="241" t="s">
        <v>821</v>
      </c>
      <c r="I204" s="241"/>
      <c r="J204" s="244" t="s">
        <v>50</v>
      </c>
      <c r="K204" s="241" t="s">
        <v>822</v>
      </c>
      <c r="L204" s="251">
        <v>44567</v>
      </c>
      <c r="M204" s="252">
        <v>254545</v>
      </c>
      <c r="N204" s="241">
        <v>7</v>
      </c>
      <c r="O204" s="253">
        <f t="shared" si="13"/>
        <v>1781815</v>
      </c>
      <c r="P204" s="253">
        <v>275000</v>
      </c>
      <c r="Q204" s="253">
        <f t="shared" si="14"/>
        <v>1925000</v>
      </c>
    </row>
    <row r="205" spans="2:17">
      <c r="B205" s="200">
        <v>202</v>
      </c>
      <c r="C205" s="241" t="s">
        <v>823</v>
      </c>
      <c r="D205" s="242" t="s">
        <v>824</v>
      </c>
      <c r="E205" s="243" t="s">
        <v>9</v>
      </c>
      <c r="F205" s="244" t="s">
        <v>825</v>
      </c>
      <c r="G205" s="241"/>
      <c r="H205" s="241" t="s">
        <v>826</v>
      </c>
      <c r="I205" s="241"/>
      <c r="J205" s="244" t="s">
        <v>50</v>
      </c>
      <c r="K205" s="241" t="s">
        <v>827</v>
      </c>
      <c r="L205" s="251">
        <v>44568</v>
      </c>
      <c r="M205" s="252">
        <v>254545</v>
      </c>
      <c r="N205" s="241">
        <v>3</v>
      </c>
      <c r="O205" s="253">
        <f t="shared" si="13"/>
        <v>763635</v>
      </c>
      <c r="P205" s="253">
        <v>275000</v>
      </c>
      <c r="Q205" s="253">
        <f t="shared" si="14"/>
        <v>825000</v>
      </c>
    </row>
    <row r="206" spans="2:17">
      <c r="B206" s="200">
        <v>203</v>
      </c>
      <c r="C206" s="241" t="s">
        <v>828</v>
      </c>
      <c r="D206" s="242" t="s">
        <v>824</v>
      </c>
      <c r="E206" s="243" t="s">
        <v>9</v>
      </c>
      <c r="F206" s="244" t="s">
        <v>829</v>
      </c>
      <c r="G206" s="241"/>
      <c r="H206" s="241" t="s">
        <v>826</v>
      </c>
      <c r="I206" s="241"/>
      <c r="J206" s="244" t="s">
        <v>50</v>
      </c>
      <c r="K206" s="241" t="s">
        <v>830</v>
      </c>
      <c r="L206" s="251">
        <v>44568</v>
      </c>
      <c r="M206" s="252">
        <v>254545</v>
      </c>
      <c r="N206" s="241">
        <v>3</v>
      </c>
      <c r="O206" s="253">
        <f t="shared" si="13"/>
        <v>763635</v>
      </c>
      <c r="P206" s="253">
        <v>275000</v>
      </c>
      <c r="Q206" s="253">
        <f t="shared" si="14"/>
        <v>825000</v>
      </c>
    </row>
    <row r="207" spans="2:17">
      <c r="B207" s="200">
        <v>204</v>
      </c>
      <c r="C207" s="241" t="s">
        <v>831</v>
      </c>
      <c r="D207" s="242" t="s">
        <v>824</v>
      </c>
      <c r="E207" s="243" t="s">
        <v>9</v>
      </c>
      <c r="F207" s="244" t="s">
        <v>832</v>
      </c>
      <c r="G207" s="241"/>
      <c r="H207" s="241" t="s">
        <v>826</v>
      </c>
      <c r="I207" s="241"/>
      <c r="J207" s="244" t="s">
        <v>50</v>
      </c>
      <c r="K207" s="241" t="s">
        <v>833</v>
      </c>
      <c r="L207" s="251">
        <v>44568</v>
      </c>
      <c r="M207" s="252">
        <v>254545</v>
      </c>
      <c r="N207" s="241">
        <v>5</v>
      </c>
      <c r="O207" s="253">
        <f t="shared" si="13"/>
        <v>1272725</v>
      </c>
      <c r="P207" s="253">
        <v>275000</v>
      </c>
      <c r="Q207" s="253">
        <f t="shared" si="14"/>
        <v>1375000</v>
      </c>
    </row>
    <row r="208" spans="2:17">
      <c r="B208" s="200">
        <v>205</v>
      </c>
      <c r="C208" s="241" t="s">
        <v>834</v>
      </c>
      <c r="D208" s="242" t="s">
        <v>835</v>
      </c>
      <c r="E208" s="243" t="s">
        <v>9</v>
      </c>
      <c r="F208" s="244" t="s">
        <v>836</v>
      </c>
      <c r="G208" s="241"/>
      <c r="H208" s="241" t="s">
        <v>837</v>
      </c>
      <c r="I208" s="241"/>
      <c r="J208" s="244" t="s">
        <v>50</v>
      </c>
      <c r="K208" s="241" t="s">
        <v>838</v>
      </c>
      <c r="L208" s="251">
        <v>44572</v>
      </c>
      <c r="M208" s="252">
        <v>254545</v>
      </c>
      <c r="N208" s="241">
        <v>2</v>
      </c>
      <c r="O208" s="253">
        <f t="shared" si="13"/>
        <v>509090</v>
      </c>
      <c r="P208" s="253">
        <v>275000</v>
      </c>
      <c r="Q208" s="253">
        <f t="shared" si="14"/>
        <v>550000</v>
      </c>
    </row>
    <row r="209" spans="2:17">
      <c r="B209" s="200">
        <v>206</v>
      </c>
      <c r="C209" s="241" t="s">
        <v>839</v>
      </c>
      <c r="D209" s="242" t="s">
        <v>835</v>
      </c>
      <c r="E209" s="243" t="s">
        <v>9</v>
      </c>
      <c r="F209" s="244" t="s">
        <v>840</v>
      </c>
      <c r="G209" s="241"/>
      <c r="H209" s="241" t="s">
        <v>837</v>
      </c>
      <c r="I209" s="241"/>
      <c r="J209" s="244" t="s">
        <v>50</v>
      </c>
      <c r="K209" s="241" t="s">
        <v>841</v>
      </c>
      <c r="L209" s="251">
        <v>44572</v>
      </c>
      <c r="M209" s="252">
        <v>254545</v>
      </c>
      <c r="N209" s="241">
        <v>1</v>
      </c>
      <c r="O209" s="253">
        <f t="shared" si="13"/>
        <v>254545</v>
      </c>
      <c r="P209" s="253">
        <v>275000</v>
      </c>
      <c r="Q209" s="253">
        <f t="shared" si="14"/>
        <v>275000</v>
      </c>
    </row>
    <row r="210" spans="2:17">
      <c r="B210" s="200">
        <v>207</v>
      </c>
      <c r="C210" s="241" t="s">
        <v>842</v>
      </c>
      <c r="D210" s="242" t="s">
        <v>835</v>
      </c>
      <c r="E210" s="243" t="s">
        <v>9</v>
      </c>
      <c r="F210" s="244" t="s">
        <v>843</v>
      </c>
      <c r="G210" s="241"/>
      <c r="H210" s="241" t="s">
        <v>837</v>
      </c>
      <c r="I210" s="241"/>
      <c r="J210" s="244" t="s">
        <v>50</v>
      </c>
      <c r="K210" s="241" t="s">
        <v>844</v>
      </c>
      <c r="L210" s="251">
        <v>44572</v>
      </c>
      <c r="M210" s="252">
        <v>254545</v>
      </c>
      <c r="N210" s="241">
        <v>1</v>
      </c>
      <c r="O210" s="253">
        <f t="shared" si="13"/>
        <v>254545</v>
      </c>
      <c r="P210" s="253">
        <v>275000</v>
      </c>
      <c r="Q210" s="253">
        <f t="shared" si="14"/>
        <v>275000</v>
      </c>
    </row>
    <row r="211" spans="2:17">
      <c r="B211" s="200">
        <v>208</v>
      </c>
      <c r="C211" s="241" t="s">
        <v>845</v>
      </c>
      <c r="D211" s="242" t="s">
        <v>835</v>
      </c>
      <c r="E211" s="243" t="s">
        <v>9</v>
      </c>
      <c r="F211" s="244" t="s">
        <v>846</v>
      </c>
      <c r="G211" s="241"/>
      <c r="H211" s="241" t="s">
        <v>847</v>
      </c>
      <c r="I211" s="241"/>
      <c r="J211" s="244" t="s">
        <v>50</v>
      </c>
      <c r="K211" s="241" t="s">
        <v>848</v>
      </c>
      <c r="L211" s="251">
        <v>44572</v>
      </c>
      <c r="M211" s="252">
        <v>254545</v>
      </c>
      <c r="N211" s="241">
        <v>2</v>
      </c>
      <c r="O211" s="253">
        <f t="shared" si="13"/>
        <v>509090</v>
      </c>
      <c r="P211" s="253">
        <v>275000</v>
      </c>
      <c r="Q211" s="253">
        <f t="shared" si="14"/>
        <v>550000</v>
      </c>
    </row>
    <row r="212" spans="2:17">
      <c r="B212" s="200">
        <v>209</v>
      </c>
      <c r="C212" s="241" t="s">
        <v>849</v>
      </c>
      <c r="D212" s="242" t="s">
        <v>835</v>
      </c>
      <c r="E212" s="243" t="s">
        <v>9</v>
      </c>
      <c r="F212" s="244" t="s">
        <v>549</v>
      </c>
      <c r="G212" s="241"/>
      <c r="H212" s="241" t="s">
        <v>837</v>
      </c>
      <c r="I212" s="241"/>
      <c r="J212" s="244" t="s">
        <v>50</v>
      </c>
      <c r="K212" s="241" t="s">
        <v>850</v>
      </c>
      <c r="L212" s="251">
        <v>44572</v>
      </c>
      <c r="M212" s="252">
        <v>254545</v>
      </c>
      <c r="N212" s="241">
        <v>1</v>
      </c>
      <c r="O212" s="253">
        <f t="shared" si="13"/>
        <v>254545</v>
      </c>
      <c r="P212" s="253">
        <v>275000</v>
      </c>
      <c r="Q212" s="253">
        <f t="shared" si="14"/>
        <v>275000</v>
      </c>
    </row>
    <row r="213" spans="2:17">
      <c r="B213" s="200">
        <v>210</v>
      </c>
      <c r="C213" s="241" t="s">
        <v>851</v>
      </c>
      <c r="D213" s="242" t="s">
        <v>835</v>
      </c>
      <c r="E213" s="243" t="s">
        <v>9</v>
      </c>
      <c r="F213" s="244" t="s">
        <v>141</v>
      </c>
      <c r="G213" s="241"/>
      <c r="H213" s="241" t="s">
        <v>837</v>
      </c>
      <c r="I213" s="241"/>
      <c r="J213" s="244" t="s">
        <v>50</v>
      </c>
      <c r="K213" s="241" t="s">
        <v>852</v>
      </c>
      <c r="L213" s="251">
        <v>44572</v>
      </c>
      <c r="M213" s="252">
        <v>254545</v>
      </c>
      <c r="N213" s="241">
        <v>1</v>
      </c>
      <c r="O213" s="253">
        <f t="shared" si="13"/>
        <v>254545</v>
      </c>
      <c r="P213" s="253">
        <v>275000</v>
      </c>
      <c r="Q213" s="253">
        <f t="shared" si="14"/>
        <v>275000</v>
      </c>
    </row>
    <row r="214" spans="2:17">
      <c r="B214" s="200">
        <v>211</v>
      </c>
      <c r="C214" s="241" t="s">
        <v>853</v>
      </c>
      <c r="D214" s="242">
        <v>4800440725</v>
      </c>
      <c r="E214" s="243" t="s">
        <v>12</v>
      </c>
      <c r="F214" s="244" t="s">
        <v>466</v>
      </c>
      <c r="G214" s="241"/>
      <c r="H214" s="241" t="s">
        <v>854</v>
      </c>
      <c r="I214" s="241"/>
      <c r="J214" s="244" t="s">
        <v>85</v>
      </c>
      <c r="K214" s="241" t="s">
        <v>855</v>
      </c>
      <c r="L214" s="251">
        <v>44574</v>
      </c>
      <c r="M214" s="252">
        <v>222727</v>
      </c>
      <c r="N214" s="241">
        <v>60</v>
      </c>
      <c r="O214" s="253">
        <f t="shared" si="13"/>
        <v>13363620</v>
      </c>
      <c r="P214" s="253">
        <v>265136</v>
      </c>
      <c r="Q214" s="253">
        <f t="shared" si="14"/>
        <v>15908160</v>
      </c>
    </row>
    <row r="215" spans="2:17">
      <c r="B215" s="200">
        <v>212</v>
      </c>
      <c r="C215" s="241" t="s">
        <v>856</v>
      </c>
      <c r="D215" s="242" t="s">
        <v>857</v>
      </c>
      <c r="E215" s="243" t="s">
        <v>9</v>
      </c>
      <c r="F215" s="244" t="s">
        <v>858</v>
      </c>
      <c r="G215" s="241"/>
      <c r="H215" s="241" t="s">
        <v>859</v>
      </c>
      <c r="I215" s="241"/>
      <c r="J215" s="244" t="s">
        <v>50</v>
      </c>
      <c r="K215" s="241" t="s">
        <v>860</v>
      </c>
      <c r="L215" s="251">
        <v>44579</v>
      </c>
      <c r="M215" s="252">
        <v>254545</v>
      </c>
      <c r="N215" s="241">
        <v>4</v>
      </c>
      <c r="O215" s="253">
        <f t="shared" si="13"/>
        <v>1018180</v>
      </c>
      <c r="P215" s="253">
        <v>275000</v>
      </c>
      <c r="Q215" s="253">
        <f t="shared" si="14"/>
        <v>1100000</v>
      </c>
    </row>
    <row r="216" spans="2:17">
      <c r="B216" s="200">
        <v>213</v>
      </c>
      <c r="C216" s="241" t="s">
        <v>861</v>
      </c>
      <c r="D216" s="242" t="s">
        <v>857</v>
      </c>
      <c r="E216" s="243" t="s">
        <v>9</v>
      </c>
      <c r="F216" s="244" t="s">
        <v>862</v>
      </c>
      <c r="G216" s="241"/>
      <c r="H216" s="241" t="s">
        <v>863</v>
      </c>
      <c r="I216" s="241"/>
      <c r="J216" s="244" t="s">
        <v>50</v>
      </c>
      <c r="K216" s="241" t="s">
        <v>864</v>
      </c>
      <c r="L216" s="251">
        <v>44579</v>
      </c>
      <c r="M216" s="252">
        <v>254545</v>
      </c>
      <c r="N216" s="241">
        <v>3</v>
      </c>
      <c r="O216" s="253">
        <f t="shared" si="13"/>
        <v>763635</v>
      </c>
      <c r="P216" s="253">
        <v>275000</v>
      </c>
      <c r="Q216" s="253">
        <f t="shared" si="14"/>
        <v>825000</v>
      </c>
    </row>
    <row r="217" spans="2:17">
      <c r="B217" s="200">
        <v>214</v>
      </c>
      <c r="C217" s="241" t="s">
        <v>865</v>
      </c>
      <c r="D217" s="242" t="s">
        <v>857</v>
      </c>
      <c r="E217" s="243" t="s">
        <v>9</v>
      </c>
      <c r="F217" s="244" t="s">
        <v>866</v>
      </c>
      <c r="G217" s="241"/>
      <c r="H217" s="241" t="s">
        <v>837</v>
      </c>
      <c r="I217" s="241"/>
      <c r="J217" s="244" t="s">
        <v>50</v>
      </c>
      <c r="K217" s="241" t="s">
        <v>867</v>
      </c>
      <c r="L217" s="251">
        <v>44579</v>
      </c>
      <c r="M217" s="252">
        <v>254545</v>
      </c>
      <c r="N217" s="241">
        <v>2</v>
      </c>
      <c r="O217" s="253">
        <f t="shared" si="13"/>
        <v>509090</v>
      </c>
      <c r="P217" s="253">
        <v>275000</v>
      </c>
      <c r="Q217" s="253">
        <f t="shared" si="14"/>
        <v>550000</v>
      </c>
    </row>
    <row r="218" spans="2:17">
      <c r="B218" s="200">
        <v>215</v>
      </c>
      <c r="C218" s="241" t="s">
        <v>868</v>
      </c>
      <c r="D218" s="242" t="s">
        <v>869</v>
      </c>
      <c r="E218" s="243" t="s">
        <v>9</v>
      </c>
      <c r="F218" s="244" t="s">
        <v>870</v>
      </c>
      <c r="G218" s="241"/>
      <c r="H218" s="241" t="s">
        <v>871</v>
      </c>
      <c r="I218" s="241"/>
      <c r="J218" s="244" t="s">
        <v>50</v>
      </c>
      <c r="K218" s="241" t="s">
        <v>872</v>
      </c>
      <c r="L218" s="251">
        <v>44579</v>
      </c>
      <c r="M218" s="252">
        <v>254545</v>
      </c>
      <c r="N218" s="241">
        <v>1</v>
      </c>
      <c r="O218" s="253">
        <f t="shared" si="13"/>
        <v>254545</v>
      </c>
      <c r="P218" s="253">
        <v>275000</v>
      </c>
      <c r="Q218" s="253">
        <f t="shared" si="14"/>
        <v>275000</v>
      </c>
    </row>
    <row r="219" spans="2:17">
      <c r="B219" s="200">
        <v>216</v>
      </c>
      <c r="C219" s="241" t="s">
        <v>873</v>
      </c>
      <c r="D219" s="242" t="s">
        <v>874</v>
      </c>
      <c r="E219" s="243" t="s">
        <v>9</v>
      </c>
      <c r="F219" s="244" t="s">
        <v>875</v>
      </c>
      <c r="G219" s="241"/>
      <c r="H219" s="241" t="s">
        <v>876</v>
      </c>
      <c r="I219" s="241"/>
      <c r="J219" s="244" t="s">
        <v>50</v>
      </c>
      <c r="K219" s="241" t="s">
        <v>877</v>
      </c>
      <c r="L219" s="251">
        <v>44580</v>
      </c>
      <c r="M219" s="252">
        <v>254545</v>
      </c>
      <c r="N219" s="241">
        <v>140</v>
      </c>
      <c r="O219" s="253">
        <f t="shared" si="13"/>
        <v>35636300</v>
      </c>
      <c r="P219" s="253">
        <v>275000</v>
      </c>
      <c r="Q219" s="253">
        <f t="shared" si="14"/>
        <v>38500000</v>
      </c>
    </row>
    <row r="220" spans="2:17">
      <c r="B220" s="200">
        <v>217</v>
      </c>
      <c r="C220" s="241" t="s">
        <v>878</v>
      </c>
      <c r="D220" s="242" t="s">
        <v>879</v>
      </c>
      <c r="E220" s="243" t="s">
        <v>11</v>
      </c>
      <c r="F220" s="244" t="s">
        <v>880</v>
      </c>
      <c r="G220" s="241"/>
      <c r="H220" s="241" t="s">
        <v>881</v>
      </c>
      <c r="I220" s="241"/>
      <c r="J220" s="244" t="s">
        <v>882</v>
      </c>
      <c r="K220" s="241" t="s">
        <v>883</v>
      </c>
      <c r="L220" s="251">
        <v>44585</v>
      </c>
      <c r="M220" s="252">
        <v>213150</v>
      </c>
      <c r="N220" s="241">
        <v>6</v>
      </c>
      <c r="O220" s="253">
        <f t="shared" si="13"/>
        <v>1278900</v>
      </c>
      <c r="P220" s="253">
        <v>232527</v>
      </c>
      <c r="Q220" s="253">
        <f t="shared" si="14"/>
        <v>1395162</v>
      </c>
    </row>
    <row r="221" spans="2:17">
      <c r="B221" s="200">
        <v>218</v>
      </c>
      <c r="C221" s="241" t="s">
        <v>884</v>
      </c>
      <c r="D221" s="242" t="s">
        <v>885</v>
      </c>
      <c r="E221" s="243" t="s">
        <v>11</v>
      </c>
      <c r="F221" s="244" t="s">
        <v>880</v>
      </c>
      <c r="G221" s="241"/>
      <c r="H221" s="241" t="s">
        <v>881</v>
      </c>
      <c r="I221" s="241"/>
      <c r="J221" s="244" t="s">
        <v>886</v>
      </c>
      <c r="K221" s="241" t="s">
        <v>887</v>
      </c>
      <c r="L221" s="251">
        <v>44585</v>
      </c>
      <c r="M221" s="252">
        <v>184875</v>
      </c>
      <c r="N221" s="241">
        <v>6</v>
      </c>
      <c r="O221" s="253">
        <f t="shared" si="13"/>
        <v>1109250</v>
      </c>
      <c r="P221" s="253">
        <v>201682</v>
      </c>
      <c r="Q221" s="253">
        <f t="shared" si="14"/>
        <v>1210092</v>
      </c>
    </row>
    <row r="222" spans="2:17">
      <c r="B222" s="200">
        <v>219</v>
      </c>
      <c r="C222" s="241" t="s">
        <v>888</v>
      </c>
      <c r="D222" s="242" t="s">
        <v>889</v>
      </c>
      <c r="E222" s="243" t="s">
        <v>19</v>
      </c>
      <c r="F222" s="244" t="s">
        <v>462</v>
      </c>
      <c r="G222" s="241"/>
      <c r="H222" s="241" t="s">
        <v>890</v>
      </c>
      <c r="I222" s="241"/>
      <c r="J222" s="244" t="s">
        <v>85</v>
      </c>
      <c r="K222" s="241" t="s">
        <v>891</v>
      </c>
      <c r="L222" s="251">
        <v>44586</v>
      </c>
      <c r="M222" s="252">
        <v>222727</v>
      </c>
      <c r="N222" s="241">
        <v>1</v>
      </c>
      <c r="O222" s="253">
        <f t="shared" si="13"/>
        <v>222727</v>
      </c>
      <c r="P222" s="253">
        <v>279090.90999999997</v>
      </c>
      <c r="Q222" s="253">
        <f t="shared" si="14"/>
        <v>279090.90999999997</v>
      </c>
    </row>
    <row r="223" spans="2:17">
      <c r="B223" s="200">
        <v>220</v>
      </c>
      <c r="C223" s="241" t="s">
        <v>892</v>
      </c>
      <c r="D223" s="242" t="s">
        <v>893</v>
      </c>
      <c r="E223" s="243" t="s">
        <v>9</v>
      </c>
      <c r="F223" s="244" t="s">
        <v>894</v>
      </c>
      <c r="G223" s="241"/>
      <c r="H223" s="241" t="s">
        <v>895</v>
      </c>
      <c r="I223" s="241"/>
      <c r="J223" s="244" t="s">
        <v>50</v>
      </c>
      <c r="K223" s="241" t="s">
        <v>896</v>
      </c>
      <c r="L223" s="251">
        <v>44579</v>
      </c>
      <c r="M223" s="252">
        <v>254545</v>
      </c>
      <c r="N223" s="241">
        <v>7</v>
      </c>
      <c r="O223" s="253">
        <f t="shared" si="13"/>
        <v>1781815</v>
      </c>
      <c r="P223" s="253">
        <v>275000</v>
      </c>
      <c r="Q223" s="253">
        <f t="shared" si="14"/>
        <v>1925000</v>
      </c>
    </row>
    <row r="224" spans="2:17">
      <c r="B224" s="200">
        <v>221</v>
      </c>
      <c r="C224" s="241" t="s">
        <v>897</v>
      </c>
      <c r="D224" s="242" t="s">
        <v>898</v>
      </c>
      <c r="E224" s="243" t="s">
        <v>11</v>
      </c>
      <c r="F224" s="244" t="s">
        <v>733</v>
      </c>
      <c r="G224" s="241"/>
      <c r="H224" s="241" t="s">
        <v>899</v>
      </c>
      <c r="I224" s="241"/>
      <c r="J224" s="244" t="s">
        <v>85</v>
      </c>
      <c r="K224" s="241" t="s">
        <v>735</v>
      </c>
      <c r="L224" s="251">
        <v>44587</v>
      </c>
      <c r="M224" s="252">
        <v>222727</v>
      </c>
      <c r="N224" s="241">
        <v>13</v>
      </c>
      <c r="O224" s="253">
        <f t="shared" si="13"/>
        <v>2895451</v>
      </c>
      <c r="P224" s="253">
        <v>297091</v>
      </c>
      <c r="Q224" s="253">
        <f t="shared" si="14"/>
        <v>3862183</v>
      </c>
    </row>
    <row r="225" spans="2:17">
      <c r="B225" s="200">
        <v>222</v>
      </c>
      <c r="C225" s="241" t="s">
        <v>900</v>
      </c>
      <c r="D225" s="242" t="s">
        <v>901</v>
      </c>
      <c r="E225" s="243" t="s">
        <v>9</v>
      </c>
      <c r="F225" s="243" t="s">
        <v>902</v>
      </c>
      <c r="G225" s="241"/>
      <c r="H225" s="241" t="s">
        <v>903</v>
      </c>
      <c r="I225" s="241"/>
      <c r="J225" s="244" t="s">
        <v>50</v>
      </c>
      <c r="K225" s="241" t="s">
        <v>904</v>
      </c>
      <c r="L225" s="251">
        <v>44588</v>
      </c>
      <c r="M225" s="252">
        <v>254545</v>
      </c>
      <c r="N225" s="241">
        <v>1</v>
      </c>
      <c r="O225" s="253">
        <f t="shared" si="13"/>
        <v>254545</v>
      </c>
      <c r="P225" s="253">
        <v>275000</v>
      </c>
      <c r="Q225" s="253">
        <f t="shared" si="14"/>
        <v>275000</v>
      </c>
    </row>
    <row r="226" spans="2:17">
      <c r="B226" s="200">
        <v>223</v>
      </c>
      <c r="C226" s="241" t="s">
        <v>905</v>
      </c>
      <c r="D226" s="242" t="s">
        <v>901</v>
      </c>
      <c r="E226" s="243" t="s">
        <v>9</v>
      </c>
      <c r="F226" s="243" t="s">
        <v>906</v>
      </c>
      <c r="G226" s="241"/>
      <c r="H226" s="241" t="s">
        <v>903</v>
      </c>
      <c r="I226" s="241"/>
      <c r="J226" s="244" t="s">
        <v>50</v>
      </c>
      <c r="K226" s="241" t="s">
        <v>907</v>
      </c>
      <c r="L226" s="251">
        <v>44588</v>
      </c>
      <c r="M226" s="252">
        <v>254545</v>
      </c>
      <c r="N226" s="241">
        <v>3</v>
      </c>
      <c r="O226" s="253">
        <f t="shared" si="13"/>
        <v>763635</v>
      </c>
      <c r="P226" s="253">
        <v>275000</v>
      </c>
      <c r="Q226" s="253">
        <f t="shared" si="14"/>
        <v>825000</v>
      </c>
    </row>
    <row r="227" spans="2:17">
      <c r="B227" s="200">
        <v>224</v>
      </c>
      <c r="C227" s="241" t="s">
        <v>908</v>
      </c>
      <c r="D227" s="242" t="s">
        <v>909</v>
      </c>
      <c r="E227" s="243" t="s">
        <v>10</v>
      </c>
      <c r="F227" s="244" t="s">
        <v>814</v>
      </c>
      <c r="G227" s="241" t="s">
        <v>910</v>
      </c>
      <c r="H227" s="241" t="s">
        <v>2</v>
      </c>
      <c r="I227" s="241"/>
      <c r="J227" s="244" t="s">
        <v>816</v>
      </c>
      <c r="K227" s="241" t="s">
        <v>817</v>
      </c>
      <c r="L227" s="251">
        <v>44588</v>
      </c>
      <c r="M227" s="252">
        <v>22727</v>
      </c>
      <c r="N227" s="241">
        <v>150</v>
      </c>
      <c r="O227" s="253">
        <f t="shared" si="13"/>
        <v>3409050</v>
      </c>
      <c r="P227" s="253">
        <v>29090.91</v>
      </c>
      <c r="Q227" s="253">
        <f t="shared" si="14"/>
        <v>4363636.5</v>
      </c>
    </row>
    <row r="228" spans="2:17">
      <c r="B228" s="200">
        <v>225</v>
      </c>
      <c r="C228" s="241" t="s">
        <v>911</v>
      </c>
      <c r="D228" s="242" t="s">
        <v>912</v>
      </c>
      <c r="E228" s="243" t="s">
        <v>11</v>
      </c>
      <c r="F228" s="244" t="s">
        <v>733</v>
      </c>
      <c r="G228" s="241"/>
      <c r="H228" s="241" t="s">
        <v>913</v>
      </c>
      <c r="I228" s="241"/>
      <c r="J228" s="244" t="s">
        <v>85</v>
      </c>
      <c r="K228" s="241" t="s">
        <v>914</v>
      </c>
      <c r="L228" s="251">
        <v>44588</v>
      </c>
      <c r="M228" s="252">
        <v>222727</v>
      </c>
      <c r="N228" s="241">
        <v>15</v>
      </c>
      <c r="O228" s="253">
        <f t="shared" si="13"/>
        <v>3340905</v>
      </c>
      <c r="P228" s="253">
        <v>297091</v>
      </c>
      <c r="Q228" s="253">
        <f t="shared" si="14"/>
        <v>4456365</v>
      </c>
    </row>
    <row r="229" spans="2:17">
      <c r="B229" s="200">
        <v>226</v>
      </c>
      <c r="C229" s="237" t="s">
        <v>915</v>
      </c>
      <c r="D229" s="238" t="s">
        <v>916</v>
      </c>
      <c r="E229" s="239" t="s">
        <v>9</v>
      </c>
      <c r="F229" s="240" t="s">
        <v>917</v>
      </c>
      <c r="G229" s="237"/>
      <c r="H229" s="237" t="s">
        <v>918</v>
      </c>
      <c r="I229" s="237"/>
      <c r="J229" s="240" t="s">
        <v>50</v>
      </c>
      <c r="K229" s="237" t="s">
        <v>919</v>
      </c>
      <c r="L229" s="248">
        <v>44594</v>
      </c>
      <c r="M229" s="249">
        <v>254545</v>
      </c>
      <c r="N229" s="237">
        <v>1</v>
      </c>
      <c r="O229" s="250">
        <f t="shared" si="13"/>
        <v>254545</v>
      </c>
      <c r="P229" s="250">
        <v>275000</v>
      </c>
      <c r="Q229" s="250">
        <f t="shared" si="14"/>
        <v>275000</v>
      </c>
    </row>
    <row r="230" spans="2:17">
      <c r="B230" s="200">
        <v>227</v>
      </c>
      <c r="C230" s="237" t="s">
        <v>920</v>
      </c>
      <c r="D230" s="238" t="s">
        <v>916</v>
      </c>
      <c r="E230" s="239" t="s">
        <v>9</v>
      </c>
      <c r="F230" s="240" t="s">
        <v>921</v>
      </c>
      <c r="G230" s="237"/>
      <c r="H230" s="237" t="s">
        <v>922</v>
      </c>
      <c r="I230" s="237"/>
      <c r="J230" s="240" t="s">
        <v>50</v>
      </c>
      <c r="K230" s="237" t="s">
        <v>923</v>
      </c>
      <c r="L230" s="248">
        <v>44594</v>
      </c>
      <c r="M230" s="249">
        <v>254545</v>
      </c>
      <c r="N230" s="237">
        <v>1</v>
      </c>
      <c r="O230" s="250">
        <f t="shared" si="13"/>
        <v>254545</v>
      </c>
      <c r="P230" s="250">
        <v>275000</v>
      </c>
      <c r="Q230" s="250">
        <f t="shared" si="14"/>
        <v>275000</v>
      </c>
    </row>
    <row r="231" spans="2:17">
      <c r="B231" s="200">
        <v>228</v>
      </c>
      <c r="C231" s="237" t="s">
        <v>924</v>
      </c>
      <c r="D231" s="238" t="s">
        <v>916</v>
      </c>
      <c r="E231" s="239" t="s">
        <v>9</v>
      </c>
      <c r="F231" s="240" t="s">
        <v>925</v>
      </c>
      <c r="G231" s="237"/>
      <c r="H231" s="237" t="s">
        <v>926</v>
      </c>
      <c r="I231" s="237"/>
      <c r="J231" s="240" t="s">
        <v>50</v>
      </c>
      <c r="K231" s="237" t="s">
        <v>927</v>
      </c>
      <c r="L231" s="248">
        <v>44594</v>
      </c>
      <c r="M231" s="249">
        <v>254545</v>
      </c>
      <c r="N231" s="237">
        <v>2</v>
      </c>
      <c r="O231" s="250">
        <f t="shared" si="13"/>
        <v>509090</v>
      </c>
      <c r="P231" s="250">
        <v>275000</v>
      </c>
      <c r="Q231" s="250">
        <f t="shared" si="14"/>
        <v>550000</v>
      </c>
    </row>
    <row r="232" spans="2:17">
      <c r="B232" s="200">
        <v>229</v>
      </c>
      <c r="C232" s="237" t="s">
        <v>928</v>
      </c>
      <c r="D232" s="238" t="s">
        <v>929</v>
      </c>
      <c r="E232" s="239" t="s">
        <v>9</v>
      </c>
      <c r="F232" s="240" t="s">
        <v>930</v>
      </c>
      <c r="G232" s="237"/>
      <c r="H232" s="237" t="s">
        <v>931</v>
      </c>
      <c r="I232" s="237"/>
      <c r="J232" s="240" t="s">
        <v>50</v>
      </c>
      <c r="K232" s="237" t="s">
        <v>932</v>
      </c>
      <c r="L232" s="248">
        <v>44594</v>
      </c>
      <c r="M232" s="249">
        <v>254545</v>
      </c>
      <c r="N232" s="237">
        <v>3</v>
      </c>
      <c r="O232" s="250">
        <f t="shared" si="13"/>
        <v>763635</v>
      </c>
      <c r="P232" s="250">
        <v>275000</v>
      </c>
      <c r="Q232" s="250">
        <f t="shared" si="14"/>
        <v>825000</v>
      </c>
    </row>
    <row r="233" spans="2:17">
      <c r="B233" s="200">
        <v>230</v>
      </c>
      <c r="C233" s="237" t="s">
        <v>933</v>
      </c>
      <c r="D233" s="238" t="s">
        <v>929</v>
      </c>
      <c r="E233" s="239" t="s">
        <v>9</v>
      </c>
      <c r="F233" s="240" t="s">
        <v>934</v>
      </c>
      <c r="G233" s="237"/>
      <c r="H233" s="237" t="s">
        <v>931</v>
      </c>
      <c r="I233" s="237"/>
      <c r="J233" s="240" t="s">
        <v>50</v>
      </c>
      <c r="K233" s="237" t="s">
        <v>935</v>
      </c>
      <c r="L233" s="248">
        <v>44594</v>
      </c>
      <c r="M233" s="249">
        <v>254545</v>
      </c>
      <c r="N233" s="237">
        <v>5</v>
      </c>
      <c r="O233" s="250">
        <f t="shared" si="13"/>
        <v>1272725</v>
      </c>
      <c r="P233" s="250">
        <v>275000</v>
      </c>
      <c r="Q233" s="250">
        <f t="shared" si="14"/>
        <v>1375000</v>
      </c>
    </row>
    <row r="234" spans="2:17">
      <c r="B234" s="200">
        <v>231</v>
      </c>
      <c r="C234" s="237" t="s">
        <v>936</v>
      </c>
      <c r="D234" s="238" t="s">
        <v>937</v>
      </c>
      <c r="E234" s="239" t="s">
        <v>10</v>
      </c>
      <c r="F234" s="240" t="s">
        <v>733</v>
      </c>
      <c r="G234" s="237"/>
      <c r="H234" s="237" t="s">
        <v>938</v>
      </c>
      <c r="I234" s="237"/>
      <c r="J234" s="240" t="s">
        <v>85</v>
      </c>
      <c r="K234" s="237" t="s">
        <v>939</v>
      </c>
      <c r="L234" s="248">
        <v>44599</v>
      </c>
      <c r="M234" s="249">
        <v>222727</v>
      </c>
      <c r="N234" s="237">
        <v>12</v>
      </c>
      <c r="O234" s="250">
        <f t="shared" si="13"/>
        <v>2672724</v>
      </c>
      <c r="P234" s="250">
        <v>279091</v>
      </c>
      <c r="Q234" s="250">
        <f t="shared" si="14"/>
        <v>3349092</v>
      </c>
    </row>
    <row r="235" spans="2:17">
      <c r="B235" s="200">
        <v>232</v>
      </c>
      <c r="C235" s="237" t="s">
        <v>940</v>
      </c>
      <c r="D235" s="238">
        <v>4800443057</v>
      </c>
      <c r="E235" s="239" t="s">
        <v>12</v>
      </c>
      <c r="F235" s="240" t="s">
        <v>941</v>
      </c>
      <c r="G235" s="237"/>
      <c r="H235" s="237" t="s">
        <v>942</v>
      </c>
      <c r="I235" s="237"/>
      <c r="J235" s="240" t="s">
        <v>85</v>
      </c>
      <c r="K235" s="237" t="s">
        <v>943</v>
      </c>
      <c r="L235" s="248">
        <v>44599</v>
      </c>
      <c r="M235" s="249">
        <v>222727</v>
      </c>
      <c r="N235" s="237">
        <v>40</v>
      </c>
      <c r="O235" s="250">
        <f t="shared" si="13"/>
        <v>8909080</v>
      </c>
      <c r="P235" s="250">
        <v>265136</v>
      </c>
      <c r="Q235" s="250">
        <f t="shared" si="14"/>
        <v>10605440</v>
      </c>
    </row>
    <row r="236" spans="2:17">
      <c r="B236" s="200">
        <v>233</v>
      </c>
      <c r="C236" s="237" t="s">
        <v>944</v>
      </c>
      <c r="D236" s="238" t="s">
        <v>945</v>
      </c>
      <c r="E236" s="239" t="s">
        <v>82</v>
      </c>
      <c r="F236" s="240" t="s">
        <v>83</v>
      </c>
      <c r="G236" s="237"/>
      <c r="H236" s="237" t="s">
        <v>946</v>
      </c>
      <c r="I236" s="237"/>
      <c r="J236" s="240" t="s">
        <v>85</v>
      </c>
      <c r="K236" s="237" t="s">
        <v>947</v>
      </c>
      <c r="L236" s="248">
        <v>44601</v>
      </c>
      <c r="M236" s="249">
        <v>222727</v>
      </c>
      <c r="N236" s="237">
        <v>250</v>
      </c>
      <c r="O236" s="250">
        <f t="shared" si="13"/>
        <v>55681750</v>
      </c>
      <c r="P236" s="250">
        <v>279090.90999999997</v>
      </c>
      <c r="Q236" s="250">
        <f t="shared" si="14"/>
        <v>69772727.5</v>
      </c>
    </row>
    <row r="237" spans="2:17">
      <c r="B237" s="200">
        <v>234</v>
      </c>
      <c r="C237" s="237" t="s">
        <v>948</v>
      </c>
      <c r="D237" s="238" t="s">
        <v>949</v>
      </c>
      <c r="E237" s="239" t="s">
        <v>9</v>
      </c>
      <c r="F237" s="240" t="s">
        <v>950</v>
      </c>
      <c r="G237" s="237"/>
      <c r="H237" s="237" t="s">
        <v>951</v>
      </c>
      <c r="I237" s="237"/>
      <c r="J237" s="240" t="s">
        <v>50</v>
      </c>
      <c r="K237" s="237" t="s">
        <v>952</v>
      </c>
      <c r="L237" s="248">
        <v>44601</v>
      </c>
      <c r="M237" s="249">
        <v>254545</v>
      </c>
      <c r="N237" s="237">
        <v>3</v>
      </c>
      <c r="O237" s="250">
        <f t="shared" si="13"/>
        <v>763635</v>
      </c>
      <c r="P237" s="250">
        <v>275000</v>
      </c>
      <c r="Q237" s="250">
        <f t="shared" si="14"/>
        <v>825000</v>
      </c>
    </row>
    <row r="238" spans="2:17">
      <c r="B238" s="200">
        <v>235</v>
      </c>
      <c r="C238" s="237" t="s">
        <v>953</v>
      </c>
      <c r="D238" s="238" t="s">
        <v>949</v>
      </c>
      <c r="E238" s="239" t="s">
        <v>9</v>
      </c>
      <c r="F238" s="240" t="s">
        <v>684</v>
      </c>
      <c r="G238" s="237"/>
      <c r="H238" s="237" t="s">
        <v>954</v>
      </c>
      <c r="I238" s="237"/>
      <c r="J238" s="240" t="s">
        <v>50</v>
      </c>
      <c r="K238" s="237" t="s">
        <v>955</v>
      </c>
      <c r="L238" s="248">
        <v>44601</v>
      </c>
      <c r="M238" s="249">
        <v>254545</v>
      </c>
      <c r="N238" s="237">
        <v>1</v>
      </c>
      <c r="O238" s="250">
        <f t="shared" si="13"/>
        <v>254545</v>
      </c>
      <c r="P238" s="250">
        <v>275000</v>
      </c>
      <c r="Q238" s="250">
        <f t="shared" si="14"/>
        <v>275000</v>
      </c>
    </row>
    <row r="239" spans="2:17">
      <c r="B239" s="200">
        <v>236</v>
      </c>
      <c r="C239" s="237" t="s">
        <v>956</v>
      </c>
      <c r="D239" s="238" t="s">
        <v>949</v>
      </c>
      <c r="E239" s="239" t="s">
        <v>9</v>
      </c>
      <c r="F239" s="240" t="s">
        <v>957</v>
      </c>
      <c r="G239" s="237"/>
      <c r="H239" s="237" t="s">
        <v>958</v>
      </c>
      <c r="I239" s="237"/>
      <c r="J239" s="240" t="s">
        <v>50</v>
      </c>
      <c r="K239" s="237" t="s">
        <v>959</v>
      </c>
      <c r="L239" s="248">
        <v>44601</v>
      </c>
      <c r="M239" s="249">
        <v>254545</v>
      </c>
      <c r="N239" s="237">
        <v>9</v>
      </c>
      <c r="O239" s="250">
        <f t="shared" si="13"/>
        <v>2290905</v>
      </c>
      <c r="P239" s="250">
        <v>275000</v>
      </c>
      <c r="Q239" s="250">
        <f t="shared" si="14"/>
        <v>2475000</v>
      </c>
    </row>
    <row r="240" spans="2:17">
      <c r="B240" s="200">
        <v>237</v>
      </c>
      <c r="C240" s="237" t="s">
        <v>960</v>
      </c>
      <c r="D240" s="238" t="s">
        <v>949</v>
      </c>
      <c r="E240" s="239" t="s">
        <v>9</v>
      </c>
      <c r="F240" s="240" t="s">
        <v>961</v>
      </c>
      <c r="G240" s="237"/>
      <c r="H240" s="237" t="s">
        <v>951</v>
      </c>
      <c r="I240" s="237"/>
      <c r="J240" s="240" t="s">
        <v>50</v>
      </c>
      <c r="K240" s="237" t="s">
        <v>962</v>
      </c>
      <c r="L240" s="248">
        <v>44601</v>
      </c>
      <c r="M240" s="249">
        <v>254545</v>
      </c>
      <c r="N240" s="237">
        <v>2</v>
      </c>
      <c r="O240" s="250">
        <f t="shared" si="13"/>
        <v>509090</v>
      </c>
      <c r="P240" s="250">
        <v>275000</v>
      </c>
      <c r="Q240" s="250">
        <f t="shared" si="14"/>
        <v>550000</v>
      </c>
    </row>
    <row r="241" spans="2:17">
      <c r="B241" s="200">
        <v>238</v>
      </c>
      <c r="C241" s="237" t="s">
        <v>963</v>
      </c>
      <c r="D241" s="238">
        <v>4800443987</v>
      </c>
      <c r="E241" s="239" t="s">
        <v>12</v>
      </c>
      <c r="F241" s="240" t="s">
        <v>466</v>
      </c>
      <c r="G241" s="237"/>
      <c r="H241" s="237" t="s">
        <v>964</v>
      </c>
      <c r="I241" s="237"/>
      <c r="J241" s="240" t="s">
        <v>85</v>
      </c>
      <c r="K241" s="237" t="s">
        <v>965</v>
      </c>
      <c r="L241" s="248">
        <v>44607</v>
      </c>
      <c r="M241" s="249">
        <v>222727</v>
      </c>
      <c r="N241" s="237">
        <v>8</v>
      </c>
      <c r="O241" s="250">
        <f t="shared" si="13"/>
        <v>1781816</v>
      </c>
      <c r="P241" s="250">
        <v>265136</v>
      </c>
      <c r="Q241" s="250">
        <f t="shared" si="14"/>
        <v>2121088</v>
      </c>
    </row>
    <row r="242" spans="2:17">
      <c r="B242" s="200">
        <v>239</v>
      </c>
      <c r="C242" s="237" t="s">
        <v>966</v>
      </c>
      <c r="D242" s="238" t="s">
        <v>967</v>
      </c>
      <c r="E242" s="239" t="s">
        <v>11</v>
      </c>
      <c r="F242" s="240" t="s">
        <v>880</v>
      </c>
      <c r="G242" s="237"/>
      <c r="H242" s="237" t="s">
        <v>968</v>
      </c>
      <c r="I242" s="237"/>
      <c r="J242" s="240" t="s">
        <v>886</v>
      </c>
      <c r="K242" s="237" t="s">
        <v>969</v>
      </c>
      <c r="L242" s="248">
        <v>44607</v>
      </c>
      <c r="M242" s="249">
        <v>184875</v>
      </c>
      <c r="N242" s="237">
        <v>25</v>
      </c>
      <c r="O242" s="250">
        <f t="shared" si="13"/>
        <v>4621875</v>
      </c>
      <c r="P242" s="250">
        <v>201682</v>
      </c>
      <c r="Q242" s="250">
        <f t="shared" si="14"/>
        <v>5042050</v>
      </c>
    </row>
    <row r="243" spans="2:17">
      <c r="B243" s="200">
        <v>240</v>
      </c>
      <c r="C243" s="237" t="s">
        <v>970</v>
      </c>
      <c r="D243" s="238" t="s">
        <v>971</v>
      </c>
      <c r="E243" s="239" t="s">
        <v>10</v>
      </c>
      <c r="F243" s="240" t="s">
        <v>814</v>
      </c>
      <c r="G243" s="237" t="s">
        <v>972</v>
      </c>
      <c r="H243" s="237" t="s">
        <v>2</v>
      </c>
      <c r="I243" s="237"/>
      <c r="J243" s="240" t="s">
        <v>816</v>
      </c>
      <c r="K243" s="237" t="s">
        <v>973</v>
      </c>
      <c r="L243" s="248">
        <v>44607</v>
      </c>
      <c r="M243" s="249">
        <v>22727</v>
      </c>
      <c r="N243" s="237">
        <v>120</v>
      </c>
      <c r="O243" s="250">
        <f t="shared" si="13"/>
        <v>2727240</v>
      </c>
      <c r="P243" s="250">
        <v>29090.91</v>
      </c>
      <c r="Q243" s="250">
        <f t="shared" si="14"/>
        <v>3490909.2</v>
      </c>
    </row>
    <row r="244" spans="2:17">
      <c r="B244" s="200">
        <v>241</v>
      </c>
      <c r="C244" s="237" t="s">
        <v>974</v>
      </c>
      <c r="D244" s="238">
        <v>81314</v>
      </c>
      <c r="E244" s="239" t="s">
        <v>17</v>
      </c>
      <c r="F244" s="240" t="s">
        <v>114</v>
      </c>
      <c r="G244" s="237"/>
      <c r="H244" s="237" t="s">
        <v>975</v>
      </c>
      <c r="I244" s="237"/>
      <c r="J244" s="240" t="s">
        <v>85</v>
      </c>
      <c r="K244" s="237" t="s">
        <v>116</v>
      </c>
      <c r="L244" s="248">
        <v>44609</v>
      </c>
      <c r="M244" s="249">
        <v>171818</v>
      </c>
      <c r="N244" s="237">
        <v>20</v>
      </c>
      <c r="O244" s="250">
        <f t="shared" si="13"/>
        <v>3436360</v>
      </c>
      <c r="P244" s="250">
        <v>279090.90999999997</v>
      </c>
      <c r="Q244" s="250">
        <f t="shared" si="14"/>
        <v>5581818.1999999993</v>
      </c>
    </row>
    <row r="245" spans="2:17">
      <c r="B245" s="200">
        <v>242</v>
      </c>
      <c r="C245" s="237" t="s">
        <v>976</v>
      </c>
      <c r="D245" s="238">
        <v>81314</v>
      </c>
      <c r="E245" s="239" t="s">
        <v>17</v>
      </c>
      <c r="F245" s="240" t="s">
        <v>114</v>
      </c>
      <c r="G245" s="237"/>
      <c r="H245" s="237" t="s">
        <v>975</v>
      </c>
      <c r="I245" s="237"/>
      <c r="J245" s="240" t="s">
        <v>92</v>
      </c>
      <c r="K245" s="237" t="s">
        <v>118</v>
      </c>
      <c r="L245" s="248">
        <v>44609</v>
      </c>
      <c r="M245" s="249">
        <v>40909</v>
      </c>
      <c r="N245" s="237">
        <v>20</v>
      </c>
      <c r="O245" s="250">
        <f t="shared" si="13"/>
        <v>818180</v>
      </c>
      <c r="P245" s="250">
        <v>58181.82</v>
      </c>
      <c r="Q245" s="250">
        <f t="shared" si="14"/>
        <v>1163636.3999999999</v>
      </c>
    </row>
    <row r="246" spans="2:17">
      <c r="B246" s="200">
        <v>243</v>
      </c>
      <c r="C246" s="237" t="s">
        <v>977</v>
      </c>
      <c r="D246" s="238" t="s">
        <v>978</v>
      </c>
      <c r="E246" s="239" t="s">
        <v>9</v>
      </c>
      <c r="F246" s="240" t="s">
        <v>979</v>
      </c>
      <c r="G246" s="237"/>
      <c r="H246" s="237" t="s">
        <v>801</v>
      </c>
      <c r="I246" s="237"/>
      <c r="J246" s="240" t="s">
        <v>50</v>
      </c>
      <c r="K246" s="237" t="s">
        <v>980</v>
      </c>
      <c r="L246" s="248">
        <v>44609</v>
      </c>
      <c r="M246" s="249">
        <v>254545</v>
      </c>
      <c r="N246" s="237">
        <v>1</v>
      </c>
      <c r="O246" s="250">
        <f t="shared" si="13"/>
        <v>254545</v>
      </c>
      <c r="P246" s="250">
        <v>275000</v>
      </c>
      <c r="Q246" s="250">
        <f t="shared" si="14"/>
        <v>275000</v>
      </c>
    </row>
    <row r="247" spans="2:17">
      <c r="B247" s="200">
        <v>244</v>
      </c>
      <c r="C247" s="237" t="s">
        <v>981</v>
      </c>
      <c r="D247" s="238" t="s">
        <v>978</v>
      </c>
      <c r="E247" s="239" t="s">
        <v>9</v>
      </c>
      <c r="F247" s="240" t="s">
        <v>982</v>
      </c>
      <c r="G247" s="237"/>
      <c r="H247" s="237" t="s">
        <v>983</v>
      </c>
      <c r="I247" s="237"/>
      <c r="J247" s="240" t="s">
        <v>50</v>
      </c>
      <c r="K247" s="237" t="s">
        <v>984</v>
      </c>
      <c r="L247" s="248">
        <v>44609</v>
      </c>
      <c r="M247" s="249">
        <v>254545</v>
      </c>
      <c r="N247" s="237">
        <v>1</v>
      </c>
      <c r="O247" s="250">
        <f t="shared" si="13"/>
        <v>254545</v>
      </c>
      <c r="P247" s="250">
        <v>275000</v>
      </c>
      <c r="Q247" s="250">
        <f t="shared" si="14"/>
        <v>275000</v>
      </c>
    </row>
    <row r="248" spans="2:17">
      <c r="B248" s="200">
        <v>245</v>
      </c>
      <c r="C248" s="237" t="s">
        <v>985</v>
      </c>
      <c r="D248" s="238" t="s">
        <v>978</v>
      </c>
      <c r="E248" s="239" t="s">
        <v>9</v>
      </c>
      <c r="F248" s="240" t="s">
        <v>986</v>
      </c>
      <c r="G248" s="237"/>
      <c r="H248" s="237" t="s">
        <v>983</v>
      </c>
      <c r="I248" s="237"/>
      <c r="J248" s="240" t="s">
        <v>50</v>
      </c>
      <c r="K248" s="237" t="s">
        <v>987</v>
      </c>
      <c r="L248" s="248">
        <v>44609</v>
      </c>
      <c r="M248" s="249">
        <v>254545</v>
      </c>
      <c r="N248" s="237">
        <v>4</v>
      </c>
      <c r="O248" s="250">
        <f t="shared" si="13"/>
        <v>1018180</v>
      </c>
      <c r="P248" s="250">
        <v>275000</v>
      </c>
      <c r="Q248" s="250">
        <f t="shared" si="14"/>
        <v>1100000</v>
      </c>
    </row>
    <row r="249" spans="2:17">
      <c r="B249" s="200">
        <v>246</v>
      </c>
      <c r="C249" s="237" t="s">
        <v>988</v>
      </c>
      <c r="D249" s="238" t="s">
        <v>989</v>
      </c>
      <c r="E249" s="239" t="s">
        <v>16</v>
      </c>
      <c r="F249" s="240" t="s">
        <v>165</v>
      </c>
      <c r="G249" s="237"/>
      <c r="H249" s="237" t="s">
        <v>990</v>
      </c>
      <c r="I249" s="237"/>
      <c r="J249" s="240" t="s">
        <v>85</v>
      </c>
      <c r="K249" s="237" t="s">
        <v>991</v>
      </c>
      <c r="L249" s="248">
        <v>44613</v>
      </c>
      <c r="M249" s="249">
        <v>222727</v>
      </c>
      <c r="N249" s="237">
        <v>160</v>
      </c>
      <c r="O249" s="250">
        <f t="shared" si="13"/>
        <v>35636320</v>
      </c>
      <c r="P249" s="250">
        <v>279090.90999999997</v>
      </c>
      <c r="Q249" s="250">
        <f t="shared" si="14"/>
        <v>44654545.599999994</v>
      </c>
    </row>
    <row r="250" spans="2:17">
      <c r="B250" s="200">
        <v>247</v>
      </c>
      <c r="C250" s="237" t="s">
        <v>992</v>
      </c>
      <c r="D250" s="238" t="s">
        <v>978</v>
      </c>
      <c r="E250" s="239" t="s">
        <v>9</v>
      </c>
      <c r="F250" s="240" t="s">
        <v>445</v>
      </c>
      <c r="G250" s="237"/>
      <c r="H250" s="237" t="s">
        <v>993</v>
      </c>
      <c r="I250" s="237"/>
      <c r="J250" s="240" t="s">
        <v>50</v>
      </c>
      <c r="K250" s="237" t="s">
        <v>994</v>
      </c>
      <c r="L250" s="248">
        <v>44613</v>
      </c>
      <c r="M250" s="249">
        <v>254545</v>
      </c>
      <c r="N250" s="237">
        <v>3</v>
      </c>
      <c r="O250" s="250">
        <f t="shared" si="13"/>
        <v>763635</v>
      </c>
      <c r="P250" s="250">
        <v>275000</v>
      </c>
      <c r="Q250" s="250">
        <f t="shared" si="14"/>
        <v>825000</v>
      </c>
    </row>
    <row r="251" spans="2:17">
      <c r="B251" s="200">
        <v>248</v>
      </c>
      <c r="C251" s="237" t="s">
        <v>995</v>
      </c>
      <c r="D251" s="238" t="s">
        <v>978</v>
      </c>
      <c r="E251" s="239" t="s">
        <v>9</v>
      </c>
      <c r="F251" s="240" t="s">
        <v>445</v>
      </c>
      <c r="G251" s="237"/>
      <c r="H251" s="237" t="s">
        <v>996</v>
      </c>
      <c r="I251" s="237"/>
      <c r="J251" s="240" t="s">
        <v>50</v>
      </c>
      <c r="K251" s="237" t="s">
        <v>997</v>
      </c>
      <c r="L251" s="248">
        <v>44613</v>
      </c>
      <c r="M251" s="249">
        <v>254545</v>
      </c>
      <c r="N251" s="237">
        <v>3</v>
      </c>
      <c r="O251" s="250">
        <f t="shared" si="13"/>
        <v>763635</v>
      </c>
      <c r="P251" s="250">
        <v>275000</v>
      </c>
      <c r="Q251" s="250">
        <f t="shared" si="14"/>
        <v>825000</v>
      </c>
    </row>
    <row r="252" spans="2:17">
      <c r="B252" s="200">
        <v>249</v>
      </c>
      <c r="C252" s="237" t="s">
        <v>998</v>
      </c>
      <c r="D252" s="238" t="s">
        <v>978</v>
      </c>
      <c r="E252" s="239" t="s">
        <v>9</v>
      </c>
      <c r="F252" s="240" t="s">
        <v>999</v>
      </c>
      <c r="G252" s="237"/>
      <c r="H252" s="237" t="s">
        <v>1000</v>
      </c>
      <c r="I252" s="237"/>
      <c r="J252" s="240" t="s">
        <v>50</v>
      </c>
      <c r="K252" s="237" t="s">
        <v>1001</v>
      </c>
      <c r="L252" s="248">
        <v>44613</v>
      </c>
      <c r="M252" s="249">
        <v>254545</v>
      </c>
      <c r="N252" s="237">
        <v>2</v>
      </c>
      <c r="O252" s="250">
        <f t="shared" si="13"/>
        <v>509090</v>
      </c>
      <c r="P252" s="250">
        <v>275000</v>
      </c>
      <c r="Q252" s="250">
        <f t="shared" si="14"/>
        <v>550000</v>
      </c>
    </row>
    <row r="253" spans="2:17">
      <c r="B253" s="200">
        <v>250</v>
      </c>
      <c r="C253" s="237" t="s">
        <v>1002</v>
      </c>
      <c r="D253" s="238" t="s">
        <v>978</v>
      </c>
      <c r="E253" s="239" t="s">
        <v>9</v>
      </c>
      <c r="F253" s="240" t="s">
        <v>1003</v>
      </c>
      <c r="G253" s="237"/>
      <c r="H253" s="237" t="s">
        <v>996</v>
      </c>
      <c r="I253" s="237"/>
      <c r="J253" s="240" t="s">
        <v>50</v>
      </c>
      <c r="K253" s="237" t="s">
        <v>1004</v>
      </c>
      <c r="L253" s="248">
        <v>44613</v>
      </c>
      <c r="M253" s="249">
        <v>254545</v>
      </c>
      <c r="N253" s="237">
        <v>8</v>
      </c>
      <c r="O253" s="250">
        <f t="shared" si="13"/>
        <v>2036360</v>
      </c>
      <c r="P253" s="250">
        <v>275000</v>
      </c>
      <c r="Q253" s="250">
        <f t="shared" si="14"/>
        <v>2200000</v>
      </c>
    </row>
    <row r="254" spans="2:17">
      <c r="B254" s="200">
        <v>251</v>
      </c>
      <c r="C254" s="237" t="s">
        <v>1005</v>
      </c>
      <c r="D254" s="238" t="s">
        <v>978</v>
      </c>
      <c r="E254" s="239" t="s">
        <v>9</v>
      </c>
      <c r="F254" s="240" t="s">
        <v>1006</v>
      </c>
      <c r="G254" s="237"/>
      <c r="H254" s="237" t="s">
        <v>1000</v>
      </c>
      <c r="I254" s="237"/>
      <c r="J254" s="240" t="s">
        <v>50</v>
      </c>
      <c r="K254" s="237" t="s">
        <v>1007</v>
      </c>
      <c r="L254" s="248">
        <v>44613</v>
      </c>
      <c r="M254" s="249">
        <v>254545</v>
      </c>
      <c r="N254" s="237">
        <v>1</v>
      </c>
      <c r="O254" s="250">
        <f t="shared" si="13"/>
        <v>254545</v>
      </c>
      <c r="P254" s="250">
        <v>275000</v>
      </c>
      <c r="Q254" s="250">
        <f t="shared" si="14"/>
        <v>275000</v>
      </c>
    </row>
    <row r="255" spans="2:17">
      <c r="B255" s="200">
        <v>252</v>
      </c>
      <c r="C255" s="237" t="s">
        <v>1008</v>
      </c>
      <c r="D255" s="238" t="s">
        <v>1009</v>
      </c>
      <c r="E255" s="239" t="s">
        <v>9</v>
      </c>
      <c r="F255" s="240" t="s">
        <v>925</v>
      </c>
      <c r="G255" s="237"/>
      <c r="H255" s="237" t="s">
        <v>1010</v>
      </c>
      <c r="I255" s="237"/>
      <c r="J255" s="240" t="s">
        <v>50</v>
      </c>
      <c r="K255" s="237" t="s">
        <v>1011</v>
      </c>
      <c r="L255" s="248">
        <v>44617</v>
      </c>
      <c r="M255" s="249">
        <v>254545</v>
      </c>
      <c r="N255" s="237">
        <v>3</v>
      </c>
      <c r="O255" s="250">
        <f t="shared" si="13"/>
        <v>763635</v>
      </c>
      <c r="P255" s="250">
        <v>275000</v>
      </c>
      <c r="Q255" s="250">
        <f t="shared" si="14"/>
        <v>825000</v>
      </c>
    </row>
    <row r="256" spans="2:17">
      <c r="B256" s="200">
        <v>253</v>
      </c>
      <c r="C256" s="237" t="s">
        <v>1012</v>
      </c>
      <c r="D256" s="238" t="s">
        <v>1009</v>
      </c>
      <c r="E256" s="239" t="s">
        <v>9</v>
      </c>
      <c r="F256" s="240" t="s">
        <v>1013</v>
      </c>
      <c r="G256" s="237"/>
      <c r="H256" s="237" t="s">
        <v>1010</v>
      </c>
      <c r="I256" s="237"/>
      <c r="J256" s="240" t="s">
        <v>50</v>
      </c>
      <c r="K256" s="237" t="s">
        <v>1014</v>
      </c>
      <c r="L256" s="248">
        <v>44617</v>
      </c>
      <c r="M256" s="249">
        <v>254545</v>
      </c>
      <c r="N256" s="237">
        <v>2</v>
      </c>
      <c r="O256" s="250">
        <f t="shared" si="13"/>
        <v>509090</v>
      </c>
      <c r="P256" s="250">
        <v>275000</v>
      </c>
      <c r="Q256" s="250">
        <f t="shared" si="14"/>
        <v>550000</v>
      </c>
    </row>
    <row r="257" spans="2:17">
      <c r="B257" s="200">
        <v>254</v>
      </c>
      <c r="C257" s="237" t="s">
        <v>1015</v>
      </c>
      <c r="D257" s="238" t="s">
        <v>1016</v>
      </c>
      <c r="E257" s="239" t="s">
        <v>10</v>
      </c>
      <c r="F257" s="240" t="s">
        <v>814</v>
      </c>
      <c r="G257" s="237"/>
      <c r="H257" s="237" t="s">
        <v>1017</v>
      </c>
      <c r="I257" s="237"/>
      <c r="J257" s="240" t="s">
        <v>85</v>
      </c>
      <c r="K257" s="237" t="s">
        <v>1018</v>
      </c>
      <c r="L257" s="248">
        <v>44617</v>
      </c>
      <c r="M257" s="249">
        <v>222727</v>
      </c>
      <c r="N257" s="237">
        <v>297</v>
      </c>
      <c r="O257" s="250">
        <f t="shared" si="13"/>
        <v>66149919</v>
      </c>
      <c r="P257" s="250">
        <v>279090.90999999997</v>
      </c>
      <c r="Q257" s="250">
        <f t="shared" si="14"/>
        <v>82890000.269999996</v>
      </c>
    </row>
    <row r="258" spans="2:17">
      <c r="B258" s="200">
        <v>255</v>
      </c>
      <c r="C258" s="241" t="s">
        <v>1019</v>
      </c>
      <c r="D258" s="242" t="s">
        <v>1020</v>
      </c>
      <c r="E258" s="243" t="s">
        <v>9</v>
      </c>
      <c r="F258" s="244" t="s">
        <v>1021</v>
      </c>
      <c r="G258" s="241"/>
      <c r="H258" s="241" t="s">
        <v>1022</v>
      </c>
      <c r="I258" s="241"/>
      <c r="J258" s="244" t="s">
        <v>50</v>
      </c>
      <c r="K258" s="241" t="s">
        <v>1023</v>
      </c>
      <c r="L258" s="251">
        <v>44628</v>
      </c>
      <c r="M258" s="252">
        <v>254545</v>
      </c>
      <c r="N258" s="241">
        <v>1</v>
      </c>
      <c r="O258" s="253">
        <f t="shared" si="13"/>
        <v>254545</v>
      </c>
      <c r="P258" s="253">
        <v>275000</v>
      </c>
      <c r="Q258" s="253">
        <f t="shared" si="14"/>
        <v>275000</v>
      </c>
    </row>
    <row r="259" spans="2:17">
      <c r="B259" s="200">
        <v>256</v>
      </c>
      <c r="C259" s="241" t="s">
        <v>1024</v>
      </c>
      <c r="D259" s="242" t="s">
        <v>1020</v>
      </c>
      <c r="E259" s="243" t="s">
        <v>9</v>
      </c>
      <c r="F259" s="244" t="s">
        <v>1025</v>
      </c>
      <c r="G259" s="241"/>
      <c r="H259" s="241" t="s">
        <v>1026</v>
      </c>
      <c r="I259" s="241"/>
      <c r="J259" s="244" t="s">
        <v>50</v>
      </c>
      <c r="K259" s="241" t="s">
        <v>1027</v>
      </c>
      <c r="L259" s="251">
        <v>44628</v>
      </c>
      <c r="M259" s="252">
        <v>254545</v>
      </c>
      <c r="N259" s="241">
        <v>1</v>
      </c>
      <c r="O259" s="253">
        <f t="shared" si="13"/>
        <v>254545</v>
      </c>
      <c r="P259" s="253">
        <v>275000</v>
      </c>
      <c r="Q259" s="253">
        <f t="shared" si="14"/>
        <v>275000</v>
      </c>
    </row>
    <row r="260" spans="2:17">
      <c r="B260" s="200">
        <v>257</v>
      </c>
      <c r="C260" s="241" t="s">
        <v>1028</v>
      </c>
      <c r="D260" s="242" t="s">
        <v>1020</v>
      </c>
      <c r="E260" s="243" t="s">
        <v>9</v>
      </c>
      <c r="F260" s="244" t="s">
        <v>1029</v>
      </c>
      <c r="G260" s="241"/>
      <c r="H260" s="241" t="s">
        <v>1030</v>
      </c>
      <c r="I260" s="241"/>
      <c r="J260" s="244" t="s">
        <v>50</v>
      </c>
      <c r="K260" s="241" t="s">
        <v>1031</v>
      </c>
      <c r="L260" s="251">
        <v>44628</v>
      </c>
      <c r="M260" s="252">
        <v>254545</v>
      </c>
      <c r="N260" s="241">
        <v>2</v>
      </c>
      <c r="O260" s="253">
        <f t="shared" si="13"/>
        <v>509090</v>
      </c>
      <c r="P260" s="253">
        <v>275000</v>
      </c>
      <c r="Q260" s="253">
        <f t="shared" si="14"/>
        <v>550000</v>
      </c>
    </row>
    <row r="261" spans="2:17">
      <c r="B261" s="200">
        <v>258</v>
      </c>
      <c r="C261" s="241" t="s">
        <v>1032</v>
      </c>
      <c r="D261" s="242" t="s">
        <v>1020</v>
      </c>
      <c r="E261" s="243" t="s">
        <v>9</v>
      </c>
      <c r="F261" s="244" t="s">
        <v>1033</v>
      </c>
      <c r="G261" s="241"/>
      <c r="H261" s="241" t="s">
        <v>1030</v>
      </c>
      <c r="I261" s="241"/>
      <c r="J261" s="244" t="s">
        <v>50</v>
      </c>
      <c r="K261" s="241" t="s">
        <v>1034</v>
      </c>
      <c r="L261" s="251">
        <v>44628</v>
      </c>
      <c r="M261" s="252">
        <v>254545</v>
      </c>
      <c r="N261" s="241">
        <v>1</v>
      </c>
      <c r="O261" s="253">
        <f t="shared" si="13"/>
        <v>254545</v>
      </c>
      <c r="P261" s="253">
        <v>275000</v>
      </c>
      <c r="Q261" s="253">
        <f t="shared" si="14"/>
        <v>275000</v>
      </c>
    </row>
    <row r="262" spans="2:17">
      <c r="B262" s="200">
        <v>259</v>
      </c>
      <c r="C262" s="241" t="s">
        <v>1035</v>
      </c>
      <c r="D262" s="242" t="s">
        <v>1036</v>
      </c>
      <c r="E262" s="243" t="s">
        <v>11</v>
      </c>
      <c r="F262" s="244" t="s">
        <v>880</v>
      </c>
      <c r="G262" s="241"/>
      <c r="H262" s="241" t="s">
        <v>1037</v>
      </c>
      <c r="I262" s="241"/>
      <c r="J262" s="244" t="s">
        <v>1038</v>
      </c>
      <c r="K262" s="241" t="s">
        <v>1039</v>
      </c>
      <c r="L262" s="251">
        <v>44629</v>
      </c>
      <c r="M262" s="252">
        <v>184875</v>
      </c>
      <c r="N262" s="241">
        <v>15</v>
      </c>
      <c r="O262" s="253">
        <f t="shared" si="13"/>
        <v>2773125</v>
      </c>
      <c r="P262" s="253">
        <v>201682</v>
      </c>
      <c r="Q262" s="253">
        <f t="shared" si="14"/>
        <v>3025230</v>
      </c>
    </row>
    <row r="263" spans="2:17">
      <c r="B263" s="200">
        <v>260</v>
      </c>
      <c r="C263" s="241" t="s">
        <v>1040</v>
      </c>
      <c r="D263" s="242" t="s">
        <v>1041</v>
      </c>
      <c r="E263" s="243" t="s">
        <v>9</v>
      </c>
      <c r="F263" s="244" t="s">
        <v>1042</v>
      </c>
      <c r="G263" s="241"/>
      <c r="H263" s="241" t="s">
        <v>1043</v>
      </c>
      <c r="I263" s="241"/>
      <c r="J263" s="244" t="s">
        <v>50</v>
      </c>
      <c r="K263" s="241" t="s">
        <v>1044</v>
      </c>
      <c r="L263" s="251">
        <v>44631</v>
      </c>
      <c r="M263" s="252">
        <v>254545</v>
      </c>
      <c r="N263" s="241">
        <v>1</v>
      </c>
      <c r="O263" s="253">
        <f t="shared" si="13"/>
        <v>254545</v>
      </c>
      <c r="P263" s="253">
        <v>275000</v>
      </c>
      <c r="Q263" s="253">
        <f t="shared" si="14"/>
        <v>275000</v>
      </c>
    </row>
    <row r="264" spans="2:17">
      <c r="B264" s="200">
        <v>261</v>
      </c>
      <c r="C264" s="241" t="s">
        <v>1045</v>
      </c>
      <c r="D264" s="242" t="s">
        <v>1046</v>
      </c>
      <c r="E264" s="243" t="s">
        <v>9</v>
      </c>
      <c r="F264" s="244" t="s">
        <v>1047</v>
      </c>
      <c r="G264" s="241"/>
      <c r="H264" s="241" t="s">
        <v>1048</v>
      </c>
      <c r="I264" s="241"/>
      <c r="J264" s="244" t="s">
        <v>50</v>
      </c>
      <c r="K264" s="241" t="s">
        <v>1049</v>
      </c>
      <c r="L264" s="251">
        <v>44635</v>
      </c>
      <c r="M264" s="252">
        <v>254545</v>
      </c>
      <c r="N264" s="241">
        <v>1</v>
      </c>
      <c r="O264" s="253">
        <f t="shared" si="13"/>
        <v>254545</v>
      </c>
      <c r="P264" s="253">
        <v>275000</v>
      </c>
      <c r="Q264" s="253">
        <f t="shared" si="14"/>
        <v>275000</v>
      </c>
    </row>
    <row r="265" spans="2:17">
      <c r="B265" s="200">
        <v>262</v>
      </c>
      <c r="C265" s="241" t="s">
        <v>1050</v>
      </c>
      <c r="D265" s="242" t="s">
        <v>1046</v>
      </c>
      <c r="E265" s="243" t="s">
        <v>9</v>
      </c>
      <c r="F265" s="244" t="s">
        <v>1051</v>
      </c>
      <c r="G265" s="241"/>
      <c r="H265" s="241" t="s">
        <v>1048</v>
      </c>
      <c r="I265" s="241"/>
      <c r="J265" s="244" t="s">
        <v>50</v>
      </c>
      <c r="K265" s="241" t="s">
        <v>1052</v>
      </c>
      <c r="L265" s="251">
        <v>44635</v>
      </c>
      <c r="M265" s="252">
        <v>254545</v>
      </c>
      <c r="N265" s="241">
        <v>1</v>
      </c>
      <c r="O265" s="253">
        <f t="shared" si="13"/>
        <v>254545</v>
      </c>
      <c r="P265" s="253">
        <v>275000</v>
      </c>
      <c r="Q265" s="253">
        <f t="shared" si="14"/>
        <v>275000</v>
      </c>
    </row>
    <row r="266" spans="2:17">
      <c r="B266" s="200">
        <v>263</v>
      </c>
      <c r="C266" s="241" t="s">
        <v>1053</v>
      </c>
      <c r="D266" s="242" t="s">
        <v>1054</v>
      </c>
      <c r="E266" s="243" t="s">
        <v>6</v>
      </c>
      <c r="F266" s="244" t="s">
        <v>509</v>
      </c>
      <c r="G266" s="241"/>
      <c r="H266" s="241" t="s">
        <v>1055</v>
      </c>
      <c r="I266" s="241"/>
      <c r="J266" s="244" t="s">
        <v>50</v>
      </c>
      <c r="K266" s="241" t="s">
        <v>1056</v>
      </c>
      <c r="L266" s="251">
        <v>44637</v>
      </c>
      <c r="M266" s="252">
        <v>444545</v>
      </c>
      <c r="N266" s="241">
        <v>116</v>
      </c>
      <c r="O266" s="253">
        <f t="shared" si="13"/>
        <v>51567220</v>
      </c>
      <c r="P266" s="253">
        <v>556363.64</v>
      </c>
      <c r="Q266" s="253">
        <f t="shared" si="14"/>
        <v>64538182.240000002</v>
      </c>
    </row>
    <row r="267" spans="2:17">
      <c r="B267" s="200">
        <v>264</v>
      </c>
      <c r="C267" s="241" t="s">
        <v>1057</v>
      </c>
      <c r="D267" s="242" t="s">
        <v>1058</v>
      </c>
      <c r="E267" s="243" t="s">
        <v>9</v>
      </c>
      <c r="F267" s="244" t="s">
        <v>1059</v>
      </c>
      <c r="G267" s="241"/>
      <c r="H267" s="241" t="s">
        <v>1060</v>
      </c>
      <c r="I267" s="241"/>
      <c r="J267" s="244" t="s">
        <v>50</v>
      </c>
      <c r="K267" s="241" t="s">
        <v>1061</v>
      </c>
      <c r="L267" s="251">
        <v>44641</v>
      </c>
      <c r="M267" s="252">
        <v>254545</v>
      </c>
      <c r="N267" s="241">
        <v>7</v>
      </c>
      <c r="O267" s="253">
        <f t="shared" si="13"/>
        <v>1781815</v>
      </c>
      <c r="P267" s="253">
        <v>275000</v>
      </c>
      <c r="Q267" s="253">
        <f t="shared" si="14"/>
        <v>1925000</v>
      </c>
    </row>
    <row r="268" spans="2:17">
      <c r="B268" s="200">
        <v>265</v>
      </c>
      <c r="C268" s="241" t="s">
        <v>1062</v>
      </c>
      <c r="D268" s="242" t="s">
        <v>1058</v>
      </c>
      <c r="E268" s="243" t="s">
        <v>9</v>
      </c>
      <c r="F268" s="244" t="s">
        <v>1063</v>
      </c>
      <c r="G268" s="241"/>
      <c r="H268" s="241" t="s">
        <v>1060</v>
      </c>
      <c r="I268" s="241"/>
      <c r="J268" s="244" t="s">
        <v>50</v>
      </c>
      <c r="K268" s="241" t="s">
        <v>1064</v>
      </c>
      <c r="L268" s="251">
        <v>44641</v>
      </c>
      <c r="M268" s="252">
        <v>254545</v>
      </c>
      <c r="N268" s="241">
        <v>2</v>
      </c>
      <c r="O268" s="253">
        <f t="shared" si="13"/>
        <v>509090</v>
      </c>
      <c r="P268" s="253">
        <v>275000</v>
      </c>
      <c r="Q268" s="253">
        <f t="shared" si="14"/>
        <v>550000</v>
      </c>
    </row>
    <row r="269" spans="2:17">
      <c r="B269" s="200">
        <v>266</v>
      </c>
      <c r="C269" s="241" t="s">
        <v>1065</v>
      </c>
      <c r="D269" s="242" t="s">
        <v>1058</v>
      </c>
      <c r="E269" s="243" t="s">
        <v>9</v>
      </c>
      <c r="F269" s="244" t="s">
        <v>832</v>
      </c>
      <c r="G269" s="241"/>
      <c r="H269" s="241" t="s">
        <v>1060</v>
      </c>
      <c r="I269" s="241"/>
      <c r="J269" s="244" t="s">
        <v>50</v>
      </c>
      <c r="K269" s="241" t="s">
        <v>1066</v>
      </c>
      <c r="L269" s="251">
        <v>44641</v>
      </c>
      <c r="M269" s="252">
        <v>254545</v>
      </c>
      <c r="N269" s="241">
        <v>3</v>
      </c>
      <c r="O269" s="253">
        <f t="shared" si="13"/>
        <v>763635</v>
      </c>
      <c r="P269" s="253">
        <v>275000</v>
      </c>
      <c r="Q269" s="253">
        <f t="shared" si="14"/>
        <v>825000</v>
      </c>
    </row>
    <row r="270" spans="2:17">
      <c r="B270" s="200">
        <v>267</v>
      </c>
      <c r="C270" s="241" t="s">
        <v>1067</v>
      </c>
      <c r="D270" s="242" t="s">
        <v>1068</v>
      </c>
      <c r="E270" s="243" t="s">
        <v>9</v>
      </c>
      <c r="F270" s="244" t="s">
        <v>1069</v>
      </c>
      <c r="G270" s="241"/>
      <c r="H270" s="241" t="s">
        <v>1070</v>
      </c>
      <c r="I270" s="241"/>
      <c r="J270" s="244" t="s">
        <v>50</v>
      </c>
      <c r="K270" s="241" t="s">
        <v>1071</v>
      </c>
      <c r="L270" s="251">
        <v>44644</v>
      </c>
      <c r="M270" s="252">
        <v>254545</v>
      </c>
      <c r="N270" s="241">
        <v>1</v>
      </c>
      <c r="O270" s="253">
        <f t="shared" si="13"/>
        <v>254545</v>
      </c>
      <c r="P270" s="253">
        <v>275000</v>
      </c>
      <c r="Q270" s="253">
        <f t="shared" si="14"/>
        <v>275000</v>
      </c>
    </row>
    <row r="271" spans="2:17">
      <c r="B271" s="200">
        <v>268</v>
      </c>
      <c r="C271" s="241" t="s">
        <v>1072</v>
      </c>
      <c r="D271" s="242" t="s">
        <v>1068</v>
      </c>
      <c r="E271" s="243" t="s">
        <v>9</v>
      </c>
      <c r="F271" s="244" t="s">
        <v>1073</v>
      </c>
      <c r="G271" s="241"/>
      <c r="H271" s="241" t="s">
        <v>1070</v>
      </c>
      <c r="I271" s="241"/>
      <c r="J271" s="244" t="s">
        <v>50</v>
      </c>
      <c r="K271" s="241" t="s">
        <v>1074</v>
      </c>
      <c r="L271" s="251">
        <v>44644</v>
      </c>
      <c r="M271" s="252">
        <v>254545</v>
      </c>
      <c r="N271" s="241">
        <v>1</v>
      </c>
      <c r="O271" s="253">
        <f t="shared" si="13"/>
        <v>254545</v>
      </c>
      <c r="P271" s="253">
        <v>275000</v>
      </c>
      <c r="Q271" s="253">
        <f t="shared" si="14"/>
        <v>275000</v>
      </c>
    </row>
    <row r="272" spans="2:17">
      <c r="B272" s="200">
        <v>269</v>
      </c>
      <c r="C272" s="241" t="s">
        <v>1075</v>
      </c>
      <c r="D272" s="242" t="s">
        <v>1068</v>
      </c>
      <c r="E272" s="243" t="s">
        <v>9</v>
      </c>
      <c r="F272" s="244" t="s">
        <v>206</v>
      </c>
      <c r="G272" s="241"/>
      <c r="H272" s="241" t="s">
        <v>1070</v>
      </c>
      <c r="I272" s="241"/>
      <c r="J272" s="244" t="s">
        <v>50</v>
      </c>
      <c r="K272" s="241" t="s">
        <v>1076</v>
      </c>
      <c r="L272" s="251">
        <v>44644</v>
      </c>
      <c r="M272" s="252">
        <v>254545</v>
      </c>
      <c r="N272" s="241">
        <v>2</v>
      </c>
      <c r="O272" s="253">
        <f t="shared" si="13"/>
        <v>509090</v>
      </c>
      <c r="P272" s="253">
        <v>275000</v>
      </c>
      <c r="Q272" s="253">
        <f t="shared" si="14"/>
        <v>550000</v>
      </c>
    </row>
    <row r="273" spans="2:17">
      <c r="B273" s="200">
        <v>270</v>
      </c>
      <c r="C273" s="241" t="s">
        <v>1077</v>
      </c>
      <c r="D273" s="242" t="s">
        <v>1078</v>
      </c>
      <c r="E273" s="243" t="s">
        <v>9</v>
      </c>
      <c r="F273" s="244" t="s">
        <v>645</v>
      </c>
      <c r="G273" s="241"/>
      <c r="H273" s="241" t="s">
        <v>1079</v>
      </c>
      <c r="I273" s="241"/>
      <c r="J273" s="244" t="s">
        <v>50</v>
      </c>
      <c r="K273" s="241" t="s">
        <v>1080</v>
      </c>
      <c r="L273" s="251">
        <v>44645</v>
      </c>
      <c r="M273" s="252">
        <v>254545</v>
      </c>
      <c r="N273" s="241">
        <v>2</v>
      </c>
      <c r="O273" s="253">
        <f t="shared" si="13"/>
        <v>509090</v>
      </c>
      <c r="P273" s="253">
        <v>275000</v>
      </c>
      <c r="Q273" s="253">
        <f t="shared" si="14"/>
        <v>550000</v>
      </c>
    </row>
    <row r="274" spans="2:17">
      <c r="B274" s="200">
        <v>271</v>
      </c>
      <c r="C274" s="241" t="s">
        <v>1081</v>
      </c>
      <c r="D274" s="242" t="s">
        <v>1078</v>
      </c>
      <c r="E274" s="243" t="s">
        <v>9</v>
      </c>
      <c r="F274" s="244" t="s">
        <v>1082</v>
      </c>
      <c r="G274" s="241"/>
      <c r="H274" s="241" t="s">
        <v>1070</v>
      </c>
      <c r="I274" s="241"/>
      <c r="J274" s="244" t="s">
        <v>50</v>
      </c>
      <c r="K274" s="241" t="s">
        <v>1083</v>
      </c>
      <c r="L274" s="251">
        <v>44645</v>
      </c>
      <c r="M274" s="252">
        <v>254545</v>
      </c>
      <c r="N274" s="241">
        <v>3</v>
      </c>
      <c r="O274" s="253">
        <f t="shared" si="13"/>
        <v>763635</v>
      </c>
      <c r="P274" s="253">
        <v>275000</v>
      </c>
      <c r="Q274" s="253">
        <f t="shared" si="14"/>
        <v>825000</v>
      </c>
    </row>
    <row r="275" spans="2:17">
      <c r="B275" s="200">
        <v>272</v>
      </c>
      <c r="C275" s="241" t="s">
        <v>1084</v>
      </c>
      <c r="D275" s="242" t="s">
        <v>1078</v>
      </c>
      <c r="E275" s="243" t="s">
        <v>9</v>
      </c>
      <c r="F275" s="244" t="s">
        <v>1082</v>
      </c>
      <c r="G275" s="241"/>
      <c r="H275" s="241" t="s">
        <v>1070</v>
      </c>
      <c r="I275" s="241"/>
      <c r="J275" s="244" t="s">
        <v>50</v>
      </c>
      <c r="K275" s="241" t="s">
        <v>1085</v>
      </c>
      <c r="L275" s="251">
        <v>44645</v>
      </c>
      <c r="M275" s="252">
        <v>254545</v>
      </c>
      <c r="N275" s="241">
        <v>1</v>
      </c>
      <c r="O275" s="253">
        <f t="shared" si="13"/>
        <v>254545</v>
      </c>
      <c r="P275" s="253">
        <v>275000</v>
      </c>
      <c r="Q275" s="253">
        <f t="shared" si="14"/>
        <v>275000</v>
      </c>
    </row>
    <row r="276" spans="2:17">
      <c r="B276" s="200">
        <v>273</v>
      </c>
      <c r="C276" s="241" t="s">
        <v>1086</v>
      </c>
      <c r="D276" s="242" t="s">
        <v>1087</v>
      </c>
      <c r="E276" s="243" t="s">
        <v>9</v>
      </c>
      <c r="F276" s="244" t="s">
        <v>1003</v>
      </c>
      <c r="G276" s="241"/>
      <c r="H276" s="241" t="s">
        <v>1088</v>
      </c>
      <c r="I276" s="241"/>
      <c r="J276" s="244" t="s">
        <v>50</v>
      </c>
      <c r="K276" s="241" t="s">
        <v>1089</v>
      </c>
      <c r="L276" s="251">
        <v>44649</v>
      </c>
      <c r="M276" s="252">
        <v>254545</v>
      </c>
      <c r="N276" s="241">
        <v>5</v>
      </c>
      <c r="O276" s="253">
        <f t="shared" si="13"/>
        <v>1272725</v>
      </c>
      <c r="P276" s="253">
        <v>275000</v>
      </c>
      <c r="Q276" s="253">
        <f t="shared" si="14"/>
        <v>1375000</v>
      </c>
    </row>
    <row r="277" spans="2:17">
      <c r="B277" s="200">
        <v>274</v>
      </c>
      <c r="C277" s="241" t="s">
        <v>1090</v>
      </c>
      <c r="D277" s="242" t="s">
        <v>1087</v>
      </c>
      <c r="E277" s="243" t="s">
        <v>9</v>
      </c>
      <c r="F277" s="244" t="s">
        <v>1091</v>
      </c>
      <c r="G277" s="241"/>
      <c r="H277" s="241" t="s">
        <v>1088</v>
      </c>
      <c r="I277" s="241"/>
      <c r="J277" s="244" t="s">
        <v>50</v>
      </c>
      <c r="K277" s="241" t="s">
        <v>1092</v>
      </c>
      <c r="L277" s="251">
        <v>44649</v>
      </c>
      <c r="M277" s="252">
        <v>254545</v>
      </c>
      <c r="N277" s="241">
        <v>1</v>
      </c>
      <c r="O277" s="253">
        <f t="shared" si="13"/>
        <v>254545</v>
      </c>
      <c r="P277" s="253">
        <v>275000</v>
      </c>
      <c r="Q277" s="253">
        <f t="shared" si="14"/>
        <v>275000</v>
      </c>
    </row>
    <row r="278" spans="2:17">
      <c r="B278" s="200">
        <v>275</v>
      </c>
      <c r="C278" s="241" t="s">
        <v>1093</v>
      </c>
      <c r="D278" s="242" t="s">
        <v>1087</v>
      </c>
      <c r="E278" s="243" t="s">
        <v>9</v>
      </c>
      <c r="F278" s="244" t="s">
        <v>1094</v>
      </c>
      <c r="G278" s="241"/>
      <c r="H278" s="241" t="s">
        <v>1088</v>
      </c>
      <c r="I278" s="241"/>
      <c r="J278" s="244" t="s">
        <v>50</v>
      </c>
      <c r="K278" s="241" t="s">
        <v>1095</v>
      </c>
      <c r="L278" s="251">
        <v>44649</v>
      </c>
      <c r="M278" s="252">
        <v>254545</v>
      </c>
      <c r="N278" s="241">
        <v>1</v>
      </c>
      <c r="O278" s="253">
        <f t="shared" si="13"/>
        <v>254545</v>
      </c>
      <c r="P278" s="253">
        <v>275000</v>
      </c>
      <c r="Q278" s="253">
        <f t="shared" si="14"/>
        <v>275000</v>
      </c>
    </row>
    <row r="279" spans="2:17">
      <c r="B279" s="200">
        <v>276</v>
      </c>
      <c r="C279" s="241" t="s">
        <v>1096</v>
      </c>
      <c r="D279" s="242" t="s">
        <v>1087</v>
      </c>
      <c r="E279" s="243" t="s">
        <v>9</v>
      </c>
      <c r="F279" s="244" t="s">
        <v>1091</v>
      </c>
      <c r="G279" s="241"/>
      <c r="H279" s="241" t="s">
        <v>1088</v>
      </c>
      <c r="I279" s="241"/>
      <c r="J279" s="244" t="s">
        <v>50</v>
      </c>
      <c r="K279" s="241" t="s">
        <v>1097</v>
      </c>
      <c r="L279" s="251">
        <v>44649</v>
      </c>
      <c r="M279" s="252">
        <v>254545</v>
      </c>
      <c r="N279" s="241">
        <v>1</v>
      </c>
      <c r="O279" s="253">
        <f t="shared" si="13"/>
        <v>254545</v>
      </c>
      <c r="P279" s="253">
        <v>275000</v>
      </c>
      <c r="Q279" s="253">
        <f t="shared" si="14"/>
        <v>275000</v>
      </c>
    </row>
    <row r="280" spans="2:17">
      <c r="B280" s="200">
        <v>277</v>
      </c>
      <c r="C280" s="241" t="s">
        <v>1098</v>
      </c>
      <c r="D280" s="242" t="s">
        <v>1087</v>
      </c>
      <c r="E280" s="243" t="s">
        <v>9</v>
      </c>
      <c r="F280" s="244" t="s">
        <v>1094</v>
      </c>
      <c r="G280" s="241"/>
      <c r="H280" s="241" t="s">
        <v>1088</v>
      </c>
      <c r="I280" s="241"/>
      <c r="J280" s="244" t="s">
        <v>50</v>
      </c>
      <c r="K280" s="241" t="s">
        <v>1099</v>
      </c>
      <c r="L280" s="251">
        <v>44649</v>
      </c>
      <c r="M280" s="252">
        <v>254545</v>
      </c>
      <c r="N280" s="241">
        <v>2</v>
      </c>
      <c r="O280" s="253">
        <f t="shared" si="13"/>
        <v>509090</v>
      </c>
      <c r="P280" s="253">
        <v>275000</v>
      </c>
      <c r="Q280" s="253">
        <f t="shared" si="14"/>
        <v>550000</v>
      </c>
    </row>
    <row r="281" spans="2:17">
      <c r="B281" s="200">
        <v>278</v>
      </c>
      <c r="C281" s="241" t="s">
        <v>1100</v>
      </c>
      <c r="D281" s="242" t="s">
        <v>1087</v>
      </c>
      <c r="E281" s="243" t="s">
        <v>9</v>
      </c>
      <c r="F281" s="244" t="s">
        <v>1101</v>
      </c>
      <c r="G281" s="241"/>
      <c r="H281" s="241" t="s">
        <v>1088</v>
      </c>
      <c r="I281" s="241"/>
      <c r="J281" s="244" t="s">
        <v>50</v>
      </c>
      <c r="K281" s="241" t="s">
        <v>1102</v>
      </c>
      <c r="L281" s="251">
        <v>44649</v>
      </c>
      <c r="M281" s="252">
        <v>254545</v>
      </c>
      <c r="N281" s="241">
        <v>1</v>
      </c>
      <c r="O281" s="253">
        <f t="shared" si="13"/>
        <v>254545</v>
      </c>
      <c r="P281" s="253">
        <v>275000</v>
      </c>
      <c r="Q281" s="253">
        <f t="shared" si="14"/>
        <v>275000</v>
      </c>
    </row>
    <row r="282" spans="2:17">
      <c r="B282" s="200">
        <v>279</v>
      </c>
      <c r="C282" s="241" t="s">
        <v>1103</v>
      </c>
      <c r="D282" s="242" t="s">
        <v>1087</v>
      </c>
      <c r="E282" s="243" t="s">
        <v>9</v>
      </c>
      <c r="F282" s="244" t="s">
        <v>1104</v>
      </c>
      <c r="G282" s="241"/>
      <c r="H282" s="241" t="s">
        <v>1088</v>
      </c>
      <c r="I282" s="241"/>
      <c r="J282" s="244" t="s">
        <v>50</v>
      </c>
      <c r="K282" s="241" t="s">
        <v>1105</v>
      </c>
      <c r="L282" s="251">
        <v>44649</v>
      </c>
      <c r="M282" s="252">
        <v>254545</v>
      </c>
      <c r="N282" s="241">
        <v>6</v>
      </c>
      <c r="O282" s="253">
        <f t="shared" si="13"/>
        <v>1527270</v>
      </c>
      <c r="P282" s="253">
        <v>275000</v>
      </c>
      <c r="Q282" s="253">
        <f t="shared" si="14"/>
        <v>1650000</v>
      </c>
    </row>
    <row r="283" spans="2:17">
      <c r="B283" s="200">
        <v>280</v>
      </c>
      <c r="C283" s="241" t="s">
        <v>1106</v>
      </c>
      <c r="D283" s="242" t="s">
        <v>1087</v>
      </c>
      <c r="E283" s="243" t="s">
        <v>9</v>
      </c>
      <c r="F283" s="244" t="s">
        <v>1107</v>
      </c>
      <c r="G283" s="241"/>
      <c r="H283" s="241" t="s">
        <v>1088</v>
      </c>
      <c r="I283" s="241"/>
      <c r="J283" s="244" t="s">
        <v>50</v>
      </c>
      <c r="K283" s="241" t="s">
        <v>1108</v>
      </c>
      <c r="L283" s="251">
        <v>44649</v>
      </c>
      <c r="M283" s="252">
        <v>254545</v>
      </c>
      <c r="N283" s="241">
        <v>1</v>
      </c>
      <c r="O283" s="253">
        <f t="shared" si="13"/>
        <v>254545</v>
      </c>
      <c r="P283" s="253">
        <v>275000</v>
      </c>
      <c r="Q283" s="253">
        <f t="shared" si="14"/>
        <v>275000</v>
      </c>
    </row>
    <row r="284" spans="2:17">
      <c r="B284" s="200">
        <v>281</v>
      </c>
      <c r="C284" s="241" t="s">
        <v>1109</v>
      </c>
      <c r="D284" s="242" t="s">
        <v>1087</v>
      </c>
      <c r="E284" s="243" t="s">
        <v>9</v>
      </c>
      <c r="F284" s="244" t="s">
        <v>1110</v>
      </c>
      <c r="G284" s="241"/>
      <c r="H284" s="241" t="s">
        <v>1088</v>
      </c>
      <c r="I284" s="241"/>
      <c r="J284" s="244" t="s">
        <v>50</v>
      </c>
      <c r="K284" s="241" t="s">
        <v>1111</v>
      </c>
      <c r="L284" s="251">
        <v>44649</v>
      </c>
      <c r="M284" s="252">
        <v>254545</v>
      </c>
      <c r="N284" s="241">
        <v>1</v>
      </c>
      <c r="O284" s="253">
        <f t="shared" si="13"/>
        <v>254545</v>
      </c>
      <c r="P284" s="253">
        <v>275000</v>
      </c>
      <c r="Q284" s="253">
        <f t="shared" si="14"/>
        <v>275000</v>
      </c>
    </row>
    <row r="285" spans="2:17">
      <c r="B285" s="200">
        <v>282</v>
      </c>
      <c r="C285" s="241" t="s">
        <v>1112</v>
      </c>
      <c r="D285" s="242" t="s">
        <v>1113</v>
      </c>
      <c r="E285" s="243" t="s">
        <v>9</v>
      </c>
      <c r="F285" s="244" t="s">
        <v>222</v>
      </c>
      <c r="G285" s="241"/>
      <c r="H285" s="241" t="s">
        <v>1114</v>
      </c>
      <c r="I285" s="241"/>
      <c r="J285" s="244" t="s">
        <v>50</v>
      </c>
      <c r="K285" s="241" t="s">
        <v>1115</v>
      </c>
      <c r="L285" s="251">
        <v>44651</v>
      </c>
      <c r="M285" s="252">
        <v>254545</v>
      </c>
      <c r="N285" s="241">
        <v>1</v>
      </c>
      <c r="O285" s="253">
        <f t="shared" si="13"/>
        <v>254545</v>
      </c>
      <c r="P285" s="253">
        <v>275000</v>
      </c>
      <c r="Q285" s="253">
        <f t="shared" si="14"/>
        <v>275000</v>
      </c>
    </row>
    <row r="286" spans="2:17">
      <c r="B286" s="200">
        <v>283</v>
      </c>
      <c r="C286" s="241" t="s">
        <v>1116</v>
      </c>
      <c r="D286" s="242" t="s">
        <v>1113</v>
      </c>
      <c r="E286" s="243" t="s">
        <v>9</v>
      </c>
      <c r="F286" s="244" t="s">
        <v>1117</v>
      </c>
      <c r="G286" s="241"/>
      <c r="H286" s="241" t="s">
        <v>1114</v>
      </c>
      <c r="I286" s="241"/>
      <c r="J286" s="244" t="s">
        <v>50</v>
      </c>
      <c r="K286" s="241" t="s">
        <v>1118</v>
      </c>
      <c r="L286" s="251">
        <v>44651</v>
      </c>
      <c r="M286" s="252">
        <v>254545</v>
      </c>
      <c r="N286" s="241">
        <v>2</v>
      </c>
      <c r="O286" s="253">
        <f t="shared" si="13"/>
        <v>509090</v>
      </c>
      <c r="P286" s="253">
        <v>275000</v>
      </c>
      <c r="Q286" s="253">
        <f t="shared" si="14"/>
        <v>550000</v>
      </c>
    </row>
    <row r="287" spans="2:17">
      <c r="B287" s="200">
        <v>284</v>
      </c>
      <c r="C287" s="237" t="s">
        <v>1119</v>
      </c>
      <c r="D287" s="238" t="s">
        <v>1120</v>
      </c>
      <c r="E287" s="239" t="s">
        <v>9</v>
      </c>
      <c r="F287" s="240" t="s">
        <v>1121</v>
      </c>
      <c r="G287" s="237"/>
      <c r="H287" s="237" t="s">
        <v>1114</v>
      </c>
      <c r="I287" s="237"/>
      <c r="J287" s="240" t="s">
        <v>50</v>
      </c>
      <c r="K287" s="237" t="s">
        <v>1122</v>
      </c>
      <c r="L287" s="248">
        <v>44652</v>
      </c>
      <c r="M287" s="249">
        <v>254545</v>
      </c>
      <c r="N287" s="237">
        <v>2</v>
      </c>
      <c r="O287" s="250">
        <f t="shared" si="13"/>
        <v>509090</v>
      </c>
      <c r="P287" s="250">
        <v>275000</v>
      </c>
      <c r="Q287" s="250">
        <f t="shared" si="14"/>
        <v>550000</v>
      </c>
    </row>
    <row r="288" spans="2:17">
      <c r="B288" s="200">
        <v>285</v>
      </c>
      <c r="C288" s="237" t="s">
        <v>1123</v>
      </c>
      <c r="D288" s="238" t="s">
        <v>1120</v>
      </c>
      <c r="E288" s="239" t="s">
        <v>9</v>
      </c>
      <c r="F288" s="240" t="s">
        <v>1124</v>
      </c>
      <c r="G288" s="237"/>
      <c r="H288" s="237" t="s">
        <v>1114</v>
      </c>
      <c r="I288" s="237"/>
      <c r="J288" s="240" t="s">
        <v>50</v>
      </c>
      <c r="K288" s="237" t="s">
        <v>1125</v>
      </c>
      <c r="L288" s="248">
        <v>44652</v>
      </c>
      <c r="M288" s="249">
        <v>254545</v>
      </c>
      <c r="N288" s="237">
        <v>9</v>
      </c>
      <c r="O288" s="250">
        <f t="shared" si="13"/>
        <v>2290905</v>
      </c>
      <c r="P288" s="250">
        <v>275000</v>
      </c>
      <c r="Q288" s="250">
        <f t="shared" si="14"/>
        <v>2475000</v>
      </c>
    </row>
    <row r="289" spans="2:17">
      <c r="B289" s="200">
        <v>286</v>
      </c>
      <c r="C289" s="237" t="s">
        <v>1126</v>
      </c>
      <c r="D289" s="238" t="s">
        <v>1120</v>
      </c>
      <c r="E289" s="239" t="s">
        <v>9</v>
      </c>
      <c r="F289" s="240" t="s">
        <v>1127</v>
      </c>
      <c r="G289" s="237"/>
      <c r="H289" s="237" t="s">
        <v>1114</v>
      </c>
      <c r="I289" s="237"/>
      <c r="J289" s="240" t="s">
        <v>50</v>
      </c>
      <c r="K289" s="237" t="s">
        <v>1128</v>
      </c>
      <c r="L289" s="248">
        <v>44652</v>
      </c>
      <c r="M289" s="249">
        <v>254545</v>
      </c>
      <c r="N289" s="237">
        <v>3</v>
      </c>
      <c r="O289" s="250">
        <f t="shared" si="13"/>
        <v>763635</v>
      </c>
      <c r="P289" s="250">
        <v>275000</v>
      </c>
      <c r="Q289" s="250">
        <f t="shared" si="14"/>
        <v>825000</v>
      </c>
    </row>
    <row r="290" spans="2:17">
      <c r="B290" s="200">
        <v>287</v>
      </c>
      <c r="C290" s="237" t="s">
        <v>1129</v>
      </c>
      <c r="D290" s="238" t="s">
        <v>1120</v>
      </c>
      <c r="E290" s="239" t="s">
        <v>9</v>
      </c>
      <c r="F290" s="240" t="s">
        <v>1130</v>
      </c>
      <c r="G290" s="237"/>
      <c r="H290" s="237" t="s">
        <v>1114</v>
      </c>
      <c r="I290" s="237"/>
      <c r="J290" s="240" t="s">
        <v>50</v>
      </c>
      <c r="K290" s="237" t="s">
        <v>1131</v>
      </c>
      <c r="L290" s="248">
        <v>44652</v>
      </c>
      <c r="M290" s="249">
        <v>254545</v>
      </c>
      <c r="N290" s="237">
        <v>2</v>
      </c>
      <c r="O290" s="250">
        <f t="shared" si="13"/>
        <v>509090</v>
      </c>
      <c r="P290" s="250">
        <v>275000</v>
      </c>
      <c r="Q290" s="250">
        <f t="shared" si="14"/>
        <v>550000</v>
      </c>
    </row>
    <row r="291" spans="2:17">
      <c r="B291" s="200">
        <v>288</v>
      </c>
      <c r="C291" s="237" t="s">
        <v>1132</v>
      </c>
      <c r="D291" s="238" t="s">
        <v>1120</v>
      </c>
      <c r="E291" s="239" t="s">
        <v>9</v>
      </c>
      <c r="F291" s="240" t="s">
        <v>1133</v>
      </c>
      <c r="G291" s="237"/>
      <c r="H291" s="237" t="s">
        <v>1114</v>
      </c>
      <c r="I291" s="237"/>
      <c r="J291" s="240" t="s">
        <v>50</v>
      </c>
      <c r="K291" s="237" t="s">
        <v>1134</v>
      </c>
      <c r="L291" s="248">
        <v>44652</v>
      </c>
      <c r="M291" s="249">
        <v>254545</v>
      </c>
      <c r="N291" s="237">
        <v>4</v>
      </c>
      <c r="O291" s="250">
        <f t="shared" si="13"/>
        <v>1018180</v>
      </c>
      <c r="P291" s="250">
        <v>275000</v>
      </c>
      <c r="Q291" s="250">
        <f t="shared" si="14"/>
        <v>1100000</v>
      </c>
    </row>
    <row r="292" spans="2:17">
      <c r="B292" s="200">
        <v>289</v>
      </c>
      <c r="C292" s="237" t="s">
        <v>1135</v>
      </c>
      <c r="D292" s="238" t="s">
        <v>1120</v>
      </c>
      <c r="E292" s="239" t="s">
        <v>9</v>
      </c>
      <c r="F292" s="240" t="s">
        <v>1136</v>
      </c>
      <c r="G292" s="237"/>
      <c r="H292" s="237" t="s">
        <v>1114</v>
      </c>
      <c r="I292" s="237"/>
      <c r="J292" s="240" t="s">
        <v>50</v>
      </c>
      <c r="K292" s="237" t="s">
        <v>1137</v>
      </c>
      <c r="L292" s="248">
        <v>44652</v>
      </c>
      <c r="M292" s="249">
        <v>254545</v>
      </c>
      <c r="N292" s="237">
        <v>4</v>
      </c>
      <c r="O292" s="250">
        <f t="shared" si="13"/>
        <v>1018180</v>
      </c>
      <c r="P292" s="250">
        <v>275000</v>
      </c>
      <c r="Q292" s="250">
        <f t="shared" si="14"/>
        <v>1100000</v>
      </c>
    </row>
    <row r="293" spans="2:17">
      <c r="B293" s="200">
        <v>290</v>
      </c>
      <c r="C293" s="237" t="s">
        <v>1138</v>
      </c>
      <c r="D293" s="238" t="s">
        <v>1139</v>
      </c>
      <c r="E293" s="239" t="s">
        <v>9</v>
      </c>
      <c r="F293" s="240" t="s">
        <v>1140</v>
      </c>
      <c r="G293" s="237"/>
      <c r="H293" s="237" t="s">
        <v>1141</v>
      </c>
      <c r="I293" s="237"/>
      <c r="J293" s="240" t="s">
        <v>50</v>
      </c>
      <c r="K293" s="237" t="s">
        <v>1142</v>
      </c>
      <c r="L293" s="248">
        <v>44657</v>
      </c>
      <c r="M293" s="249">
        <v>254545</v>
      </c>
      <c r="N293" s="237">
        <v>4</v>
      </c>
      <c r="O293" s="250">
        <f t="shared" si="13"/>
        <v>1018180</v>
      </c>
      <c r="P293" s="250">
        <v>275000</v>
      </c>
      <c r="Q293" s="250">
        <f t="shared" si="14"/>
        <v>1100000</v>
      </c>
    </row>
    <row r="294" spans="2:17">
      <c r="B294" s="200">
        <v>291</v>
      </c>
      <c r="C294" s="237" t="s">
        <v>1143</v>
      </c>
      <c r="D294" s="238" t="s">
        <v>1139</v>
      </c>
      <c r="E294" s="239" t="s">
        <v>9</v>
      </c>
      <c r="F294" s="240" t="s">
        <v>1144</v>
      </c>
      <c r="G294" s="237"/>
      <c r="H294" s="237" t="s">
        <v>1141</v>
      </c>
      <c r="I294" s="237"/>
      <c r="J294" s="240" t="s">
        <v>50</v>
      </c>
      <c r="K294" s="237" t="s">
        <v>1145</v>
      </c>
      <c r="L294" s="248">
        <v>44657</v>
      </c>
      <c r="M294" s="249">
        <v>254545</v>
      </c>
      <c r="N294" s="237">
        <v>2</v>
      </c>
      <c r="O294" s="250">
        <f t="shared" si="13"/>
        <v>509090</v>
      </c>
      <c r="P294" s="250">
        <v>275000</v>
      </c>
      <c r="Q294" s="250">
        <f t="shared" si="14"/>
        <v>550000</v>
      </c>
    </row>
    <row r="295" spans="2:17">
      <c r="B295" s="200">
        <v>292</v>
      </c>
      <c r="C295" s="237" t="s">
        <v>1146</v>
      </c>
      <c r="D295" s="238" t="s">
        <v>1139</v>
      </c>
      <c r="E295" s="239" t="s">
        <v>9</v>
      </c>
      <c r="F295" s="240" t="s">
        <v>1147</v>
      </c>
      <c r="G295" s="237"/>
      <c r="H295" s="237" t="s">
        <v>1141</v>
      </c>
      <c r="I295" s="237"/>
      <c r="J295" s="240" t="s">
        <v>50</v>
      </c>
      <c r="K295" s="237" t="s">
        <v>1148</v>
      </c>
      <c r="L295" s="248">
        <v>44657</v>
      </c>
      <c r="M295" s="249">
        <v>254545</v>
      </c>
      <c r="N295" s="237">
        <v>12</v>
      </c>
      <c r="O295" s="250">
        <f t="shared" si="13"/>
        <v>3054540</v>
      </c>
      <c r="P295" s="250">
        <v>275000</v>
      </c>
      <c r="Q295" s="250">
        <f t="shared" si="14"/>
        <v>3300000</v>
      </c>
    </row>
    <row r="296" spans="2:17">
      <c r="B296" s="200">
        <v>293</v>
      </c>
      <c r="C296" s="237" t="s">
        <v>1149</v>
      </c>
      <c r="D296" s="238" t="s">
        <v>1139</v>
      </c>
      <c r="E296" s="239" t="s">
        <v>9</v>
      </c>
      <c r="F296" s="240" t="s">
        <v>1150</v>
      </c>
      <c r="G296" s="237"/>
      <c r="H296" s="237" t="s">
        <v>1141</v>
      </c>
      <c r="I296" s="237"/>
      <c r="J296" s="240" t="s">
        <v>50</v>
      </c>
      <c r="K296" s="237" t="s">
        <v>1151</v>
      </c>
      <c r="L296" s="248">
        <v>44657</v>
      </c>
      <c r="M296" s="249">
        <v>254545</v>
      </c>
      <c r="N296" s="237">
        <v>3</v>
      </c>
      <c r="O296" s="250">
        <f t="shared" si="13"/>
        <v>763635</v>
      </c>
      <c r="P296" s="250">
        <v>275000</v>
      </c>
      <c r="Q296" s="250">
        <f t="shared" si="14"/>
        <v>825000</v>
      </c>
    </row>
    <row r="297" spans="2:17">
      <c r="B297" s="200">
        <v>294</v>
      </c>
      <c r="C297" s="237" t="s">
        <v>1152</v>
      </c>
      <c r="D297" s="238" t="s">
        <v>1139</v>
      </c>
      <c r="E297" s="239" t="s">
        <v>9</v>
      </c>
      <c r="F297" s="240" t="s">
        <v>1153</v>
      </c>
      <c r="G297" s="237"/>
      <c r="H297" s="237" t="s">
        <v>1141</v>
      </c>
      <c r="I297" s="237"/>
      <c r="J297" s="240" t="s">
        <v>50</v>
      </c>
      <c r="K297" s="237" t="s">
        <v>1154</v>
      </c>
      <c r="L297" s="248">
        <v>44657</v>
      </c>
      <c r="M297" s="249">
        <v>254545</v>
      </c>
      <c r="N297" s="237">
        <v>8</v>
      </c>
      <c r="O297" s="250">
        <f t="shared" si="13"/>
        <v>2036360</v>
      </c>
      <c r="P297" s="250">
        <v>275000</v>
      </c>
      <c r="Q297" s="250">
        <f t="shared" si="14"/>
        <v>2200000</v>
      </c>
    </row>
    <row r="298" spans="2:17">
      <c r="B298" s="200">
        <v>295</v>
      </c>
      <c r="C298" s="237" t="s">
        <v>1155</v>
      </c>
      <c r="D298" s="238" t="s">
        <v>1139</v>
      </c>
      <c r="E298" s="239" t="s">
        <v>9</v>
      </c>
      <c r="F298" s="240" t="s">
        <v>1156</v>
      </c>
      <c r="G298" s="237"/>
      <c r="H298" s="237" t="s">
        <v>1141</v>
      </c>
      <c r="I298" s="237"/>
      <c r="J298" s="240" t="s">
        <v>50</v>
      </c>
      <c r="K298" s="237" t="s">
        <v>1157</v>
      </c>
      <c r="L298" s="248">
        <v>44657</v>
      </c>
      <c r="M298" s="249">
        <v>254545</v>
      </c>
      <c r="N298" s="237">
        <v>1</v>
      </c>
      <c r="O298" s="250">
        <f t="shared" si="13"/>
        <v>254545</v>
      </c>
      <c r="P298" s="250">
        <v>275000</v>
      </c>
      <c r="Q298" s="250">
        <f t="shared" si="14"/>
        <v>275000</v>
      </c>
    </row>
    <row r="299" spans="2:17">
      <c r="B299" s="200">
        <v>296</v>
      </c>
      <c r="C299" s="237" t="s">
        <v>1158</v>
      </c>
      <c r="D299" s="238" t="s">
        <v>1139</v>
      </c>
      <c r="E299" s="239" t="s">
        <v>9</v>
      </c>
      <c r="F299" s="240" t="s">
        <v>1159</v>
      </c>
      <c r="G299" s="237"/>
      <c r="H299" s="237" t="s">
        <v>1141</v>
      </c>
      <c r="I299" s="237"/>
      <c r="J299" s="240" t="s">
        <v>50</v>
      </c>
      <c r="K299" s="237" t="s">
        <v>1160</v>
      </c>
      <c r="L299" s="248">
        <v>44657</v>
      </c>
      <c r="M299" s="249">
        <v>254545</v>
      </c>
      <c r="N299" s="237">
        <v>1</v>
      </c>
      <c r="O299" s="250">
        <f t="shared" si="13"/>
        <v>254545</v>
      </c>
      <c r="P299" s="250">
        <v>275000</v>
      </c>
      <c r="Q299" s="250">
        <f t="shared" si="14"/>
        <v>275000</v>
      </c>
    </row>
    <row r="300" spans="2:17">
      <c r="B300" s="200">
        <v>297</v>
      </c>
      <c r="C300" s="237" t="s">
        <v>1161</v>
      </c>
      <c r="D300" s="238" t="s">
        <v>1139</v>
      </c>
      <c r="E300" s="239" t="s">
        <v>9</v>
      </c>
      <c r="F300" s="240" t="s">
        <v>1162</v>
      </c>
      <c r="G300" s="237"/>
      <c r="H300" s="237" t="s">
        <v>1141</v>
      </c>
      <c r="I300" s="237"/>
      <c r="J300" s="240" t="s">
        <v>50</v>
      </c>
      <c r="K300" s="237" t="s">
        <v>1163</v>
      </c>
      <c r="L300" s="248">
        <v>44657</v>
      </c>
      <c r="M300" s="249">
        <v>254545</v>
      </c>
      <c r="N300" s="237">
        <v>1</v>
      </c>
      <c r="O300" s="250">
        <f t="shared" si="13"/>
        <v>254545</v>
      </c>
      <c r="P300" s="250">
        <v>275000</v>
      </c>
      <c r="Q300" s="250">
        <f t="shared" si="14"/>
        <v>275000</v>
      </c>
    </row>
    <row r="301" spans="2:17">
      <c r="B301" s="200">
        <v>298</v>
      </c>
      <c r="C301" s="237" t="s">
        <v>1164</v>
      </c>
      <c r="D301" s="238" t="s">
        <v>1165</v>
      </c>
      <c r="E301" s="239" t="s">
        <v>11</v>
      </c>
      <c r="F301" s="240" t="s">
        <v>733</v>
      </c>
      <c r="G301" s="237"/>
      <c r="H301" s="237" t="s">
        <v>1166</v>
      </c>
      <c r="I301" s="237"/>
      <c r="J301" s="240" t="s">
        <v>85</v>
      </c>
      <c r="K301" s="237" t="s">
        <v>1167</v>
      </c>
      <c r="L301" s="248">
        <v>44657</v>
      </c>
      <c r="M301" s="249">
        <v>222727</v>
      </c>
      <c r="N301" s="237">
        <v>5</v>
      </c>
      <c r="O301" s="250">
        <f t="shared" si="13"/>
        <v>1113635</v>
      </c>
      <c r="P301" s="250">
        <v>279091</v>
      </c>
      <c r="Q301" s="250">
        <f t="shared" si="14"/>
        <v>1395455</v>
      </c>
    </row>
    <row r="302" spans="2:17">
      <c r="B302" s="200">
        <v>299</v>
      </c>
      <c r="C302" s="237" t="s">
        <v>1168</v>
      </c>
      <c r="D302" s="238" t="s">
        <v>1169</v>
      </c>
      <c r="E302" s="239" t="s">
        <v>9</v>
      </c>
      <c r="F302" s="240" t="s">
        <v>1170</v>
      </c>
      <c r="G302" s="237"/>
      <c r="H302" s="237" t="s">
        <v>801</v>
      </c>
      <c r="I302" s="237"/>
      <c r="J302" s="240" t="s">
        <v>50</v>
      </c>
      <c r="K302" s="237" t="s">
        <v>1171</v>
      </c>
      <c r="L302" s="248">
        <v>44659</v>
      </c>
      <c r="M302" s="249">
        <v>254545</v>
      </c>
      <c r="N302" s="237">
        <v>4</v>
      </c>
      <c r="O302" s="250">
        <f t="shared" si="13"/>
        <v>1018180</v>
      </c>
      <c r="P302" s="250">
        <v>275000</v>
      </c>
      <c r="Q302" s="250">
        <f t="shared" si="14"/>
        <v>1100000</v>
      </c>
    </row>
    <row r="303" spans="2:17">
      <c r="B303" s="200">
        <v>300</v>
      </c>
      <c r="C303" s="237" t="s">
        <v>1172</v>
      </c>
      <c r="D303" s="238" t="s">
        <v>1169</v>
      </c>
      <c r="E303" s="239" t="s">
        <v>9</v>
      </c>
      <c r="F303" s="240" t="s">
        <v>1173</v>
      </c>
      <c r="G303" s="237"/>
      <c r="H303" s="237" t="s">
        <v>801</v>
      </c>
      <c r="I303" s="237"/>
      <c r="J303" s="240" t="s">
        <v>50</v>
      </c>
      <c r="K303" s="237" t="s">
        <v>1174</v>
      </c>
      <c r="L303" s="248">
        <v>44659</v>
      </c>
      <c r="M303" s="249">
        <v>254545</v>
      </c>
      <c r="N303" s="237">
        <v>4</v>
      </c>
      <c r="O303" s="250">
        <f t="shared" si="13"/>
        <v>1018180</v>
      </c>
      <c r="P303" s="250">
        <v>275000</v>
      </c>
      <c r="Q303" s="250">
        <f t="shared" si="14"/>
        <v>1100000</v>
      </c>
    </row>
    <row r="304" spans="2:17">
      <c r="B304" s="200">
        <v>301</v>
      </c>
      <c r="C304" s="237" t="s">
        <v>1175</v>
      </c>
      <c r="D304" s="238" t="s">
        <v>1169</v>
      </c>
      <c r="E304" s="239" t="s">
        <v>9</v>
      </c>
      <c r="F304" s="240" t="s">
        <v>1176</v>
      </c>
      <c r="G304" s="237"/>
      <c r="H304" s="237" t="s">
        <v>801</v>
      </c>
      <c r="I304" s="237"/>
      <c r="J304" s="240" t="s">
        <v>50</v>
      </c>
      <c r="K304" s="237" t="s">
        <v>1177</v>
      </c>
      <c r="L304" s="248">
        <v>44659</v>
      </c>
      <c r="M304" s="249">
        <v>254545</v>
      </c>
      <c r="N304" s="237">
        <v>8</v>
      </c>
      <c r="O304" s="250">
        <f t="shared" si="13"/>
        <v>2036360</v>
      </c>
      <c r="P304" s="250">
        <v>275000</v>
      </c>
      <c r="Q304" s="250">
        <f t="shared" si="14"/>
        <v>2200000</v>
      </c>
    </row>
    <row r="305" spans="2:17">
      <c r="B305" s="200">
        <v>302</v>
      </c>
      <c r="C305" s="237" t="s">
        <v>1178</v>
      </c>
      <c r="D305" s="238" t="s">
        <v>1169</v>
      </c>
      <c r="E305" s="239" t="s">
        <v>9</v>
      </c>
      <c r="F305" s="240" t="s">
        <v>1179</v>
      </c>
      <c r="G305" s="237"/>
      <c r="H305" s="237" t="s">
        <v>801</v>
      </c>
      <c r="I305" s="237"/>
      <c r="J305" s="240" t="s">
        <v>50</v>
      </c>
      <c r="K305" s="237" t="s">
        <v>1180</v>
      </c>
      <c r="L305" s="248">
        <v>44659</v>
      </c>
      <c r="M305" s="249">
        <v>254545</v>
      </c>
      <c r="N305" s="237">
        <v>5</v>
      </c>
      <c r="O305" s="250">
        <f t="shared" si="13"/>
        <v>1272725</v>
      </c>
      <c r="P305" s="250">
        <v>275000</v>
      </c>
      <c r="Q305" s="250">
        <f t="shared" si="14"/>
        <v>1375000</v>
      </c>
    </row>
    <row r="306" spans="2:17">
      <c r="B306" s="200">
        <v>303</v>
      </c>
      <c r="C306" s="237" t="s">
        <v>1181</v>
      </c>
      <c r="D306" s="238" t="s">
        <v>1169</v>
      </c>
      <c r="E306" s="239" t="s">
        <v>9</v>
      </c>
      <c r="F306" s="240" t="s">
        <v>1182</v>
      </c>
      <c r="G306" s="237"/>
      <c r="H306" s="237" t="s">
        <v>801</v>
      </c>
      <c r="I306" s="237"/>
      <c r="J306" s="240" t="s">
        <v>50</v>
      </c>
      <c r="K306" s="237" t="s">
        <v>1183</v>
      </c>
      <c r="L306" s="248">
        <v>44659</v>
      </c>
      <c r="M306" s="249">
        <v>254545</v>
      </c>
      <c r="N306" s="237">
        <v>4</v>
      </c>
      <c r="O306" s="250">
        <f t="shared" si="13"/>
        <v>1018180</v>
      </c>
      <c r="P306" s="250">
        <v>275000</v>
      </c>
      <c r="Q306" s="250">
        <f t="shared" si="14"/>
        <v>1100000</v>
      </c>
    </row>
    <row r="307" spans="2:17">
      <c r="B307" s="200">
        <v>304</v>
      </c>
      <c r="C307" s="237" t="s">
        <v>1184</v>
      </c>
      <c r="D307" s="238" t="s">
        <v>1169</v>
      </c>
      <c r="E307" s="239" t="s">
        <v>9</v>
      </c>
      <c r="F307" s="240" t="s">
        <v>999</v>
      </c>
      <c r="G307" s="237"/>
      <c r="H307" s="237" t="s">
        <v>801</v>
      </c>
      <c r="I307" s="237"/>
      <c r="J307" s="240" t="s">
        <v>50</v>
      </c>
      <c r="K307" s="237" t="s">
        <v>1185</v>
      </c>
      <c r="L307" s="248">
        <v>44659</v>
      </c>
      <c r="M307" s="249">
        <v>254545</v>
      </c>
      <c r="N307" s="237">
        <v>1</v>
      </c>
      <c r="O307" s="250">
        <f>M307*N307</f>
        <v>254545</v>
      </c>
      <c r="P307" s="250">
        <v>275000</v>
      </c>
      <c r="Q307" s="250">
        <f t="shared" si="14"/>
        <v>275000</v>
      </c>
    </row>
    <row r="308" spans="2:17">
      <c r="B308" s="200">
        <v>305</v>
      </c>
      <c r="C308" s="237" t="s">
        <v>1186</v>
      </c>
      <c r="D308" s="238" t="s">
        <v>1187</v>
      </c>
      <c r="E308" s="239" t="s">
        <v>11</v>
      </c>
      <c r="F308" s="240" t="s">
        <v>1188</v>
      </c>
      <c r="G308" s="237"/>
      <c r="H308" s="237" t="s">
        <v>801</v>
      </c>
      <c r="I308" s="237"/>
      <c r="J308" s="240" t="s">
        <v>50</v>
      </c>
      <c r="K308" s="237" t="s">
        <v>1189</v>
      </c>
      <c r="L308" s="248">
        <v>44662</v>
      </c>
      <c r="M308" s="249">
        <v>444545</v>
      </c>
      <c r="N308" s="237">
        <v>2</v>
      </c>
      <c r="O308" s="250">
        <f t="shared" ref="O308:O338" si="15">M308*N308</f>
        <v>889090</v>
      </c>
      <c r="P308" s="250">
        <v>556363.63</v>
      </c>
      <c r="Q308" s="250">
        <f t="shared" si="14"/>
        <v>1112727.26</v>
      </c>
    </row>
    <row r="309" spans="2:17">
      <c r="B309" s="200">
        <v>306</v>
      </c>
      <c r="C309" s="237" t="s">
        <v>1186</v>
      </c>
      <c r="D309" s="238" t="s">
        <v>1187</v>
      </c>
      <c r="E309" s="239" t="s">
        <v>11</v>
      </c>
      <c r="F309" s="240" t="s">
        <v>1188</v>
      </c>
      <c r="G309" s="237"/>
      <c r="H309" s="237" t="s">
        <v>1190</v>
      </c>
      <c r="I309" s="237"/>
      <c r="J309" s="240" t="s">
        <v>50</v>
      </c>
      <c r="K309" s="237" t="s">
        <v>1191</v>
      </c>
      <c r="L309" s="248">
        <v>44662</v>
      </c>
      <c r="M309" s="249">
        <v>444545</v>
      </c>
      <c r="N309" s="237">
        <v>5</v>
      </c>
      <c r="O309" s="250">
        <f t="shared" si="15"/>
        <v>2222725</v>
      </c>
      <c r="P309" s="250">
        <v>556363.63</v>
      </c>
      <c r="Q309" s="250">
        <f t="shared" si="14"/>
        <v>2781818.15</v>
      </c>
    </row>
    <row r="310" spans="2:17">
      <c r="B310" s="200">
        <v>307</v>
      </c>
      <c r="C310" s="237" t="s">
        <v>1186</v>
      </c>
      <c r="D310" s="238" t="s">
        <v>1187</v>
      </c>
      <c r="E310" s="239" t="s">
        <v>11</v>
      </c>
      <c r="F310" s="240" t="s">
        <v>1188</v>
      </c>
      <c r="G310" s="237"/>
      <c r="H310" s="237" t="s">
        <v>1192</v>
      </c>
      <c r="I310" s="237"/>
      <c r="J310" s="240" t="s">
        <v>50</v>
      </c>
      <c r="K310" s="237" t="s">
        <v>1193</v>
      </c>
      <c r="L310" s="248">
        <v>44662</v>
      </c>
      <c r="M310" s="249">
        <v>444545</v>
      </c>
      <c r="N310" s="237">
        <v>5</v>
      </c>
      <c r="O310" s="250">
        <f t="shared" si="15"/>
        <v>2222725</v>
      </c>
      <c r="P310" s="250">
        <v>556363.63</v>
      </c>
      <c r="Q310" s="250">
        <f t="shared" si="14"/>
        <v>2781818.15</v>
      </c>
    </row>
    <row r="311" spans="2:17">
      <c r="B311" s="200">
        <v>308</v>
      </c>
      <c r="C311" s="237" t="s">
        <v>1194</v>
      </c>
      <c r="D311" s="238" t="s">
        <v>1195</v>
      </c>
      <c r="E311" s="239" t="s">
        <v>9</v>
      </c>
      <c r="F311" s="240" t="s">
        <v>1196</v>
      </c>
      <c r="G311" s="237"/>
      <c r="H311" s="237" t="s">
        <v>1197</v>
      </c>
      <c r="I311" s="237"/>
      <c r="J311" s="240" t="s">
        <v>50</v>
      </c>
      <c r="K311" s="237" t="s">
        <v>1198</v>
      </c>
      <c r="L311" s="248">
        <v>44663</v>
      </c>
      <c r="M311" s="249">
        <v>254545</v>
      </c>
      <c r="N311" s="237">
        <v>1</v>
      </c>
      <c r="O311" s="250">
        <f t="shared" si="15"/>
        <v>254545</v>
      </c>
      <c r="P311" s="250">
        <v>275000</v>
      </c>
      <c r="Q311" s="250">
        <f t="shared" si="14"/>
        <v>275000</v>
      </c>
    </row>
    <row r="312" spans="2:17">
      <c r="B312" s="200">
        <v>309</v>
      </c>
      <c r="C312" s="237" t="s">
        <v>1199</v>
      </c>
      <c r="D312" s="238" t="s">
        <v>1195</v>
      </c>
      <c r="E312" s="239" t="s">
        <v>9</v>
      </c>
      <c r="F312" s="240" t="s">
        <v>1063</v>
      </c>
      <c r="G312" s="237"/>
      <c r="H312" s="237" t="s">
        <v>1197</v>
      </c>
      <c r="I312" s="237"/>
      <c r="J312" s="240" t="s">
        <v>50</v>
      </c>
      <c r="K312" s="237" t="s">
        <v>1200</v>
      </c>
      <c r="L312" s="248">
        <v>44663</v>
      </c>
      <c r="M312" s="249">
        <v>254545</v>
      </c>
      <c r="N312" s="237">
        <v>1</v>
      </c>
      <c r="O312" s="250">
        <f t="shared" si="15"/>
        <v>254545</v>
      </c>
      <c r="P312" s="250">
        <v>275000</v>
      </c>
      <c r="Q312" s="250">
        <f t="shared" si="14"/>
        <v>275000</v>
      </c>
    </row>
    <row r="313" spans="2:17">
      <c r="B313" s="200">
        <v>310</v>
      </c>
      <c r="C313" s="237" t="s">
        <v>1201</v>
      </c>
      <c r="D313" s="238" t="s">
        <v>1202</v>
      </c>
      <c r="E313" s="239" t="s">
        <v>9</v>
      </c>
      <c r="F313" s="240" t="s">
        <v>1203</v>
      </c>
      <c r="G313" s="237"/>
      <c r="H313" s="237" t="s">
        <v>1204</v>
      </c>
      <c r="I313" s="237"/>
      <c r="J313" s="240" t="s">
        <v>50</v>
      </c>
      <c r="K313" s="237" t="s">
        <v>1205</v>
      </c>
      <c r="L313" s="248">
        <v>44669</v>
      </c>
      <c r="M313" s="249">
        <v>254545</v>
      </c>
      <c r="N313" s="237">
        <v>1</v>
      </c>
      <c r="O313" s="250">
        <f t="shared" si="15"/>
        <v>254545</v>
      </c>
      <c r="P313" s="250">
        <v>275000</v>
      </c>
      <c r="Q313" s="250">
        <f t="shared" si="14"/>
        <v>275000</v>
      </c>
    </row>
    <row r="314" spans="2:17">
      <c r="B314" s="200">
        <v>311</v>
      </c>
      <c r="C314" s="237" t="s">
        <v>1206</v>
      </c>
      <c r="D314" s="238" t="s">
        <v>1202</v>
      </c>
      <c r="E314" s="239" t="s">
        <v>9</v>
      </c>
      <c r="F314" s="240" t="s">
        <v>1207</v>
      </c>
      <c r="G314" s="237"/>
      <c r="H314" s="237" t="s">
        <v>1204</v>
      </c>
      <c r="I314" s="237"/>
      <c r="J314" s="240" t="s">
        <v>50</v>
      </c>
      <c r="K314" s="237" t="s">
        <v>1208</v>
      </c>
      <c r="L314" s="248">
        <v>44669</v>
      </c>
      <c r="M314" s="249">
        <v>254545</v>
      </c>
      <c r="N314" s="237">
        <v>9</v>
      </c>
      <c r="O314" s="250">
        <f t="shared" si="15"/>
        <v>2290905</v>
      </c>
      <c r="P314" s="250">
        <v>275000</v>
      </c>
      <c r="Q314" s="250">
        <f t="shared" si="14"/>
        <v>2475000</v>
      </c>
    </row>
    <row r="315" spans="2:17">
      <c r="B315" s="200">
        <v>312</v>
      </c>
      <c r="C315" s="237" t="s">
        <v>1209</v>
      </c>
      <c r="D315" s="238" t="s">
        <v>1202</v>
      </c>
      <c r="E315" s="239" t="s">
        <v>9</v>
      </c>
      <c r="F315" s="240" t="s">
        <v>1210</v>
      </c>
      <c r="G315" s="237"/>
      <c r="H315" s="237" t="s">
        <v>1204</v>
      </c>
      <c r="I315" s="237"/>
      <c r="J315" s="240" t="s">
        <v>50</v>
      </c>
      <c r="K315" s="237" t="s">
        <v>1211</v>
      </c>
      <c r="L315" s="248">
        <v>44669</v>
      </c>
      <c r="M315" s="249">
        <v>254545</v>
      </c>
      <c r="N315" s="237">
        <v>2</v>
      </c>
      <c r="O315" s="250">
        <f t="shared" si="15"/>
        <v>509090</v>
      </c>
      <c r="P315" s="250">
        <v>275000</v>
      </c>
      <c r="Q315" s="250">
        <f t="shared" si="14"/>
        <v>550000</v>
      </c>
    </row>
    <row r="316" spans="2:17">
      <c r="B316" s="200">
        <v>313</v>
      </c>
      <c r="C316" s="237" t="s">
        <v>1212</v>
      </c>
      <c r="D316" s="238" t="s">
        <v>1213</v>
      </c>
      <c r="E316" s="239" t="s">
        <v>9</v>
      </c>
      <c r="F316" s="240" t="s">
        <v>1214</v>
      </c>
      <c r="G316" s="237"/>
      <c r="H316" s="237" t="s">
        <v>1215</v>
      </c>
      <c r="I316" s="237"/>
      <c r="J316" s="240" t="s">
        <v>50</v>
      </c>
      <c r="K316" s="237" t="s">
        <v>1216</v>
      </c>
      <c r="L316" s="248">
        <v>44676</v>
      </c>
      <c r="M316" s="249">
        <v>254545</v>
      </c>
      <c r="N316" s="237">
        <v>2</v>
      </c>
      <c r="O316" s="250">
        <f t="shared" si="15"/>
        <v>509090</v>
      </c>
      <c r="P316" s="250">
        <v>275000</v>
      </c>
      <c r="Q316" s="250">
        <f t="shared" si="14"/>
        <v>550000</v>
      </c>
    </row>
    <row r="317" spans="2:17">
      <c r="B317" s="200">
        <v>314</v>
      </c>
      <c r="C317" s="237" t="s">
        <v>1217</v>
      </c>
      <c r="D317" s="238" t="s">
        <v>1213</v>
      </c>
      <c r="E317" s="239" t="s">
        <v>9</v>
      </c>
      <c r="F317" s="240" t="s">
        <v>1218</v>
      </c>
      <c r="G317" s="237"/>
      <c r="H317" s="237" t="s">
        <v>1215</v>
      </c>
      <c r="I317" s="237"/>
      <c r="J317" s="240" t="s">
        <v>50</v>
      </c>
      <c r="K317" s="237" t="s">
        <v>1219</v>
      </c>
      <c r="L317" s="248">
        <v>44676</v>
      </c>
      <c r="M317" s="249">
        <v>254545</v>
      </c>
      <c r="N317" s="237">
        <v>2</v>
      </c>
      <c r="O317" s="250">
        <f t="shared" si="15"/>
        <v>509090</v>
      </c>
      <c r="P317" s="250">
        <v>275000</v>
      </c>
      <c r="Q317" s="250">
        <f t="shared" si="14"/>
        <v>550000</v>
      </c>
    </row>
    <row r="318" spans="2:17">
      <c r="B318" s="200">
        <v>315</v>
      </c>
      <c r="C318" s="237" t="s">
        <v>1220</v>
      </c>
      <c r="D318" s="238" t="s">
        <v>1213</v>
      </c>
      <c r="E318" s="239" t="s">
        <v>9</v>
      </c>
      <c r="F318" s="240" t="s">
        <v>445</v>
      </c>
      <c r="G318" s="237"/>
      <c r="H318" s="237" t="s">
        <v>1221</v>
      </c>
      <c r="I318" s="237"/>
      <c r="J318" s="240" t="s">
        <v>50</v>
      </c>
      <c r="K318" s="237" t="s">
        <v>1222</v>
      </c>
      <c r="L318" s="248">
        <v>44676</v>
      </c>
      <c r="M318" s="249">
        <v>254545</v>
      </c>
      <c r="N318" s="237">
        <v>1</v>
      </c>
      <c r="O318" s="250">
        <f t="shared" si="15"/>
        <v>254545</v>
      </c>
      <c r="P318" s="250">
        <v>275000</v>
      </c>
      <c r="Q318" s="250">
        <f t="shared" si="14"/>
        <v>275000</v>
      </c>
    </row>
    <row r="319" spans="2:17">
      <c r="B319" s="200">
        <v>316</v>
      </c>
      <c r="C319" s="241" t="s">
        <v>1223</v>
      </c>
      <c r="D319" s="242" t="s">
        <v>1224</v>
      </c>
      <c r="E319" s="243" t="s">
        <v>9</v>
      </c>
      <c r="F319" s="244" t="s">
        <v>665</v>
      </c>
      <c r="G319" s="241"/>
      <c r="H319" s="241" t="s">
        <v>1225</v>
      </c>
      <c r="I319" s="241"/>
      <c r="J319" s="244" t="s">
        <v>50</v>
      </c>
      <c r="K319" s="241" t="s">
        <v>1226</v>
      </c>
      <c r="L319" s="251">
        <v>44690</v>
      </c>
      <c r="M319" s="252">
        <v>254545</v>
      </c>
      <c r="N319" s="241">
        <v>2</v>
      </c>
      <c r="O319" s="253">
        <f t="shared" si="15"/>
        <v>509090</v>
      </c>
      <c r="P319" s="253">
        <v>275000</v>
      </c>
      <c r="Q319" s="253">
        <f t="shared" si="14"/>
        <v>550000</v>
      </c>
    </row>
    <row r="320" spans="2:17">
      <c r="B320" s="200">
        <v>317</v>
      </c>
      <c r="C320" s="241" t="s">
        <v>1227</v>
      </c>
      <c r="D320" s="242" t="s">
        <v>1224</v>
      </c>
      <c r="E320" s="243" t="s">
        <v>9</v>
      </c>
      <c r="F320" s="244" t="s">
        <v>1228</v>
      </c>
      <c r="G320" s="241"/>
      <c r="H320" s="241" t="s">
        <v>1225</v>
      </c>
      <c r="I320" s="241"/>
      <c r="J320" s="244" t="s">
        <v>50</v>
      </c>
      <c r="K320" s="241" t="s">
        <v>1229</v>
      </c>
      <c r="L320" s="251">
        <v>44690</v>
      </c>
      <c r="M320" s="252">
        <v>254545</v>
      </c>
      <c r="N320" s="241">
        <v>3</v>
      </c>
      <c r="O320" s="253">
        <f t="shared" si="15"/>
        <v>763635</v>
      </c>
      <c r="P320" s="253">
        <v>275000</v>
      </c>
      <c r="Q320" s="253">
        <f t="shared" si="14"/>
        <v>825000</v>
      </c>
    </row>
    <row r="321" spans="2:17">
      <c r="B321" s="200">
        <v>318</v>
      </c>
      <c r="C321" s="241" t="s">
        <v>1230</v>
      </c>
      <c r="D321" s="242" t="s">
        <v>1231</v>
      </c>
      <c r="E321" s="243" t="s">
        <v>11</v>
      </c>
      <c r="F321" s="244" t="s">
        <v>6</v>
      </c>
      <c r="G321" s="241"/>
      <c r="H321" s="241" t="s">
        <v>1232</v>
      </c>
      <c r="I321" s="241"/>
      <c r="J321" s="244" t="s">
        <v>50</v>
      </c>
      <c r="K321" s="241" t="s">
        <v>1233</v>
      </c>
      <c r="L321" s="251">
        <v>44690</v>
      </c>
      <c r="M321" s="252">
        <v>184875</v>
      </c>
      <c r="N321" s="241">
        <v>3</v>
      </c>
      <c r="O321" s="253">
        <f t="shared" si="15"/>
        <v>554625</v>
      </c>
      <c r="P321" s="253">
        <v>201682</v>
      </c>
      <c r="Q321" s="253">
        <f t="shared" si="14"/>
        <v>605046</v>
      </c>
    </row>
    <row r="322" spans="2:17">
      <c r="B322" s="200">
        <v>319</v>
      </c>
      <c r="C322" s="241" t="s">
        <v>1234</v>
      </c>
      <c r="D322" s="242" t="s">
        <v>1235</v>
      </c>
      <c r="E322" s="243" t="s">
        <v>9</v>
      </c>
      <c r="F322" s="244" t="s">
        <v>1047</v>
      </c>
      <c r="G322" s="241"/>
      <c r="H322" s="241" t="s">
        <v>1236</v>
      </c>
      <c r="I322" s="241"/>
      <c r="J322" s="244" t="s">
        <v>50</v>
      </c>
      <c r="K322" s="241" t="s">
        <v>1237</v>
      </c>
      <c r="L322" s="251">
        <v>44690</v>
      </c>
      <c r="M322" s="252">
        <v>254545</v>
      </c>
      <c r="N322" s="241">
        <v>1</v>
      </c>
      <c r="O322" s="253">
        <f t="shared" si="15"/>
        <v>254545</v>
      </c>
      <c r="P322" s="253">
        <v>275000</v>
      </c>
      <c r="Q322" s="253">
        <f t="shared" si="14"/>
        <v>275000</v>
      </c>
    </row>
    <row r="323" spans="2:17">
      <c r="B323" s="200">
        <v>320</v>
      </c>
      <c r="C323" s="241" t="s">
        <v>1238</v>
      </c>
      <c r="D323" s="242" t="s">
        <v>1235</v>
      </c>
      <c r="E323" s="243" t="s">
        <v>9</v>
      </c>
      <c r="F323" s="244" t="s">
        <v>1173</v>
      </c>
      <c r="G323" s="241"/>
      <c r="H323" s="241" t="s">
        <v>1236</v>
      </c>
      <c r="I323" s="241"/>
      <c r="J323" s="244" t="s">
        <v>50</v>
      </c>
      <c r="K323" s="241" t="s">
        <v>1239</v>
      </c>
      <c r="L323" s="251">
        <v>44690</v>
      </c>
      <c r="M323" s="252">
        <v>254545</v>
      </c>
      <c r="N323" s="241">
        <v>2</v>
      </c>
      <c r="O323" s="253">
        <f t="shared" si="15"/>
        <v>509090</v>
      </c>
      <c r="P323" s="253">
        <v>275000</v>
      </c>
      <c r="Q323" s="253">
        <f t="shared" si="14"/>
        <v>550000</v>
      </c>
    </row>
    <row r="324" spans="2:17">
      <c r="B324" s="200">
        <v>321</v>
      </c>
      <c r="C324" s="241" t="s">
        <v>1240</v>
      </c>
      <c r="D324" s="242" t="s">
        <v>1241</v>
      </c>
      <c r="E324" s="243" t="s">
        <v>9</v>
      </c>
      <c r="F324" s="244" t="s">
        <v>1242</v>
      </c>
      <c r="G324" s="241"/>
      <c r="H324" s="241" t="s">
        <v>1243</v>
      </c>
      <c r="I324" s="241"/>
      <c r="J324" s="244" t="s">
        <v>50</v>
      </c>
      <c r="K324" s="241" t="s">
        <v>1244</v>
      </c>
      <c r="L324" s="251">
        <v>44693</v>
      </c>
      <c r="M324" s="252">
        <v>254545</v>
      </c>
      <c r="N324" s="241">
        <v>1</v>
      </c>
      <c r="O324" s="253">
        <f t="shared" si="15"/>
        <v>254545</v>
      </c>
      <c r="P324" s="253">
        <v>275000</v>
      </c>
      <c r="Q324" s="253">
        <f t="shared" si="14"/>
        <v>275000</v>
      </c>
    </row>
    <row r="325" spans="2:17">
      <c r="B325" s="200">
        <v>322</v>
      </c>
      <c r="C325" s="241" t="s">
        <v>1245</v>
      </c>
      <c r="D325" s="242" t="s">
        <v>1241</v>
      </c>
      <c r="E325" s="243" t="s">
        <v>9</v>
      </c>
      <c r="F325" s="244" t="s">
        <v>1246</v>
      </c>
      <c r="G325" s="241"/>
      <c r="H325" s="241" t="s">
        <v>1247</v>
      </c>
      <c r="I325" s="241"/>
      <c r="J325" s="244" t="s">
        <v>50</v>
      </c>
      <c r="K325" s="241" t="s">
        <v>1248</v>
      </c>
      <c r="L325" s="251">
        <v>44693</v>
      </c>
      <c r="M325" s="252">
        <v>254545</v>
      </c>
      <c r="N325" s="241">
        <v>1</v>
      </c>
      <c r="O325" s="253">
        <f t="shared" si="15"/>
        <v>254545</v>
      </c>
      <c r="P325" s="253">
        <v>275000</v>
      </c>
      <c r="Q325" s="253">
        <f t="shared" si="14"/>
        <v>275000</v>
      </c>
    </row>
    <row r="326" spans="2:17">
      <c r="B326" s="200">
        <v>323</v>
      </c>
      <c r="C326" s="241" t="s">
        <v>1249</v>
      </c>
      <c r="D326" s="242" t="s">
        <v>1250</v>
      </c>
      <c r="E326" s="243" t="s">
        <v>9</v>
      </c>
      <c r="F326" s="244" t="s">
        <v>1251</v>
      </c>
      <c r="G326" s="241"/>
      <c r="H326" s="241" t="s">
        <v>1252</v>
      </c>
      <c r="I326" s="241"/>
      <c r="J326" s="244" t="s">
        <v>50</v>
      </c>
      <c r="K326" s="241" t="s">
        <v>1253</v>
      </c>
      <c r="L326" s="251">
        <v>44701</v>
      </c>
      <c r="M326" s="252">
        <v>254545</v>
      </c>
      <c r="N326" s="241">
        <v>1</v>
      </c>
      <c r="O326" s="253">
        <f t="shared" si="15"/>
        <v>254545</v>
      </c>
      <c r="P326" s="253">
        <v>275000</v>
      </c>
      <c r="Q326" s="253">
        <f t="shared" si="14"/>
        <v>275000</v>
      </c>
    </row>
    <row r="327" spans="2:17">
      <c r="B327" s="200">
        <v>324</v>
      </c>
      <c r="C327" s="241" t="s">
        <v>1254</v>
      </c>
      <c r="D327" s="242" t="s">
        <v>1250</v>
      </c>
      <c r="E327" s="243" t="s">
        <v>9</v>
      </c>
      <c r="F327" s="244" t="s">
        <v>1255</v>
      </c>
      <c r="G327" s="241"/>
      <c r="H327" s="241" t="s">
        <v>1247</v>
      </c>
      <c r="I327" s="241"/>
      <c r="J327" s="244" t="s">
        <v>50</v>
      </c>
      <c r="K327" s="241" t="s">
        <v>1256</v>
      </c>
      <c r="L327" s="251">
        <v>44701</v>
      </c>
      <c r="M327" s="252">
        <v>254545</v>
      </c>
      <c r="N327" s="241">
        <v>3</v>
      </c>
      <c r="O327" s="253">
        <f t="shared" si="15"/>
        <v>763635</v>
      </c>
      <c r="P327" s="253">
        <v>275000</v>
      </c>
      <c r="Q327" s="253">
        <f t="shared" si="14"/>
        <v>825000</v>
      </c>
    </row>
    <row r="328" spans="2:17">
      <c r="B328" s="200">
        <v>325</v>
      </c>
      <c r="C328" s="241" t="s">
        <v>1257</v>
      </c>
      <c r="D328" s="242" t="s">
        <v>1258</v>
      </c>
      <c r="E328" s="243" t="s">
        <v>82</v>
      </c>
      <c r="F328" s="243" t="s">
        <v>83</v>
      </c>
      <c r="G328" s="241"/>
      <c r="H328" s="241" t="s">
        <v>1259</v>
      </c>
      <c r="I328" s="241"/>
      <c r="J328" s="244" t="s">
        <v>85</v>
      </c>
      <c r="K328" s="241" t="s">
        <v>1260</v>
      </c>
      <c r="L328" s="251">
        <v>44705</v>
      </c>
      <c r="M328" s="252">
        <v>222727</v>
      </c>
      <c r="N328" s="241">
        <v>350</v>
      </c>
      <c r="O328" s="253">
        <f t="shared" si="15"/>
        <v>77954450</v>
      </c>
      <c r="P328" s="253">
        <v>279090.90999999997</v>
      </c>
      <c r="Q328" s="253">
        <f t="shared" si="14"/>
        <v>97681818.499999985</v>
      </c>
    </row>
    <row r="329" spans="2:17">
      <c r="B329" s="200">
        <v>326</v>
      </c>
      <c r="C329" s="241" t="s">
        <v>1261</v>
      </c>
      <c r="D329" s="242" t="s">
        <v>1262</v>
      </c>
      <c r="E329" s="243" t="s">
        <v>9</v>
      </c>
      <c r="F329" s="244" t="s">
        <v>1263</v>
      </c>
      <c r="G329" s="241"/>
      <c r="H329" s="241" t="s">
        <v>1264</v>
      </c>
      <c r="I329" s="241"/>
      <c r="J329" s="244" t="s">
        <v>50</v>
      </c>
      <c r="K329" s="241" t="s">
        <v>1265</v>
      </c>
      <c r="L329" s="251">
        <v>44706</v>
      </c>
      <c r="M329" s="252">
        <v>254545</v>
      </c>
      <c r="N329" s="241">
        <v>6</v>
      </c>
      <c r="O329" s="253">
        <f t="shared" si="15"/>
        <v>1527270</v>
      </c>
      <c r="P329" s="253">
        <v>275000</v>
      </c>
      <c r="Q329" s="253">
        <f t="shared" si="14"/>
        <v>1650000</v>
      </c>
    </row>
    <row r="330" spans="2:17">
      <c r="B330" s="200">
        <v>327</v>
      </c>
      <c r="C330" s="237" t="s">
        <v>1266</v>
      </c>
      <c r="D330" s="238" t="s">
        <v>1267</v>
      </c>
      <c r="E330" s="239" t="s">
        <v>9</v>
      </c>
      <c r="F330" s="239" t="s">
        <v>660</v>
      </c>
      <c r="G330" s="237"/>
      <c r="H330" s="237" t="s">
        <v>1268</v>
      </c>
      <c r="I330" s="237"/>
      <c r="J330" s="240" t="s">
        <v>50</v>
      </c>
      <c r="K330" s="237" t="s">
        <v>1269</v>
      </c>
      <c r="L330" s="248">
        <v>44715</v>
      </c>
      <c r="M330" s="249">
        <v>254545</v>
      </c>
      <c r="N330" s="237">
        <v>1</v>
      </c>
      <c r="O330" s="250">
        <f t="shared" si="15"/>
        <v>254545</v>
      </c>
      <c r="P330" s="250">
        <v>275000</v>
      </c>
      <c r="Q330" s="250">
        <f t="shared" si="14"/>
        <v>275000</v>
      </c>
    </row>
    <row r="331" spans="2:17">
      <c r="B331" s="200">
        <v>328</v>
      </c>
      <c r="C331" s="237" t="s">
        <v>1270</v>
      </c>
      <c r="D331" s="238" t="s">
        <v>1267</v>
      </c>
      <c r="E331" s="239" t="s">
        <v>9</v>
      </c>
      <c r="F331" s="239" t="s">
        <v>1271</v>
      </c>
      <c r="G331" s="237"/>
      <c r="H331" s="237" t="s">
        <v>1272</v>
      </c>
      <c r="I331" s="237"/>
      <c r="J331" s="240" t="s">
        <v>50</v>
      </c>
      <c r="K331" s="237" t="s">
        <v>1273</v>
      </c>
      <c r="L331" s="248">
        <v>44715</v>
      </c>
      <c r="M331" s="249">
        <v>254545</v>
      </c>
      <c r="N331" s="237">
        <v>3</v>
      </c>
      <c r="O331" s="250">
        <f t="shared" si="15"/>
        <v>763635</v>
      </c>
      <c r="P331" s="250">
        <v>275000</v>
      </c>
      <c r="Q331" s="250">
        <f t="shared" si="14"/>
        <v>825000</v>
      </c>
    </row>
    <row r="332" spans="2:17">
      <c r="B332" s="200">
        <v>329</v>
      </c>
      <c r="C332" s="237" t="s">
        <v>1274</v>
      </c>
      <c r="D332" s="238" t="s">
        <v>1275</v>
      </c>
      <c r="E332" s="239" t="s">
        <v>16</v>
      </c>
      <c r="F332" s="239" t="s">
        <v>1276</v>
      </c>
      <c r="G332" s="237"/>
      <c r="H332" s="237" t="s">
        <v>1277</v>
      </c>
      <c r="I332" s="237"/>
      <c r="J332" s="240" t="s">
        <v>85</v>
      </c>
      <c r="K332" s="237" t="s">
        <v>1278</v>
      </c>
      <c r="L332" s="248">
        <v>44718</v>
      </c>
      <c r="M332" s="249">
        <v>222727</v>
      </c>
      <c r="N332" s="237">
        <v>5</v>
      </c>
      <c r="O332" s="250">
        <f t="shared" si="15"/>
        <v>1113635</v>
      </c>
      <c r="P332" s="250">
        <v>279091</v>
      </c>
      <c r="Q332" s="250">
        <f t="shared" si="14"/>
        <v>1395455</v>
      </c>
    </row>
    <row r="333" spans="2:17">
      <c r="B333" s="200">
        <v>330</v>
      </c>
      <c r="C333" s="237" t="s">
        <v>1279</v>
      </c>
      <c r="D333" s="238" t="s">
        <v>1280</v>
      </c>
      <c r="E333" s="239" t="s">
        <v>9</v>
      </c>
      <c r="F333" s="240" t="s">
        <v>1281</v>
      </c>
      <c r="G333" s="237"/>
      <c r="H333" s="237" t="s">
        <v>1282</v>
      </c>
      <c r="I333" s="237"/>
      <c r="J333" s="240" t="s">
        <v>50</v>
      </c>
      <c r="K333" s="237" t="s">
        <v>1283</v>
      </c>
      <c r="L333" s="248">
        <v>44720</v>
      </c>
      <c r="M333" s="249">
        <v>254545</v>
      </c>
      <c r="N333" s="237">
        <v>3</v>
      </c>
      <c r="O333" s="250">
        <f t="shared" si="15"/>
        <v>763635</v>
      </c>
      <c r="P333" s="250">
        <v>275000</v>
      </c>
      <c r="Q333" s="250">
        <f t="shared" si="14"/>
        <v>825000</v>
      </c>
    </row>
    <row r="334" spans="2:17">
      <c r="B334" s="200">
        <v>331</v>
      </c>
      <c r="C334" s="237" t="s">
        <v>1284</v>
      </c>
      <c r="D334" s="238" t="s">
        <v>1280</v>
      </c>
      <c r="E334" s="239" t="s">
        <v>9</v>
      </c>
      <c r="F334" s="240" t="s">
        <v>1285</v>
      </c>
      <c r="G334" s="237"/>
      <c r="H334" s="237" t="s">
        <v>1286</v>
      </c>
      <c r="I334" s="237"/>
      <c r="J334" s="240" t="s">
        <v>50</v>
      </c>
      <c r="K334" s="237" t="s">
        <v>1287</v>
      </c>
      <c r="L334" s="248">
        <v>44720</v>
      </c>
      <c r="M334" s="249">
        <v>254545</v>
      </c>
      <c r="N334" s="237">
        <v>1</v>
      </c>
      <c r="O334" s="250">
        <f t="shared" si="15"/>
        <v>254545</v>
      </c>
      <c r="P334" s="250">
        <v>275000</v>
      </c>
      <c r="Q334" s="250">
        <f t="shared" si="14"/>
        <v>275000</v>
      </c>
    </row>
    <row r="335" spans="2:17">
      <c r="B335" s="200">
        <v>332</v>
      </c>
      <c r="C335" s="237" t="s">
        <v>1288</v>
      </c>
      <c r="D335" s="238" t="s">
        <v>1289</v>
      </c>
      <c r="E335" s="239" t="s">
        <v>11</v>
      </c>
      <c r="F335" s="240" t="s">
        <v>320</v>
      </c>
      <c r="G335" s="237"/>
      <c r="H335" s="237" t="s">
        <v>1290</v>
      </c>
      <c r="I335" s="237"/>
      <c r="J335" s="240" t="s">
        <v>85</v>
      </c>
      <c r="K335" s="237" t="s">
        <v>1291</v>
      </c>
      <c r="L335" s="248">
        <v>44720</v>
      </c>
      <c r="M335" s="249">
        <v>222727</v>
      </c>
      <c r="N335" s="237">
        <v>20</v>
      </c>
      <c r="O335" s="250">
        <f t="shared" si="15"/>
        <v>4454540</v>
      </c>
      <c r="P335" s="250">
        <v>279091</v>
      </c>
      <c r="Q335" s="250">
        <f t="shared" si="14"/>
        <v>5581820</v>
      </c>
    </row>
    <row r="336" spans="2:17">
      <c r="B336" s="200">
        <v>333</v>
      </c>
      <c r="C336" s="237" t="s">
        <v>1292</v>
      </c>
      <c r="D336" s="238" t="s">
        <v>1289</v>
      </c>
      <c r="E336" s="239" t="s">
        <v>11</v>
      </c>
      <c r="F336" s="240" t="s">
        <v>320</v>
      </c>
      <c r="G336" s="237"/>
      <c r="H336" s="237" t="s">
        <v>1290</v>
      </c>
      <c r="I336" s="237"/>
      <c r="J336" s="240" t="s">
        <v>85</v>
      </c>
      <c r="K336" s="237" t="s">
        <v>1293</v>
      </c>
      <c r="L336" s="248">
        <v>44720</v>
      </c>
      <c r="M336" s="249">
        <v>222727</v>
      </c>
      <c r="N336" s="237">
        <v>5</v>
      </c>
      <c r="O336" s="250">
        <f t="shared" si="15"/>
        <v>1113635</v>
      </c>
      <c r="P336" s="250">
        <v>279091</v>
      </c>
      <c r="Q336" s="250">
        <f t="shared" si="14"/>
        <v>1395455</v>
      </c>
    </row>
    <row r="337" spans="2:17">
      <c r="B337" s="200">
        <v>334</v>
      </c>
      <c r="C337" s="237" t="s">
        <v>1294</v>
      </c>
      <c r="D337" s="238" t="s">
        <v>1295</v>
      </c>
      <c r="E337" s="239" t="s">
        <v>1296</v>
      </c>
      <c r="F337" s="240" t="s">
        <v>1297</v>
      </c>
      <c r="G337" s="237"/>
      <c r="H337" s="237" t="s">
        <v>1298</v>
      </c>
      <c r="I337" s="237"/>
      <c r="J337" s="240" t="s">
        <v>85</v>
      </c>
      <c r="K337" s="237" t="s">
        <v>1299</v>
      </c>
      <c r="L337" s="248">
        <v>44739</v>
      </c>
      <c r="M337" s="249">
        <v>222727</v>
      </c>
      <c r="N337" s="237">
        <v>9</v>
      </c>
      <c r="O337" s="250">
        <f t="shared" si="15"/>
        <v>2004543</v>
      </c>
      <c r="P337" s="250">
        <v>279091</v>
      </c>
      <c r="Q337" s="250">
        <f t="shared" si="14"/>
        <v>2511819</v>
      </c>
    </row>
    <row r="338" spans="2:17">
      <c r="B338" s="200">
        <v>335</v>
      </c>
      <c r="C338" s="237" t="s">
        <v>1300</v>
      </c>
      <c r="D338" s="238" t="s">
        <v>1295</v>
      </c>
      <c r="E338" s="239" t="s">
        <v>1296</v>
      </c>
      <c r="F338" s="240" t="s">
        <v>733</v>
      </c>
      <c r="G338" s="237"/>
      <c r="H338" s="237" t="s">
        <v>1298</v>
      </c>
      <c r="I338" s="237"/>
      <c r="J338" s="240" t="s">
        <v>85</v>
      </c>
      <c r="K338" s="237" t="s">
        <v>1301</v>
      </c>
      <c r="L338" s="248">
        <v>44739</v>
      </c>
      <c r="M338" s="249">
        <v>222727</v>
      </c>
      <c r="N338" s="237">
        <v>6</v>
      </c>
      <c r="O338" s="250">
        <f t="shared" si="15"/>
        <v>1336362</v>
      </c>
      <c r="P338" s="250">
        <v>279091</v>
      </c>
      <c r="Q338" s="250">
        <f t="shared" si="14"/>
        <v>1674546</v>
      </c>
    </row>
    <row r="339" spans="2:17">
      <c r="B339" s="200">
        <v>336</v>
      </c>
      <c r="C339" s="237" t="s">
        <v>1302</v>
      </c>
      <c r="D339" s="238" t="s">
        <v>1303</v>
      </c>
      <c r="E339" s="239" t="s">
        <v>11</v>
      </c>
      <c r="F339" s="240" t="s">
        <v>320</v>
      </c>
      <c r="G339" s="237"/>
      <c r="H339" s="237" t="s">
        <v>1304</v>
      </c>
      <c r="I339" s="237"/>
      <c r="J339" s="240" t="s">
        <v>50</v>
      </c>
      <c r="K339" s="237" t="s">
        <v>1305</v>
      </c>
      <c r="L339" s="248">
        <v>44736</v>
      </c>
      <c r="M339" s="249">
        <v>444545</v>
      </c>
      <c r="N339" s="237">
        <v>35</v>
      </c>
      <c r="O339" s="250">
        <f t="shared" si="13"/>
        <v>15559075</v>
      </c>
      <c r="P339" s="250">
        <v>556363.63</v>
      </c>
      <c r="Q339" s="250">
        <f t="shared" si="14"/>
        <v>19472727.050000001</v>
      </c>
    </row>
    <row r="340" spans="2:17">
      <c r="B340" s="200">
        <v>337</v>
      </c>
      <c r="C340" s="237" t="s">
        <v>1306</v>
      </c>
      <c r="D340" s="238" t="s">
        <v>1307</v>
      </c>
      <c r="E340" s="239" t="s">
        <v>9</v>
      </c>
      <c r="F340" s="240" t="s">
        <v>1308</v>
      </c>
      <c r="G340" s="237"/>
      <c r="H340" s="237" t="s">
        <v>1309</v>
      </c>
      <c r="I340" s="237"/>
      <c r="J340" s="240" t="s">
        <v>50</v>
      </c>
      <c r="K340" s="237" t="s">
        <v>1310</v>
      </c>
      <c r="L340" s="248">
        <v>44726</v>
      </c>
      <c r="M340" s="249">
        <v>254545</v>
      </c>
      <c r="N340" s="237">
        <v>1</v>
      </c>
      <c r="O340" s="250">
        <f t="shared" si="13"/>
        <v>254545</v>
      </c>
      <c r="P340" s="250">
        <v>275000</v>
      </c>
      <c r="Q340" s="250">
        <f t="shared" si="14"/>
        <v>275000</v>
      </c>
    </row>
    <row r="341" spans="2:17">
      <c r="B341" s="200">
        <v>338</v>
      </c>
      <c r="C341" s="237" t="s">
        <v>1311</v>
      </c>
      <c r="D341" s="238" t="s">
        <v>1307</v>
      </c>
      <c r="E341" s="239" t="s">
        <v>9</v>
      </c>
      <c r="F341" s="240" t="s">
        <v>1312</v>
      </c>
      <c r="G341" s="237"/>
      <c r="H341" s="237" t="s">
        <v>1309</v>
      </c>
      <c r="I341" s="237"/>
      <c r="J341" s="240" t="s">
        <v>50</v>
      </c>
      <c r="K341" s="237" t="s">
        <v>1313</v>
      </c>
      <c r="L341" s="248">
        <v>44726</v>
      </c>
      <c r="M341" s="249">
        <v>254545</v>
      </c>
      <c r="N341" s="237">
        <v>2</v>
      </c>
      <c r="O341" s="250">
        <f t="shared" si="13"/>
        <v>509090</v>
      </c>
      <c r="P341" s="250">
        <v>275000</v>
      </c>
      <c r="Q341" s="250">
        <f t="shared" si="14"/>
        <v>550000</v>
      </c>
    </row>
    <row r="342" spans="2:17">
      <c r="B342" s="200">
        <v>339</v>
      </c>
      <c r="C342" s="237" t="s">
        <v>1314</v>
      </c>
      <c r="D342" s="238" t="s">
        <v>1307</v>
      </c>
      <c r="E342" s="239" t="s">
        <v>9</v>
      </c>
      <c r="F342" s="240" t="s">
        <v>1312</v>
      </c>
      <c r="G342" s="237"/>
      <c r="H342" s="237" t="s">
        <v>1309</v>
      </c>
      <c r="I342" s="237"/>
      <c r="J342" s="240" t="s">
        <v>50</v>
      </c>
      <c r="K342" s="237" t="s">
        <v>1315</v>
      </c>
      <c r="L342" s="248">
        <v>44726</v>
      </c>
      <c r="M342" s="249">
        <v>254545</v>
      </c>
      <c r="N342" s="237">
        <v>1</v>
      </c>
      <c r="O342" s="250">
        <f t="shared" si="13"/>
        <v>254545</v>
      </c>
      <c r="P342" s="250">
        <v>275000</v>
      </c>
      <c r="Q342" s="250">
        <f t="shared" si="14"/>
        <v>275000</v>
      </c>
    </row>
    <row r="343" spans="2:17">
      <c r="B343" s="200">
        <v>340</v>
      </c>
      <c r="C343" s="237" t="s">
        <v>1316</v>
      </c>
      <c r="D343" s="238" t="s">
        <v>1317</v>
      </c>
      <c r="E343" s="239" t="s">
        <v>9</v>
      </c>
      <c r="F343" s="240" t="s">
        <v>1312</v>
      </c>
      <c r="G343" s="237"/>
      <c r="H343" s="237" t="s">
        <v>1318</v>
      </c>
      <c r="I343" s="237"/>
      <c r="J343" s="240" t="s">
        <v>50</v>
      </c>
      <c r="K343" s="237" t="s">
        <v>1319</v>
      </c>
      <c r="L343" s="248">
        <v>44728</v>
      </c>
      <c r="M343" s="249">
        <v>254545</v>
      </c>
      <c r="N343" s="237">
        <v>5</v>
      </c>
      <c r="O343" s="250">
        <f t="shared" si="13"/>
        <v>1272725</v>
      </c>
      <c r="P343" s="250">
        <v>275000</v>
      </c>
      <c r="Q343" s="250">
        <f t="shared" si="14"/>
        <v>1375000</v>
      </c>
    </row>
    <row r="344" spans="2:17">
      <c r="B344" s="200">
        <v>341</v>
      </c>
      <c r="C344" s="237" t="s">
        <v>1320</v>
      </c>
      <c r="D344" s="238">
        <v>82472</v>
      </c>
      <c r="E344" s="239" t="s">
        <v>17</v>
      </c>
      <c r="F344" s="240" t="s">
        <v>114</v>
      </c>
      <c r="G344" s="237"/>
      <c r="H344" s="237" t="s">
        <v>1321</v>
      </c>
      <c r="I344" s="237"/>
      <c r="J344" s="240" t="s">
        <v>85</v>
      </c>
      <c r="K344" s="237" t="s">
        <v>311</v>
      </c>
      <c r="L344" s="248">
        <v>44729</v>
      </c>
      <c r="M344" s="249">
        <v>222727</v>
      </c>
      <c r="N344" s="237">
        <v>4</v>
      </c>
      <c r="O344" s="250">
        <f t="shared" si="13"/>
        <v>890908</v>
      </c>
      <c r="P344" s="250">
        <v>278378.38</v>
      </c>
      <c r="Q344" s="250">
        <f t="shared" si="14"/>
        <v>1113513.52</v>
      </c>
    </row>
    <row r="345" spans="2:17">
      <c r="B345" s="200">
        <v>342</v>
      </c>
      <c r="C345" s="237" t="s">
        <v>1322</v>
      </c>
      <c r="D345" s="238">
        <v>82472</v>
      </c>
      <c r="E345" s="239" t="s">
        <v>17</v>
      </c>
      <c r="F345" s="240" t="s">
        <v>114</v>
      </c>
      <c r="G345" s="237"/>
      <c r="H345" s="237" t="s">
        <v>1321</v>
      </c>
      <c r="I345" s="237"/>
      <c r="J345" s="240" t="s">
        <v>92</v>
      </c>
      <c r="K345" s="237" t="s">
        <v>303</v>
      </c>
      <c r="L345" s="248">
        <v>44729</v>
      </c>
      <c r="M345" s="249">
        <v>46364</v>
      </c>
      <c r="N345" s="237">
        <v>4</v>
      </c>
      <c r="O345" s="250">
        <f t="shared" si="13"/>
        <v>185456</v>
      </c>
      <c r="P345" s="250">
        <v>57657.66</v>
      </c>
      <c r="Q345" s="250">
        <f t="shared" si="14"/>
        <v>230630.64</v>
      </c>
    </row>
    <row r="346" spans="2:17">
      <c r="B346" s="200">
        <v>343</v>
      </c>
      <c r="C346" s="237" t="s">
        <v>1323</v>
      </c>
      <c r="D346" s="238">
        <v>82472</v>
      </c>
      <c r="E346" s="239" t="s">
        <v>17</v>
      </c>
      <c r="F346" s="240" t="s">
        <v>114</v>
      </c>
      <c r="G346" s="237"/>
      <c r="H346" s="237" t="s">
        <v>1324</v>
      </c>
      <c r="I346" s="237"/>
      <c r="J346" s="240" t="s">
        <v>85</v>
      </c>
      <c r="K346" s="237" t="s">
        <v>386</v>
      </c>
      <c r="L346" s="248">
        <v>44729</v>
      </c>
      <c r="M346" s="249">
        <v>222727</v>
      </c>
      <c r="N346" s="237">
        <v>1</v>
      </c>
      <c r="O346" s="250">
        <f t="shared" si="13"/>
        <v>222727</v>
      </c>
      <c r="P346" s="250">
        <v>278378.38</v>
      </c>
      <c r="Q346" s="250">
        <f t="shared" si="14"/>
        <v>278378.38</v>
      </c>
    </row>
    <row r="347" spans="2:17">
      <c r="B347" s="200">
        <v>344</v>
      </c>
      <c r="C347" s="237" t="s">
        <v>1325</v>
      </c>
      <c r="D347" s="238">
        <v>82472</v>
      </c>
      <c r="E347" s="239" t="s">
        <v>17</v>
      </c>
      <c r="F347" s="240" t="s">
        <v>114</v>
      </c>
      <c r="G347" s="237"/>
      <c r="H347" s="237" t="s">
        <v>1324</v>
      </c>
      <c r="I347" s="237"/>
      <c r="J347" s="240" t="s">
        <v>92</v>
      </c>
      <c r="K347" s="237" t="s">
        <v>377</v>
      </c>
      <c r="L347" s="248">
        <v>44729</v>
      </c>
      <c r="M347" s="249">
        <v>46364</v>
      </c>
      <c r="N347" s="237">
        <v>1</v>
      </c>
      <c r="O347" s="250">
        <f t="shared" si="13"/>
        <v>46364</v>
      </c>
      <c r="P347" s="250">
        <v>57657.66</v>
      </c>
      <c r="Q347" s="250">
        <f t="shared" si="14"/>
        <v>57657.66</v>
      </c>
    </row>
    <row r="348" spans="2:17">
      <c r="B348" s="200">
        <v>345</v>
      </c>
      <c r="C348" s="237" t="s">
        <v>1326</v>
      </c>
      <c r="D348" s="238">
        <v>82472</v>
      </c>
      <c r="E348" s="239" t="s">
        <v>17</v>
      </c>
      <c r="F348" s="240" t="s">
        <v>114</v>
      </c>
      <c r="G348" s="237"/>
      <c r="H348" s="237" t="s">
        <v>1327</v>
      </c>
      <c r="I348" s="237"/>
      <c r="J348" s="240" t="s">
        <v>85</v>
      </c>
      <c r="K348" s="237" t="s">
        <v>389</v>
      </c>
      <c r="L348" s="248">
        <v>44729</v>
      </c>
      <c r="M348" s="249">
        <v>222727</v>
      </c>
      <c r="N348" s="237">
        <v>11</v>
      </c>
      <c r="O348" s="250">
        <f t="shared" si="13"/>
        <v>2449997</v>
      </c>
      <c r="P348" s="250">
        <v>278378.38</v>
      </c>
      <c r="Q348" s="250">
        <f t="shared" si="14"/>
        <v>3062162.18</v>
      </c>
    </row>
    <row r="349" spans="2:17">
      <c r="B349" s="200">
        <v>346</v>
      </c>
      <c r="C349" s="237" t="s">
        <v>1328</v>
      </c>
      <c r="D349" s="238">
        <v>82472</v>
      </c>
      <c r="E349" s="239" t="s">
        <v>17</v>
      </c>
      <c r="F349" s="240" t="s">
        <v>114</v>
      </c>
      <c r="G349" s="237"/>
      <c r="H349" s="237" t="s">
        <v>1327</v>
      </c>
      <c r="I349" s="237"/>
      <c r="J349" s="240" t="s">
        <v>92</v>
      </c>
      <c r="K349" s="237" t="s">
        <v>380</v>
      </c>
      <c r="L349" s="248">
        <v>44729</v>
      </c>
      <c r="M349" s="249">
        <v>46364</v>
      </c>
      <c r="N349" s="237">
        <v>11</v>
      </c>
      <c r="O349" s="250">
        <f t="shared" si="13"/>
        <v>510004</v>
      </c>
      <c r="P349" s="250">
        <v>57657.66</v>
      </c>
      <c r="Q349" s="250">
        <f t="shared" si="14"/>
        <v>634234.26</v>
      </c>
    </row>
    <row r="350" spans="2:17">
      <c r="B350" s="200">
        <v>347</v>
      </c>
      <c r="C350" s="237" t="s">
        <v>1329</v>
      </c>
      <c r="D350" s="238" t="s">
        <v>1330</v>
      </c>
      <c r="E350" s="239" t="s">
        <v>16</v>
      </c>
      <c r="F350" s="240" t="s">
        <v>165</v>
      </c>
      <c r="G350" s="237"/>
      <c r="H350" s="237" t="s">
        <v>1331</v>
      </c>
      <c r="I350" s="237"/>
      <c r="J350" s="240" t="s">
        <v>85</v>
      </c>
      <c r="K350" s="237" t="s">
        <v>429</v>
      </c>
      <c r="L350" s="248">
        <v>44735</v>
      </c>
      <c r="M350" s="249">
        <v>222727</v>
      </c>
      <c r="N350" s="237">
        <v>310</v>
      </c>
      <c r="O350" s="250">
        <f t="shared" si="13"/>
        <v>69045370</v>
      </c>
      <c r="P350" s="250">
        <v>279091</v>
      </c>
      <c r="Q350" s="250">
        <f t="shared" si="14"/>
        <v>86518210</v>
      </c>
    </row>
    <row r="351" spans="2:17">
      <c r="B351" s="200">
        <v>348</v>
      </c>
      <c r="C351" s="237" t="s">
        <v>1332</v>
      </c>
      <c r="D351" s="238" t="s">
        <v>1333</v>
      </c>
      <c r="E351" s="239" t="s">
        <v>9</v>
      </c>
      <c r="F351" s="240" t="s">
        <v>1334</v>
      </c>
      <c r="G351" s="237"/>
      <c r="H351" s="237" t="s">
        <v>1268</v>
      </c>
      <c r="I351" s="237"/>
      <c r="J351" s="240" t="s">
        <v>50</v>
      </c>
      <c r="K351" s="237" t="s">
        <v>1335</v>
      </c>
      <c r="L351" s="248">
        <v>44739</v>
      </c>
      <c r="M351" s="249">
        <v>254545</v>
      </c>
      <c r="N351" s="237">
        <v>4</v>
      </c>
      <c r="O351" s="250">
        <f t="shared" si="13"/>
        <v>1018180</v>
      </c>
      <c r="P351" s="250">
        <v>275000</v>
      </c>
      <c r="Q351" s="250">
        <f t="shared" si="14"/>
        <v>1100000</v>
      </c>
    </row>
    <row r="352" spans="2:17">
      <c r="B352" s="200">
        <v>349</v>
      </c>
      <c r="C352" s="237" t="s">
        <v>1336</v>
      </c>
      <c r="D352" s="238" t="s">
        <v>1337</v>
      </c>
      <c r="E352" s="239" t="s">
        <v>6</v>
      </c>
      <c r="F352" s="240" t="s">
        <v>88</v>
      </c>
      <c r="G352" s="237"/>
      <c r="H352" s="237" t="s">
        <v>1331</v>
      </c>
      <c r="I352" s="237"/>
      <c r="J352" s="240" t="s">
        <v>63</v>
      </c>
      <c r="K352" s="237" t="s">
        <v>1338</v>
      </c>
      <c r="L352" s="248">
        <v>44740</v>
      </c>
      <c r="M352" s="249">
        <v>92727</v>
      </c>
      <c r="N352" s="237">
        <v>7</v>
      </c>
      <c r="O352" s="250">
        <f t="shared" si="13"/>
        <v>649089</v>
      </c>
      <c r="P352" s="250">
        <v>116216.22</v>
      </c>
      <c r="Q352" s="250">
        <f t="shared" si="14"/>
        <v>813513.54</v>
      </c>
    </row>
    <row r="353" spans="2:17">
      <c r="B353" s="200">
        <v>350</v>
      </c>
      <c r="C353" s="237" t="s">
        <v>1339</v>
      </c>
      <c r="D353" s="238" t="s">
        <v>1340</v>
      </c>
      <c r="E353" s="239" t="s">
        <v>16</v>
      </c>
      <c r="F353" s="240" t="s">
        <v>1276</v>
      </c>
      <c r="G353" s="237"/>
      <c r="H353" s="237" t="s">
        <v>1341</v>
      </c>
      <c r="I353" s="237"/>
      <c r="J353" s="240" t="s">
        <v>85</v>
      </c>
      <c r="K353" s="237" t="s">
        <v>1278</v>
      </c>
      <c r="L353" s="248">
        <v>44742</v>
      </c>
      <c r="M353" s="249">
        <v>222727</v>
      </c>
      <c r="N353" s="237">
        <v>5</v>
      </c>
      <c r="O353" s="250">
        <f t="shared" ref="O353:O362" si="16">M353*N353</f>
        <v>1113635</v>
      </c>
      <c r="P353" s="250">
        <v>279091</v>
      </c>
      <c r="Q353" s="250">
        <f t="shared" si="14"/>
        <v>1395455</v>
      </c>
    </row>
    <row r="354" spans="2:17">
      <c r="B354" s="200">
        <v>351</v>
      </c>
      <c r="C354" s="237" t="s">
        <v>1342</v>
      </c>
      <c r="D354" s="238" t="s">
        <v>1343</v>
      </c>
      <c r="E354" s="239" t="s">
        <v>9</v>
      </c>
      <c r="F354" s="240" t="s">
        <v>1344</v>
      </c>
      <c r="G354" s="237"/>
      <c r="H354" s="237" t="s">
        <v>1345</v>
      </c>
      <c r="I354" s="237"/>
      <c r="J354" s="240" t="s">
        <v>50</v>
      </c>
      <c r="K354" s="237" t="s">
        <v>1346</v>
      </c>
      <c r="L354" s="248">
        <v>44742</v>
      </c>
      <c r="M354" s="249">
        <v>254545</v>
      </c>
      <c r="N354" s="237">
        <v>2</v>
      </c>
      <c r="O354" s="250">
        <f t="shared" si="16"/>
        <v>509090</v>
      </c>
      <c r="P354" s="250">
        <v>275000</v>
      </c>
      <c r="Q354" s="250">
        <f t="shared" si="14"/>
        <v>550000</v>
      </c>
    </row>
    <row r="355" spans="2:17">
      <c r="B355" s="200">
        <v>352</v>
      </c>
      <c r="C355" s="241" t="s">
        <v>1347</v>
      </c>
      <c r="D355" s="242" t="s">
        <v>1348</v>
      </c>
      <c r="E355" s="243" t="s">
        <v>9</v>
      </c>
      <c r="F355" s="244" t="s">
        <v>1349</v>
      </c>
      <c r="G355" s="241"/>
      <c r="H355" s="241" t="s">
        <v>1350</v>
      </c>
      <c r="I355" s="241"/>
      <c r="J355" s="244" t="s">
        <v>50</v>
      </c>
      <c r="K355" s="241" t="s">
        <v>1351</v>
      </c>
      <c r="L355" s="251">
        <v>44747</v>
      </c>
      <c r="M355" s="252">
        <v>254545</v>
      </c>
      <c r="N355" s="241">
        <v>1</v>
      </c>
      <c r="O355" s="253">
        <f t="shared" si="16"/>
        <v>254545</v>
      </c>
      <c r="P355" s="253">
        <v>275000</v>
      </c>
      <c r="Q355" s="253">
        <f t="shared" si="14"/>
        <v>275000</v>
      </c>
    </row>
    <row r="356" spans="2:17">
      <c r="B356" s="200">
        <v>353</v>
      </c>
      <c r="C356" s="241" t="s">
        <v>1352</v>
      </c>
      <c r="D356" s="242">
        <v>4010013271</v>
      </c>
      <c r="E356" s="243" t="s">
        <v>2</v>
      </c>
      <c r="F356" s="243" t="s">
        <v>1353</v>
      </c>
      <c r="G356" s="241"/>
      <c r="H356" s="241" t="s">
        <v>1354</v>
      </c>
      <c r="I356" s="241"/>
      <c r="J356" s="244" t="s">
        <v>63</v>
      </c>
      <c r="K356" s="241" t="s">
        <v>424</v>
      </c>
      <c r="L356" s="251">
        <v>44749</v>
      </c>
      <c r="M356" s="252">
        <v>92727</v>
      </c>
      <c r="N356" s="241">
        <v>250</v>
      </c>
      <c r="O356" s="253">
        <f t="shared" si="16"/>
        <v>23181750</v>
      </c>
      <c r="P356" s="253">
        <f>188700/1.11</f>
        <v>169999.99999999997</v>
      </c>
      <c r="Q356" s="253">
        <f t="shared" si="14"/>
        <v>42499999.999999993</v>
      </c>
    </row>
    <row r="357" spans="2:17">
      <c r="B357" s="200">
        <v>354</v>
      </c>
      <c r="C357" s="241" t="s">
        <v>1355</v>
      </c>
      <c r="D357" s="242">
        <v>4010013271</v>
      </c>
      <c r="E357" s="243" t="s">
        <v>2</v>
      </c>
      <c r="F357" s="243" t="s">
        <v>1353</v>
      </c>
      <c r="G357" s="241"/>
      <c r="H357" s="241" t="s">
        <v>1354</v>
      </c>
      <c r="I357" s="241"/>
      <c r="J357" s="244" t="s">
        <v>85</v>
      </c>
      <c r="K357" s="241" t="s">
        <v>422</v>
      </c>
      <c r="L357" s="251">
        <v>44749</v>
      </c>
      <c r="M357" s="252">
        <v>222727</v>
      </c>
      <c r="N357" s="241">
        <v>50</v>
      </c>
      <c r="O357" s="253">
        <f t="shared" si="16"/>
        <v>11136350</v>
      </c>
      <c r="P357" s="253">
        <f>354090/1.11</f>
        <v>319000</v>
      </c>
      <c r="Q357" s="253">
        <f t="shared" ref="Q357:Q397" si="17">P357*N357</f>
        <v>15950000</v>
      </c>
    </row>
    <row r="358" spans="2:17">
      <c r="B358" s="200">
        <v>355</v>
      </c>
      <c r="C358" s="241" t="s">
        <v>1356</v>
      </c>
      <c r="D358" s="242" t="s">
        <v>1357</v>
      </c>
      <c r="E358" s="243" t="s">
        <v>6</v>
      </c>
      <c r="F358" s="244" t="s">
        <v>218</v>
      </c>
      <c r="G358" s="241"/>
      <c r="H358" s="241" t="s">
        <v>1358</v>
      </c>
      <c r="I358" s="241"/>
      <c r="J358" s="244" t="s">
        <v>63</v>
      </c>
      <c r="K358" s="241" t="s">
        <v>1359</v>
      </c>
      <c r="L358" s="251">
        <v>44750</v>
      </c>
      <c r="M358" s="252">
        <v>92727</v>
      </c>
      <c r="N358" s="241">
        <v>4</v>
      </c>
      <c r="O358" s="253">
        <f t="shared" si="16"/>
        <v>370908</v>
      </c>
      <c r="P358" s="253">
        <v>117273</v>
      </c>
      <c r="Q358" s="253">
        <f t="shared" si="17"/>
        <v>469092</v>
      </c>
    </row>
    <row r="359" spans="2:17">
      <c r="B359" s="200">
        <v>356</v>
      </c>
      <c r="C359" s="241" t="s">
        <v>1356</v>
      </c>
      <c r="D359" s="242" t="s">
        <v>1360</v>
      </c>
      <c r="E359" s="243" t="s">
        <v>19</v>
      </c>
      <c r="F359" s="244" t="s">
        <v>462</v>
      </c>
      <c r="G359" s="241"/>
      <c r="H359" s="241" t="s">
        <v>1361</v>
      </c>
      <c r="I359" s="241"/>
      <c r="J359" s="244" t="s">
        <v>85</v>
      </c>
      <c r="K359" s="241" t="s">
        <v>1362</v>
      </c>
      <c r="L359" s="251">
        <v>44750</v>
      </c>
      <c r="M359" s="252">
        <v>222727</v>
      </c>
      <c r="N359" s="241">
        <v>16</v>
      </c>
      <c r="O359" s="253">
        <f t="shared" si="16"/>
        <v>3563632</v>
      </c>
      <c r="P359" s="253">
        <v>279091</v>
      </c>
      <c r="Q359" s="253">
        <f t="shared" si="17"/>
        <v>4465456</v>
      </c>
    </row>
    <row r="360" spans="2:17">
      <c r="B360" s="200">
        <v>357</v>
      </c>
      <c r="C360" s="241" t="s">
        <v>1363</v>
      </c>
      <c r="D360" s="242" t="s">
        <v>1364</v>
      </c>
      <c r="E360" s="243" t="s">
        <v>9</v>
      </c>
      <c r="F360" s="244" t="s">
        <v>1365</v>
      </c>
      <c r="G360" s="241"/>
      <c r="H360" s="241" t="s">
        <v>1366</v>
      </c>
      <c r="I360" s="241"/>
      <c r="J360" s="244" t="s">
        <v>50</v>
      </c>
      <c r="K360" s="241" t="s">
        <v>1367</v>
      </c>
      <c r="L360" s="251">
        <v>44757</v>
      </c>
      <c r="M360" s="252">
        <v>254545</v>
      </c>
      <c r="N360" s="241">
        <v>7</v>
      </c>
      <c r="O360" s="253">
        <f t="shared" si="16"/>
        <v>1781815</v>
      </c>
      <c r="P360" s="253">
        <v>275000</v>
      </c>
      <c r="Q360" s="253">
        <f t="shared" si="17"/>
        <v>1925000</v>
      </c>
    </row>
    <row r="361" spans="2:17">
      <c r="B361" s="200">
        <v>358</v>
      </c>
      <c r="C361" s="241" t="s">
        <v>1368</v>
      </c>
      <c r="D361" s="242" t="s">
        <v>1364</v>
      </c>
      <c r="E361" s="243" t="s">
        <v>9</v>
      </c>
      <c r="F361" s="244" t="s">
        <v>1369</v>
      </c>
      <c r="G361" s="241"/>
      <c r="H361" s="241" t="s">
        <v>1366</v>
      </c>
      <c r="I361" s="241"/>
      <c r="J361" s="244" t="s">
        <v>50</v>
      </c>
      <c r="K361" s="241" t="s">
        <v>1370</v>
      </c>
      <c r="L361" s="251">
        <v>44757</v>
      </c>
      <c r="M361" s="252">
        <v>254545</v>
      </c>
      <c r="N361" s="241">
        <v>3</v>
      </c>
      <c r="O361" s="253">
        <f t="shared" si="16"/>
        <v>763635</v>
      </c>
      <c r="P361" s="253">
        <v>275000</v>
      </c>
      <c r="Q361" s="253">
        <f t="shared" si="17"/>
        <v>825000</v>
      </c>
    </row>
    <row r="362" spans="2:17">
      <c r="B362" s="200">
        <v>359</v>
      </c>
      <c r="C362" s="241" t="s">
        <v>1371</v>
      </c>
      <c r="D362" s="242" t="s">
        <v>1372</v>
      </c>
      <c r="E362" s="243" t="s">
        <v>11</v>
      </c>
      <c r="F362" s="243" t="s">
        <v>11</v>
      </c>
      <c r="G362" s="241"/>
      <c r="H362" s="241" t="s">
        <v>1373</v>
      </c>
      <c r="I362" s="241"/>
      <c r="J362" s="244" t="s">
        <v>92</v>
      </c>
      <c r="K362" s="241" t="s">
        <v>1374</v>
      </c>
      <c r="L362" s="251">
        <v>44760</v>
      </c>
      <c r="M362" s="252">
        <v>46364</v>
      </c>
      <c r="N362" s="241">
        <v>300</v>
      </c>
      <c r="O362" s="253">
        <f t="shared" si="16"/>
        <v>13909200</v>
      </c>
      <c r="P362" s="253">
        <v>55273</v>
      </c>
      <c r="Q362" s="253">
        <f t="shared" si="17"/>
        <v>16581900</v>
      </c>
    </row>
    <row r="363" spans="2:17">
      <c r="B363" s="200">
        <v>360</v>
      </c>
      <c r="C363" s="241" t="s">
        <v>1375</v>
      </c>
      <c r="D363" s="242" t="s">
        <v>1376</v>
      </c>
      <c r="E363" s="243" t="s">
        <v>11</v>
      </c>
      <c r="F363" s="244" t="s">
        <v>320</v>
      </c>
      <c r="G363" s="241"/>
      <c r="H363" s="241" t="s">
        <v>1377</v>
      </c>
      <c r="I363" s="241"/>
      <c r="J363" s="244" t="s">
        <v>50</v>
      </c>
      <c r="K363" s="241" t="s">
        <v>1378</v>
      </c>
      <c r="L363" s="251">
        <v>44762</v>
      </c>
      <c r="M363" s="252">
        <v>444545</v>
      </c>
      <c r="N363" s="241">
        <v>28</v>
      </c>
      <c r="O363" s="253">
        <f t="shared" ref="O363:O427" si="18">M363*N363</f>
        <v>12447260</v>
      </c>
      <c r="P363" s="253">
        <v>556363.63</v>
      </c>
      <c r="Q363" s="253">
        <f t="shared" si="17"/>
        <v>15578181.640000001</v>
      </c>
    </row>
    <row r="364" spans="2:17">
      <c r="B364" s="200">
        <v>361</v>
      </c>
      <c r="C364" s="241" t="s">
        <v>1379</v>
      </c>
      <c r="D364" s="242" t="s">
        <v>1376</v>
      </c>
      <c r="E364" s="243" t="s">
        <v>11</v>
      </c>
      <c r="F364" s="244" t="s">
        <v>320</v>
      </c>
      <c r="G364" s="241"/>
      <c r="H364" s="241" t="s">
        <v>1380</v>
      </c>
      <c r="I364" s="241"/>
      <c r="J364" s="244" t="s">
        <v>50</v>
      </c>
      <c r="K364" s="241" t="s">
        <v>1381</v>
      </c>
      <c r="L364" s="251">
        <v>44762</v>
      </c>
      <c r="M364" s="252">
        <v>444545</v>
      </c>
      <c r="N364" s="241">
        <v>3</v>
      </c>
      <c r="O364" s="253">
        <f t="shared" si="18"/>
        <v>1333635</v>
      </c>
      <c r="P364" s="253">
        <v>556363.63</v>
      </c>
      <c r="Q364" s="253">
        <f t="shared" si="17"/>
        <v>1669090.8900000001</v>
      </c>
    </row>
    <row r="365" spans="2:17">
      <c r="B365" s="200">
        <v>362</v>
      </c>
      <c r="C365" s="241" t="s">
        <v>1382</v>
      </c>
      <c r="D365" s="242">
        <v>2500016606</v>
      </c>
      <c r="E365" s="243" t="s">
        <v>10</v>
      </c>
      <c r="F365" s="244" t="s">
        <v>814</v>
      </c>
      <c r="G365" s="241"/>
      <c r="H365" s="241" t="s">
        <v>1383</v>
      </c>
      <c r="I365" s="241"/>
      <c r="J365" s="244" t="s">
        <v>816</v>
      </c>
      <c r="K365" s="241" t="s">
        <v>1384</v>
      </c>
      <c r="L365" s="251">
        <v>44763</v>
      </c>
      <c r="M365" s="252">
        <v>22727</v>
      </c>
      <c r="N365" s="241">
        <v>5</v>
      </c>
      <c r="O365" s="253">
        <f t="shared" si="18"/>
        <v>113635</v>
      </c>
      <c r="P365" s="253">
        <v>29091</v>
      </c>
      <c r="Q365" s="253">
        <f t="shared" si="17"/>
        <v>145455</v>
      </c>
    </row>
    <row r="366" spans="2:17">
      <c r="B366" s="200">
        <v>363</v>
      </c>
      <c r="C366" s="241" t="s">
        <v>1385</v>
      </c>
      <c r="D366" s="242" t="s">
        <v>1386</v>
      </c>
      <c r="E366" s="243" t="s">
        <v>9</v>
      </c>
      <c r="F366" s="244" t="s">
        <v>1387</v>
      </c>
      <c r="G366" s="241"/>
      <c r="H366" s="241" t="s">
        <v>1388</v>
      </c>
      <c r="I366" s="241"/>
      <c r="J366" s="244" t="s">
        <v>50</v>
      </c>
      <c r="K366" s="241" t="s">
        <v>1389</v>
      </c>
      <c r="L366" s="251">
        <v>44767</v>
      </c>
      <c r="M366" s="252">
        <v>254545</v>
      </c>
      <c r="N366" s="241">
        <v>6</v>
      </c>
      <c r="O366" s="253">
        <f t="shared" si="18"/>
        <v>1527270</v>
      </c>
      <c r="P366" s="253">
        <v>275000</v>
      </c>
      <c r="Q366" s="253">
        <f t="shared" si="17"/>
        <v>1650000</v>
      </c>
    </row>
    <row r="367" spans="2:17">
      <c r="B367" s="200">
        <v>364</v>
      </c>
      <c r="C367" s="241" t="s">
        <v>1390</v>
      </c>
      <c r="D367" s="242" t="s">
        <v>1386</v>
      </c>
      <c r="E367" s="243" t="s">
        <v>9</v>
      </c>
      <c r="F367" s="244" t="s">
        <v>1391</v>
      </c>
      <c r="G367" s="241"/>
      <c r="H367" s="241" t="s">
        <v>1388</v>
      </c>
      <c r="I367" s="241"/>
      <c r="J367" s="244" t="s">
        <v>50</v>
      </c>
      <c r="K367" s="241" t="s">
        <v>1392</v>
      </c>
      <c r="L367" s="251">
        <v>44767</v>
      </c>
      <c r="M367" s="252">
        <v>254545</v>
      </c>
      <c r="N367" s="241">
        <v>6</v>
      </c>
      <c r="O367" s="253">
        <f t="shared" si="18"/>
        <v>1527270</v>
      </c>
      <c r="P367" s="253">
        <v>275000</v>
      </c>
      <c r="Q367" s="253">
        <f t="shared" si="17"/>
        <v>1650000</v>
      </c>
    </row>
    <row r="368" spans="2:17">
      <c r="B368" s="200">
        <v>365</v>
      </c>
      <c r="C368" s="241" t="s">
        <v>1393</v>
      </c>
      <c r="D368" s="242" t="s">
        <v>1386</v>
      </c>
      <c r="E368" s="243" t="s">
        <v>9</v>
      </c>
      <c r="F368" s="244" t="s">
        <v>1394</v>
      </c>
      <c r="G368" s="241"/>
      <c r="H368" s="241" t="s">
        <v>1395</v>
      </c>
      <c r="I368" s="241"/>
      <c r="J368" s="244" t="s">
        <v>50</v>
      </c>
      <c r="K368" s="241" t="s">
        <v>1396</v>
      </c>
      <c r="L368" s="251">
        <v>44767</v>
      </c>
      <c r="M368" s="252">
        <v>254545</v>
      </c>
      <c r="N368" s="241">
        <v>3</v>
      </c>
      <c r="O368" s="253">
        <f t="shared" si="18"/>
        <v>763635</v>
      </c>
      <c r="P368" s="253">
        <v>275000</v>
      </c>
      <c r="Q368" s="253">
        <f t="shared" si="17"/>
        <v>825000</v>
      </c>
    </row>
    <row r="369" spans="2:17">
      <c r="B369" s="200">
        <v>366</v>
      </c>
      <c r="C369" s="241" t="s">
        <v>1397</v>
      </c>
      <c r="D369" s="242" t="s">
        <v>1398</v>
      </c>
      <c r="E369" s="243" t="s">
        <v>11</v>
      </c>
      <c r="F369" s="244" t="s">
        <v>733</v>
      </c>
      <c r="G369" s="241"/>
      <c r="H369" s="241" t="s">
        <v>1399</v>
      </c>
      <c r="I369" s="241"/>
      <c r="J369" s="244" t="s">
        <v>85</v>
      </c>
      <c r="K369" s="241" t="s">
        <v>1400</v>
      </c>
      <c r="L369" s="251">
        <v>44767</v>
      </c>
      <c r="M369" s="252">
        <v>222727</v>
      </c>
      <c r="N369" s="241">
        <v>1</v>
      </c>
      <c r="O369" s="253">
        <f t="shared" si="18"/>
        <v>222727</v>
      </c>
      <c r="P369" s="253">
        <v>279091</v>
      </c>
      <c r="Q369" s="253">
        <f t="shared" si="17"/>
        <v>279091</v>
      </c>
    </row>
    <row r="370" spans="2:17">
      <c r="B370" s="200">
        <v>367</v>
      </c>
      <c r="C370" s="241" t="s">
        <v>1401</v>
      </c>
      <c r="D370" s="242" t="s">
        <v>1402</v>
      </c>
      <c r="E370" s="243" t="s">
        <v>9</v>
      </c>
      <c r="F370" s="244" t="s">
        <v>1403</v>
      </c>
      <c r="G370" s="241"/>
      <c r="H370" s="241" t="s">
        <v>1404</v>
      </c>
      <c r="I370" s="241"/>
      <c r="J370" s="244" t="s">
        <v>50</v>
      </c>
      <c r="K370" s="241" t="s">
        <v>1405</v>
      </c>
      <c r="L370" s="251">
        <v>44769</v>
      </c>
      <c r="M370" s="252">
        <v>254545</v>
      </c>
      <c r="N370" s="241">
        <v>1</v>
      </c>
      <c r="O370" s="253">
        <f t="shared" si="18"/>
        <v>254545</v>
      </c>
      <c r="P370" s="253">
        <v>275000</v>
      </c>
      <c r="Q370" s="253">
        <f t="shared" si="17"/>
        <v>275000</v>
      </c>
    </row>
    <row r="371" spans="2:17">
      <c r="B371" s="200">
        <v>368</v>
      </c>
      <c r="C371" s="241" t="s">
        <v>1406</v>
      </c>
      <c r="D371" s="242" t="s">
        <v>1402</v>
      </c>
      <c r="E371" s="243" t="s">
        <v>9</v>
      </c>
      <c r="F371" s="243" t="s">
        <v>1407</v>
      </c>
      <c r="G371" s="241"/>
      <c r="H371" s="241" t="s">
        <v>1408</v>
      </c>
      <c r="I371" s="241"/>
      <c r="J371" s="244" t="s">
        <v>50</v>
      </c>
      <c r="K371" s="241" t="s">
        <v>1409</v>
      </c>
      <c r="L371" s="251">
        <v>44769</v>
      </c>
      <c r="M371" s="252">
        <v>254545</v>
      </c>
      <c r="N371" s="241">
        <v>1</v>
      </c>
      <c r="O371" s="253">
        <f t="shared" si="18"/>
        <v>254545</v>
      </c>
      <c r="P371" s="253">
        <v>275000</v>
      </c>
      <c r="Q371" s="253">
        <f t="shared" si="17"/>
        <v>275000</v>
      </c>
    </row>
    <row r="372" spans="2:17">
      <c r="B372" s="200">
        <v>369</v>
      </c>
      <c r="C372" s="241" t="s">
        <v>1410</v>
      </c>
      <c r="D372" s="242" t="s">
        <v>1411</v>
      </c>
      <c r="E372" s="243" t="s">
        <v>11</v>
      </c>
      <c r="F372" s="244" t="s">
        <v>1412</v>
      </c>
      <c r="G372" s="241"/>
      <c r="H372" s="241" t="s">
        <v>1361</v>
      </c>
      <c r="I372" s="241"/>
      <c r="J372" s="244" t="s">
        <v>1413</v>
      </c>
      <c r="K372" s="241" t="s">
        <v>1414</v>
      </c>
      <c r="L372" s="251">
        <v>44770</v>
      </c>
      <c r="M372" s="252">
        <v>106575</v>
      </c>
      <c r="N372" s="241">
        <v>2</v>
      </c>
      <c r="O372" s="253">
        <f t="shared" si="18"/>
        <v>213150</v>
      </c>
      <c r="P372" s="253">
        <v>116264</v>
      </c>
      <c r="Q372" s="253">
        <f t="shared" si="17"/>
        <v>232528</v>
      </c>
    </row>
    <row r="373" spans="2:17">
      <c r="B373" s="200">
        <v>370</v>
      </c>
      <c r="C373" s="237" t="s">
        <v>1415</v>
      </c>
      <c r="D373" s="238" t="s">
        <v>1416</v>
      </c>
      <c r="E373" s="239" t="s">
        <v>9</v>
      </c>
      <c r="F373" s="239" t="s">
        <v>1417</v>
      </c>
      <c r="G373" s="237"/>
      <c r="H373" s="237" t="s">
        <v>1418</v>
      </c>
      <c r="I373" s="237"/>
      <c r="J373" s="240" t="s">
        <v>50</v>
      </c>
      <c r="K373" s="237" t="s">
        <v>1419</v>
      </c>
      <c r="L373" s="248">
        <v>44776</v>
      </c>
      <c r="M373" s="249">
        <v>254545</v>
      </c>
      <c r="N373" s="237">
        <v>3</v>
      </c>
      <c r="O373" s="250">
        <f t="shared" si="18"/>
        <v>763635</v>
      </c>
      <c r="P373" s="250">
        <v>275000</v>
      </c>
      <c r="Q373" s="250">
        <f t="shared" si="17"/>
        <v>825000</v>
      </c>
    </row>
    <row r="374" spans="2:17">
      <c r="B374" s="200">
        <v>371</v>
      </c>
      <c r="C374" s="237" t="s">
        <v>1420</v>
      </c>
      <c r="D374" s="238" t="s">
        <v>1421</v>
      </c>
      <c r="E374" s="239" t="s">
        <v>2</v>
      </c>
      <c r="F374" s="239" t="s">
        <v>462</v>
      </c>
      <c r="G374" s="237"/>
      <c r="H374" s="237" t="s">
        <v>1422</v>
      </c>
      <c r="I374" s="237"/>
      <c r="J374" s="240" t="s">
        <v>85</v>
      </c>
      <c r="K374" s="237" t="s">
        <v>1423</v>
      </c>
      <c r="L374" s="248">
        <v>44789</v>
      </c>
      <c r="M374" s="249">
        <v>222727</v>
      </c>
      <c r="N374" s="237">
        <v>53</v>
      </c>
      <c r="O374" s="250">
        <f t="shared" si="18"/>
        <v>11804531</v>
      </c>
      <c r="P374" s="250">
        <f>410000/1.11</f>
        <v>369369.36936936935</v>
      </c>
      <c r="Q374" s="250">
        <f t="shared" si="17"/>
        <v>19576576.576576576</v>
      </c>
    </row>
    <row r="375" spans="2:17">
      <c r="B375" s="200">
        <v>372</v>
      </c>
      <c r="C375" s="237" t="s">
        <v>1424</v>
      </c>
      <c r="D375" s="238" t="s">
        <v>1425</v>
      </c>
      <c r="E375" s="239" t="s">
        <v>2</v>
      </c>
      <c r="F375" s="239" t="s">
        <v>556</v>
      </c>
      <c r="G375" s="237"/>
      <c r="H375" s="237" t="s">
        <v>1426</v>
      </c>
      <c r="I375" s="237"/>
      <c r="J375" s="240" t="s">
        <v>85</v>
      </c>
      <c r="K375" s="237" t="s">
        <v>1427</v>
      </c>
      <c r="L375" s="248">
        <v>44792</v>
      </c>
      <c r="M375" s="249">
        <v>222727</v>
      </c>
      <c r="N375" s="237">
        <v>350</v>
      </c>
      <c r="O375" s="250">
        <f t="shared" si="18"/>
        <v>77954450</v>
      </c>
      <c r="P375" s="250">
        <v>357000</v>
      </c>
      <c r="Q375" s="250">
        <f t="shared" si="17"/>
        <v>124950000</v>
      </c>
    </row>
    <row r="376" spans="2:17">
      <c r="B376" s="200">
        <v>373</v>
      </c>
      <c r="C376" s="237" t="s">
        <v>1428</v>
      </c>
      <c r="D376" s="238" t="s">
        <v>1429</v>
      </c>
      <c r="E376" s="239" t="s">
        <v>11</v>
      </c>
      <c r="F376" s="240" t="s">
        <v>1188</v>
      </c>
      <c r="G376" s="237"/>
      <c r="H376" s="237" t="s">
        <v>1422</v>
      </c>
      <c r="I376" s="237"/>
      <c r="J376" s="240" t="s">
        <v>50</v>
      </c>
      <c r="K376" s="237" t="s">
        <v>1430</v>
      </c>
      <c r="L376" s="248">
        <v>44795</v>
      </c>
      <c r="M376" s="249">
        <v>444545</v>
      </c>
      <c r="N376" s="237">
        <v>1</v>
      </c>
      <c r="O376" s="250">
        <f t="shared" si="18"/>
        <v>444545</v>
      </c>
      <c r="P376" s="250">
        <v>556363.63</v>
      </c>
      <c r="Q376" s="250">
        <f t="shared" si="17"/>
        <v>556363.63</v>
      </c>
    </row>
    <row r="377" spans="2:17">
      <c r="B377" s="200">
        <v>374</v>
      </c>
      <c r="C377" s="237" t="s">
        <v>1431</v>
      </c>
      <c r="D377" s="238" t="s">
        <v>1432</v>
      </c>
      <c r="E377" s="239" t="s">
        <v>1296</v>
      </c>
      <c r="F377" s="240" t="s">
        <v>733</v>
      </c>
      <c r="G377" s="237"/>
      <c r="H377" s="237" t="s">
        <v>1433</v>
      </c>
      <c r="I377" s="237"/>
      <c r="J377" s="240" t="s">
        <v>85</v>
      </c>
      <c r="K377" s="237" t="s">
        <v>1434</v>
      </c>
      <c r="L377" s="248">
        <v>44799</v>
      </c>
      <c r="M377" s="249">
        <v>222727</v>
      </c>
      <c r="N377" s="237">
        <v>1</v>
      </c>
      <c r="O377" s="250">
        <f t="shared" si="18"/>
        <v>222727</v>
      </c>
      <c r="P377" s="250">
        <v>279091</v>
      </c>
      <c r="Q377" s="250">
        <f t="shared" si="17"/>
        <v>279091</v>
      </c>
    </row>
    <row r="378" spans="2:17">
      <c r="B378" s="200">
        <v>375</v>
      </c>
      <c r="C378" s="237" t="s">
        <v>1435</v>
      </c>
      <c r="D378" s="238" t="s">
        <v>1436</v>
      </c>
      <c r="E378" s="239" t="s">
        <v>1437</v>
      </c>
      <c r="F378" s="240" t="s">
        <v>1438</v>
      </c>
      <c r="G378" s="237"/>
      <c r="H378" s="237" t="s">
        <v>1439</v>
      </c>
      <c r="I378" s="237"/>
      <c r="J378" s="240" t="s">
        <v>63</v>
      </c>
      <c r="K378" s="237" t="s">
        <v>1440</v>
      </c>
      <c r="L378" s="248">
        <v>44804</v>
      </c>
      <c r="M378" s="249">
        <v>74181.600000000006</v>
      </c>
      <c r="N378" s="237">
        <v>150</v>
      </c>
      <c r="O378" s="250">
        <f t="shared" si="18"/>
        <v>11127240</v>
      </c>
      <c r="P378" s="250">
        <f>145815/1.11</f>
        <v>131364.86486486485</v>
      </c>
      <c r="Q378" s="250">
        <f t="shared" si="17"/>
        <v>19704729.729729727</v>
      </c>
    </row>
    <row r="379" spans="2:17">
      <c r="B379" s="200">
        <v>376</v>
      </c>
      <c r="C379" s="237" t="s">
        <v>1441</v>
      </c>
      <c r="D379" s="238">
        <v>2500018879</v>
      </c>
      <c r="E379" s="239" t="s">
        <v>10</v>
      </c>
      <c r="F379" s="240" t="s">
        <v>814</v>
      </c>
      <c r="G379" s="237"/>
      <c r="H379" s="237" t="s">
        <v>1442</v>
      </c>
      <c r="I379" s="237"/>
      <c r="J379" s="240" t="s">
        <v>816</v>
      </c>
      <c r="K379" s="237" t="s">
        <v>1384</v>
      </c>
      <c r="L379" s="248">
        <v>44783</v>
      </c>
      <c r="M379" s="249">
        <v>22727</v>
      </c>
      <c r="N379" s="237">
        <v>5</v>
      </c>
      <c r="O379" s="250">
        <f t="shared" si="18"/>
        <v>113635</v>
      </c>
      <c r="P379" s="250">
        <v>29091</v>
      </c>
      <c r="Q379" s="250">
        <f t="shared" si="17"/>
        <v>145455</v>
      </c>
    </row>
    <row r="380" spans="2:17">
      <c r="B380" s="200">
        <v>377</v>
      </c>
      <c r="C380" s="241" t="s">
        <v>1443</v>
      </c>
      <c r="D380" s="242" t="s">
        <v>1444</v>
      </c>
      <c r="E380" s="243" t="s">
        <v>82</v>
      </c>
      <c r="F380" s="244" t="s">
        <v>83</v>
      </c>
      <c r="G380" s="241"/>
      <c r="H380" s="241" t="s">
        <v>1445</v>
      </c>
      <c r="I380" s="241"/>
      <c r="J380" s="244" t="s">
        <v>85</v>
      </c>
      <c r="K380" s="241" t="s">
        <v>1446</v>
      </c>
      <c r="L380" s="251">
        <v>44809</v>
      </c>
      <c r="M380" s="252">
        <v>222727</v>
      </c>
      <c r="N380" s="241">
        <v>84</v>
      </c>
      <c r="O380" s="253">
        <f t="shared" si="18"/>
        <v>18709068</v>
      </c>
      <c r="P380" s="253">
        <v>279090.90999999997</v>
      </c>
      <c r="Q380" s="253">
        <f t="shared" si="17"/>
        <v>23443636.439999998</v>
      </c>
    </row>
    <row r="381" spans="2:17">
      <c r="B381" s="200">
        <v>378</v>
      </c>
      <c r="C381" s="241" t="s">
        <v>1447</v>
      </c>
      <c r="D381" s="242">
        <v>83338</v>
      </c>
      <c r="E381" s="243" t="s">
        <v>17</v>
      </c>
      <c r="F381" s="243" t="s">
        <v>88</v>
      </c>
      <c r="G381" s="241"/>
      <c r="H381" s="241" t="s">
        <v>1448</v>
      </c>
      <c r="I381" s="241"/>
      <c r="J381" s="244" t="s">
        <v>85</v>
      </c>
      <c r="K381" s="241" t="s">
        <v>1449</v>
      </c>
      <c r="L381" s="251">
        <v>44811</v>
      </c>
      <c r="M381" s="252">
        <v>222727</v>
      </c>
      <c r="N381" s="241">
        <v>5</v>
      </c>
      <c r="O381" s="253">
        <f t="shared" si="18"/>
        <v>1113635</v>
      </c>
      <c r="P381" s="253">
        <v>275000</v>
      </c>
      <c r="Q381" s="253">
        <f t="shared" si="17"/>
        <v>1375000</v>
      </c>
    </row>
    <row r="382" spans="2:17">
      <c r="B382" s="200">
        <v>379</v>
      </c>
      <c r="C382" s="241" t="s">
        <v>1450</v>
      </c>
      <c r="D382" s="242">
        <v>83338</v>
      </c>
      <c r="E382" s="243" t="s">
        <v>17</v>
      </c>
      <c r="F382" s="243" t="s">
        <v>88</v>
      </c>
      <c r="G382" s="241"/>
      <c r="H382" s="241" t="s">
        <v>1451</v>
      </c>
      <c r="I382" s="241"/>
      <c r="J382" s="244" t="s">
        <v>85</v>
      </c>
      <c r="K382" s="241" t="s">
        <v>90</v>
      </c>
      <c r="L382" s="251">
        <v>44811</v>
      </c>
      <c r="M382" s="252">
        <v>222727</v>
      </c>
      <c r="N382" s="241">
        <v>24</v>
      </c>
      <c r="O382" s="253">
        <f t="shared" si="18"/>
        <v>5345448</v>
      </c>
      <c r="P382" s="253">
        <v>275000</v>
      </c>
      <c r="Q382" s="253">
        <f t="shared" si="17"/>
        <v>6600000</v>
      </c>
    </row>
    <row r="383" spans="2:17">
      <c r="B383" s="200">
        <v>380</v>
      </c>
      <c r="C383" s="241" t="s">
        <v>1452</v>
      </c>
      <c r="D383" s="242">
        <v>83338</v>
      </c>
      <c r="E383" s="243" t="s">
        <v>17</v>
      </c>
      <c r="F383" s="243" t="s">
        <v>88</v>
      </c>
      <c r="G383" s="241"/>
      <c r="H383" s="241" t="s">
        <v>1448</v>
      </c>
      <c r="I383" s="241"/>
      <c r="J383" s="244" t="s">
        <v>92</v>
      </c>
      <c r="K383" s="241" t="s">
        <v>1453</v>
      </c>
      <c r="L383" s="251">
        <v>44811</v>
      </c>
      <c r="M383" s="252">
        <v>46364</v>
      </c>
      <c r="N383" s="241">
        <v>5</v>
      </c>
      <c r="O383" s="253">
        <f t="shared" si="18"/>
        <v>231820</v>
      </c>
      <c r="P383" s="253">
        <v>57000</v>
      </c>
      <c r="Q383" s="253">
        <f t="shared" si="17"/>
        <v>285000</v>
      </c>
    </row>
    <row r="384" spans="2:17">
      <c r="B384" s="200">
        <v>381</v>
      </c>
      <c r="C384" s="241" t="s">
        <v>1454</v>
      </c>
      <c r="D384" s="242">
        <v>83338</v>
      </c>
      <c r="E384" s="243" t="s">
        <v>17</v>
      </c>
      <c r="F384" s="243" t="s">
        <v>88</v>
      </c>
      <c r="G384" s="241"/>
      <c r="H384" s="241" t="s">
        <v>1451</v>
      </c>
      <c r="I384" s="241"/>
      <c r="J384" s="244" t="s">
        <v>92</v>
      </c>
      <c r="K384" s="241" t="s">
        <v>93</v>
      </c>
      <c r="L384" s="251">
        <v>44811</v>
      </c>
      <c r="M384" s="252">
        <v>46364</v>
      </c>
      <c r="N384" s="241">
        <v>24</v>
      </c>
      <c r="O384" s="253">
        <f t="shared" si="18"/>
        <v>1112736</v>
      </c>
      <c r="P384" s="253">
        <v>57000</v>
      </c>
      <c r="Q384" s="253">
        <f t="shared" si="17"/>
        <v>1368000</v>
      </c>
    </row>
    <row r="385" spans="2:17">
      <c r="B385" s="200">
        <v>382</v>
      </c>
      <c r="C385" s="241" t="s">
        <v>1455</v>
      </c>
      <c r="D385" s="242">
        <v>83338</v>
      </c>
      <c r="E385" s="243" t="s">
        <v>17</v>
      </c>
      <c r="F385" s="243" t="s">
        <v>88</v>
      </c>
      <c r="G385" s="241"/>
      <c r="H385" s="241" t="s">
        <v>1456</v>
      </c>
      <c r="I385" s="241"/>
      <c r="J385" s="244" t="s">
        <v>1457</v>
      </c>
      <c r="K385" s="241" t="s">
        <v>1458</v>
      </c>
      <c r="L385" s="251">
        <v>44811</v>
      </c>
      <c r="M385" s="252">
        <v>216480.5</v>
      </c>
      <c r="N385" s="241">
        <v>3</v>
      </c>
      <c r="O385" s="253">
        <f t="shared" si="18"/>
        <v>649441.5</v>
      </c>
      <c r="P385" s="253">
        <v>533408</v>
      </c>
      <c r="Q385" s="253">
        <f t="shared" si="17"/>
        <v>1600224</v>
      </c>
    </row>
    <row r="386" spans="2:17">
      <c r="B386" s="200">
        <v>383</v>
      </c>
      <c r="C386" s="241" t="s">
        <v>1459</v>
      </c>
      <c r="D386" s="242">
        <v>4800465039</v>
      </c>
      <c r="E386" s="243" t="s">
        <v>12</v>
      </c>
      <c r="F386" s="243" t="s">
        <v>742</v>
      </c>
      <c r="G386" s="241"/>
      <c r="H386" s="241" t="s">
        <v>1460</v>
      </c>
      <c r="I386" s="241"/>
      <c r="J386" s="244" t="s">
        <v>92</v>
      </c>
      <c r="K386" s="241" t="s">
        <v>1461</v>
      </c>
      <c r="L386" s="251">
        <v>44812</v>
      </c>
      <c r="M386" s="252">
        <v>32273</v>
      </c>
      <c r="N386" s="241">
        <v>906</v>
      </c>
      <c r="O386" s="253">
        <f t="shared" si="18"/>
        <v>29239338</v>
      </c>
      <c r="P386" s="253">
        <v>35500</v>
      </c>
      <c r="Q386" s="253">
        <f t="shared" si="17"/>
        <v>32163000</v>
      </c>
    </row>
    <row r="387" spans="2:17">
      <c r="B387" s="200">
        <v>384</v>
      </c>
      <c r="C387" s="241" t="s">
        <v>1462</v>
      </c>
      <c r="D387" s="242" t="s">
        <v>1463</v>
      </c>
      <c r="E387" s="243" t="s">
        <v>11</v>
      </c>
      <c r="F387" s="243" t="s">
        <v>1412</v>
      </c>
      <c r="G387" s="241"/>
      <c r="H387" s="241" t="s">
        <v>1464</v>
      </c>
      <c r="I387" s="241"/>
      <c r="J387" s="244" t="s">
        <v>1413</v>
      </c>
      <c r="K387" s="241" t="s">
        <v>1465</v>
      </c>
      <c r="L387" s="251">
        <v>44812</v>
      </c>
      <c r="M387" s="252">
        <v>106575</v>
      </c>
      <c r="N387" s="241">
        <v>1</v>
      </c>
      <c r="O387" s="253">
        <f t="shared" si="18"/>
        <v>106575</v>
      </c>
      <c r="P387" s="253">
        <v>116264</v>
      </c>
      <c r="Q387" s="253">
        <f t="shared" si="17"/>
        <v>116264</v>
      </c>
    </row>
    <row r="388" spans="2:17">
      <c r="B388" s="200">
        <v>385</v>
      </c>
      <c r="C388" s="241" t="s">
        <v>1466</v>
      </c>
      <c r="D388" s="242" t="s">
        <v>1467</v>
      </c>
      <c r="E388" s="243" t="s">
        <v>1468</v>
      </c>
      <c r="F388" s="244" t="s">
        <v>1276</v>
      </c>
      <c r="G388" s="241"/>
      <c r="H388" s="241" t="s">
        <v>1469</v>
      </c>
      <c r="I388" s="241"/>
      <c r="J388" s="244" t="s">
        <v>85</v>
      </c>
      <c r="K388" s="241" t="s">
        <v>1470</v>
      </c>
      <c r="L388" s="251">
        <v>44812</v>
      </c>
      <c r="M388" s="252">
        <v>222727</v>
      </c>
      <c r="N388" s="241">
        <v>60</v>
      </c>
      <c r="O388" s="253">
        <f t="shared" si="18"/>
        <v>13363620</v>
      </c>
      <c r="P388" s="253">
        <v>367702</v>
      </c>
      <c r="Q388" s="253">
        <f t="shared" si="17"/>
        <v>22062120</v>
      </c>
    </row>
    <row r="389" spans="2:17">
      <c r="B389" s="200">
        <v>386</v>
      </c>
      <c r="C389" s="241" t="s">
        <v>1471</v>
      </c>
      <c r="D389" s="242" t="s">
        <v>2</v>
      </c>
      <c r="E389" s="243" t="s">
        <v>1472</v>
      </c>
      <c r="F389" s="244" t="s">
        <v>131</v>
      </c>
      <c r="G389" s="241"/>
      <c r="H389" s="241" t="s">
        <v>1473</v>
      </c>
      <c r="I389" s="241"/>
      <c r="J389" s="244" t="s">
        <v>50</v>
      </c>
      <c r="K389" s="241" t="s">
        <v>1474</v>
      </c>
      <c r="L389" s="251">
        <v>44824</v>
      </c>
      <c r="M389" s="252">
        <v>351191</v>
      </c>
      <c r="N389" s="241">
        <v>305</v>
      </c>
      <c r="O389" s="253">
        <f t="shared" si="18"/>
        <v>107113255</v>
      </c>
      <c r="P389" s="253">
        <v>449549</v>
      </c>
      <c r="Q389" s="253">
        <f t="shared" si="17"/>
        <v>137112445</v>
      </c>
    </row>
    <row r="390" spans="2:17">
      <c r="B390" s="200">
        <v>387</v>
      </c>
      <c r="C390" s="241" t="s">
        <v>1475</v>
      </c>
      <c r="D390" s="242" t="s">
        <v>1476</v>
      </c>
      <c r="E390" s="243" t="s">
        <v>9</v>
      </c>
      <c r="F390" s="244" t="s">
        <v>1365</v>
      </c>
      <c r="G390" s="241"/>
      <c r="H390" s="241" t="s">
        <v>1477</v>
      </c>
      <c r="I390" s="241"/>
      <c r="J390" s="244" t="s">
        <v>50</v>
      </c>
      <c r="K390" s="241" t="s">
        <v>1478</v>
      </c>
      <c r="L390" s="251">
        <v>44831</v>
      </c>
      <c r="M390" s="252">
        <v>254545</v>
      </c>
      <c r="N390" s="241">
        <v>2</v>
      </c>
      <c r="O390" s="253">
        <f t="shared" si="18"/>
        <v>509090</v>
      </c>
      <c r="P390" s="253">
        <v>275000</v>
      </c>
      <c r="Q390" s="253">
        <f t="shared" si="17"/>
        <v>550000</v>
      </c>
    </row>
    <row r="391" spans="2:17">
      <c r="B391" s="200">
        <v>388</v>
      </c>
      <c r="C391" s="241" t="s">
        <v>1479</v>
      </c>
      <c r="D391" s="242" t="s">
        <v>1480</v>
      </c>
      <c r="E391" s="243" t="s">
        <v>82</v>
      </c>
      <c r="F391" s="243" t="s">
        <v>83</v>
      </c>
      <c r="G391" s="241"/>
      <c r="H391" s="241" t="s">
        <v>1481</v>
      </c>
      <c r="I391" s="241"/>
      <c r="J391" s="244" t="s">
        <v>85</v>
      </c>
      <c r="K391" s="241" t="s">
        <v>1482</v>
      </c>
      <c r="L391" s="251">
        <v>44832</v>
      </c>
      <c r="M391" s="252">
        <v>222727</v>
      </c>
      <c r="N391" s="241">
        <v>165</v>
      </c>
      <c r="O391" s="253">
        <f t="shared" si="18"/>
        <v>36749955</v>
      </c>
      <c r="P391" s="253">
        <v>279090.90999999997</v>
      </c>
      <c r="Q391" s="253">
        <f t="shared" si="17"/>
        <v>46050000.149999999</v>
      </c>
    </row>
    <row r="392" spans="2:17">
      <c r="B392" s="200">
        <v>389</v>
      </c>
      <c r="C392" s="241" t="s">
        <v>1483</v>
      </c>
      <c r="D392" s="242">
        <v>2500024113</v>
      </c>
      <c r="E392" s="243" t="s">
        <v>10</v>
      </c>
      <c r="F392" s="243" t="s">
        <v>814</v>
      </c>
      <c r="G392" s="241"/>
      <c r="H392" s="241" t="s">
        <v>1484</v>
      </c>
      <c r="I392" s="241"/>
      <c r="J392" s="244" t="s">
        <v>816</v>
      </c>
      <c r="K392" s="241" t="s">
        <v>1384</v>
      </c>
      <c r="L392" s="251">
        <v>44783</v>
      </c>
      <c r="M392" s="252">
        <v>22727</v>
      </c>
      <c r="N392" s="241">
        <v>5</v>
      </c>
      <c r="O392" s="253">
        <f t="shared" si="18"/>
        <v>113635</v>
      </c>
      <c r="P392" s="253">
        <v>29091</v>
      </c>
      <c r="Q392" s="253">
        <f t="shared" si="17"/>
        <v>145455</v>
      </c>
    </row>
    <row r="393" spans="2:17">
      <c r="B393" s="200">
        <v>390</v>
      </c>
      <c r="C393" s="237" t="s">
        <v>1485</v>
      </c>
      <c r="D393" s="238">
        <v>4800470092</v>
      </c>
      <c r="E393" s="239" t="s">
        <v>12</v>
      </c>
      <c r="F393" s="239" t="s">
        <v>466</v>
      </c>
      <c r="G393" s="237"/>
      <c r="H393" s="237" t="s">
        <v>1486</v>
      </c>
      <c r="I393" s="237"/>
      <c r="J393" s="240" t="s">
        <v>85</v>
      </c>
      <c r="K393" s="237" t="s">
        <v>1487</v>
      </c>
      <c r="L393" s="248">
        <v>44859</v>
      </c>
      <c r="M393" s="249">
        <v>222727</v>
      </c>
      <c r="N393" s="237">
        <v>95</v>
      </c>
      <c r="O393" s="250">
        <f t="shared" si="18"/>
        <v>21159065</v>
      </c>
      <c r="P393" s="250">
        <v>257182</v>
      </c>
      <c r="Q393" s="250">
        <f t="shared" si="17"/>
        <v>24432290</v>
      </c>
    </row>
    <row r="394" spans="2:17" s="1" customFormat="1" ht="12.75">
      <c r="B394" s="200">
        <v>391</v>
      </c>
      <c r="C394" s="237" t="s">
        <v>1488</v>
      </c>
      <c r="D394" s="238">
        <v>2500026864</v>
      </c>
      <c r="E394" s="239" t="s">
        <v>11</v>
      </c>
      <c r="F394" s="240" t="s">
        <v>814</v>
      </c>
      <c r="G394" s="237"/>
      <c r="H394" s="237" t="s">
        <v>1489</v>
      </c>
      <c r="I394" s="237"/>
      <c r="J394" s="240" t="s">
        <v>816</v>
      </c>
      <c r="K394" s="237" t="s">
        <v>1384</v>
      </c>
      <c r="L394" s="248">
        <v>44848</v>
      </c>
      <c r="M394" s="249">
        <v>22727</v>
      </c>
      <c r="N394" s="237">
        <v>5</v>
      </c>
      <c r="O394" s="250">
        <f t="shared" si="18"/>
        <v>113635</v>
      </c>
      <c r="P394" s="250">
        <v>29091</v>
      </c>
      <c r="Q394" s="250">
        <f t="shared" si="17"/>
        <v>145455</v>
      </c>
    </row>
    <row r="395" spans="2:17" s="1" customFormat="1" ht="12.75">
      <c r="B395" s="200">
        <v>392</v>
      </c>
      <c r="C395" s="237" t="s">
        <v>1490</v>
      </c>
      <c r="D395" s="238">
        <v>2500026864</v>
      </c>
      <c r="E395" s="239" t="s">
        <v>11</v>
      </c>
      <c r="F395" s="240" t="s">
        <v>814</v>
      </c>
      <c r="G395" s="237"/>
      <c r="H395" s="237" t="s">
        <v>1491</v>
      </c>
      <c r="I395" s="237"/>
      <c r="J395" s="240" t="s">
        <v>816</v>
      </c>
      <c r="K395" s="237" t="s">
        <v>1492</v>
      </c>
      <c r="L395" s="248">
        <v>44848</v>
      </c>
      <c r="M395" s="249">
        <v>22727</v>
      </c>
      <c r="N395" s="237">
        <v>10</v>
      </c>
      <c r="O395" s="250">
        <f t="shared" si="18"/>
        <v>227270</v>
      </c>
      <c r="P395" s="250">
        <v>29091</v>
      </c>
      <c r="Q395" s="250">
        <f t="shared" si="17"/>
        <v>290910</v>
      </c>
    </row>
    <row r="396" spans="2:17">
      <c r="B396" s="200">
        <v>393</v>
      </c>
      <c r="C396" s="241" t="s">
        <v>1493</v>
      </c>
      <c r="D396" s="242" t="s">
        <v>1494</v>
      </c>
      <c r="E396" s="243" t="s">
        <v>1495</v>
      </c>
      <c r="F396" s="244" t="s">
        <v>1438</v>
      </c>
      <c r="G396" s="241"/>
      <c r="H396" s="241" t="s">
        <v>1496</v>
      </c>
      <c r="I396" s="241"/>
      <c r="J396" s="244" t="s">
        <v>63</v>
      </c>
      <c r="K396" s="241" t="s">
        <v>1497</v>
      </c>
      <c r="L396" s="251">
        <v>44881</v>
      </c>
      <c r="M396" s="252">
        <v>74181.600000000006</v>
      </c>
      <c r="N396" s="241">
        <v>113</v>
      </c>
      <c r="O396" s="253">
        <f t="shared" si="18"/>
        <v>8382520.8000000007</v>
      </c>
      <c r="P396" s="253">
        <f>149000/1.11</f>
        <v>134234.23423423423</v>
      </c>
      <c r="Q396" s="253">
        <f t="shared" si="17"/>
        <v>15168468.468468469</v>
      </c>
    </row>
    <row r="397" spans="2:17">
      <c r="B397" s="200">
        <v>394</v>
      </c>
      <c r="C397" s="241" t="s">
        <v>1498</v>
      </c>
      <c r="D397" s="242" t="s">
        <v>1499</v>
      </c>
      <c r="E397" s="243" t="s">
        <v>7</v>
      </c>
      <c r="F397" s="243" t="s">
        <v>83</v>
      </c>
      <c r="G397" s="241"/>
      <c r="H397" s="241" t="s">
        <v>1500</v>
      </c>
      <c r="I397" s="241"/>
      <c r="J397" s="244" t="s">
        <v>85</v>
      </c>
      <c r="K397" s="241" t="s">
        <v>1501</v>
      </c>
      <c r="L397" s="251">
        <v>44886</v>
      </c>
      <c r="M397" s="252">
        <v>222727</v>
      </c>
      <c r="N397" s="241">
        <v>154</v>
      </c>
      <c r="O397" s="253">
        <f t="shared" si="18"/>
        <v>34299958</v>
      </c>
      <c r="P397" s="253">
        <v>279090.90999999997</v>
      </c>
      <c r="Q397" s="253">
        <f t="shared" si="17"/>
        <v>42980000.139999993</v>
      </c>
    </row>
    <row r="398" spans="2:17">
      <c r="B398" s="200">
        <v>395</v>
      </c>
      <c r="C398" s="241" t="s">
        <v>1502</v>
      </c>
      <c r="D398" s="242">
        <v>2500030158</v>
      </c>
      <c r="E398" s="243" t="s">
        <v>10</v>
      </c>
      <c r="F398" s="243" t="s">
        <v>1503</v>
      </c>
      <c r="G398" s="241"/>
      <c r="H398" s="241" t="s">
        <v>1504</v>
      </c>
      <c r="I398" s="241"/>
      <c r="J398" s="244" t="s">
        <v>816</v>
      </c>
      <c r="K398" s="241" t="s">
        <v>1505</v>
      </c>
      <c r="L398" s="251">
        <v>44874</v>
      </c>
      <c r="M398" s="252">
        <v>22727</v>
      </c>
      <c r="N398" s="241">
        <v>15</v>
      </c>
      <c r="O398" s="253">
        <f t="shared" si="18"/>
        <v>340905</v>
      </c>
      <c r="P398" s="253">
        <v>29091</v>
      </c>
      <c r="Q398" s="253">
        <f t="shared" ref="Q398:Q444" si="19">P398*N398</f>
        <v>436365</v>
      </c>
    </row>
    <row r="399" spans="2:17">
      <c r="B399" s="200">
        <v>396</v>
      </c>
      <c r="C399" s="241" t="s">
        <v>1506</v>
      </c>
      <c r="D399" s="242" t="s">
        <v>1507</v>
      </c>
      <c r="E399" s="243" t="s">
        <v>11</v>
      </c>
      <c r="F399" s="243" t="s">
        <v>1188</v>
      </c>
      <c r="G399" s="241"/>
      <c r="H399" s="241" t="s">
        <v>1508</v>
      </c>
      <c r="I399" s="241"/>
      <c r="J399" s="244" t="s">
        <v>50</v>
      </c>
      <c r="K399" s="241" t="s">
        <v>1509</v>
      </c>
      <c r="L399" s="251">
        <v>44888</v>
      </c>
      <c r="M399" s="252">
        <v>444545</v>
      </c>
      <c r="N399" s="241">
        <v>28</v>
      </c>
      <c r="O399" s="253">
        <f t="shared" si="18"/>
        <v>12447260</v>
      </c>
      <c r="P399" s="253">
        <v>556364</v>
      </c>
      <c r="Q399" s="253">
        <f t="shared" si="19"/>
        <v>15578192</v>
      </c>
    </row>
    <row r="400" spans="2:17">
      <c r="B400" s="200">
        <v>397</v>
      </c>
      <c r="C400" s="241" t="s">
        <v>1510</v>
      </c>
      <c r="D400" s="242" t="s">
        <v>1511</v>
      </c>
      <c r="E400" s="243" t="s">
        <v>1437</v>
      </c>
      <c r="F400" s="243" t="s">
        <v>1512</v>
      </c>
      <c r="G400" s="241"/>
      <c r="H400" s="241" t="s">
        <v>1513</v>
      </c>
      <c r="I400" s="241"/>
      <c r="J400" s="244" t="s">
        <v>85</v>
      </c>
      <c r="K400" s="241" t="s">
        <v>1514</v>
      </c>
      <c r="L400" s="251">
        <v>44888</v>
      </c>
      <c r="M400" s="252">
        <v>222727</v>
      </c>
      <c r="N400" s="241">
        <v>11</v>
      </c>
      <c r="O400" s="253">
        <f t="shared" si="18"/>
        <v>2449997</v>
      </c>
      <c r="P400" s="253">
        <v>281184</v>
      </c>
      <c r="Q400" s="253">
        <f t="shared" si="19"/>
        <v>3093024</v>
      </c>
    </row>
    <row r="401" spans="2:17">
      <c r="B401" s="200">
        <v>398</v>
      </c>
      <c r="C401" s="237" t="s">
        <v>1515</v>
      </c>
      <c r="D401" s="238" t="s">
        <v>1516</v>
      </c>
      <c r="E401" s="239" t="s">
        <v>11</v>
      </c>
      <c r="F401" s="239" t="s">
        <v>1517</v>
      </c>
      <c r="G401" s="237"/>
      <c r="H401" s="237" t="s">
        <v>1518</v>
      </c>
      <c r="I401" s="237"/>
      <c r="J401" s="240" t="s">
        <v>1519</v>
      </c>
      <c r="K401" s="237" t="s">
        <v>1520</v>
      </c>
      <c r="L401" s="248">
        <v>44896</v>
      </c>
      <c r="M401" s="249">
        <v>43636</v>
      </c>
      <c r="N401" s="237">
        <v>40</v>
      </c>
      <c r="O401" s="250">
        <f t="shared" si="18"/>
        <v>1745440</v>
      </c>
      <c r="P401" s="250">
        <v>57300</v>
      </c>
      <c r="Q401" s="250">
        <f t="shared" si="19"/>
        <v>2292000</v>
      </c>
    </row>
    <row r="402" spans="2:17">
      <c r="B402" s="200">
        <v>399</v>
      </c>
      <c r="C402" s="237" t="s">
        <v>1521</v>
      </c>
      <c r="D402" s="238" t="s">
        <v>1522</v>
      </c>
      <c r="E402" s="239" t="s">
        <v>11</v>
      </c>
      <c r="F402" s="239" t="s">
        <v>1517</v>
      </c>
      <c r="G402" s="237"/>
      <c r="H402" s="237" t="s">
        <v>1523</v>
      </c>
      <c r="I402" s="237"/>
      <c r="J402" s="240" t="s">
        <v>1519</v>
      </c>
      <c r="K402" s="237" t="s">
        <v>1524</v>
      </c>
      <c r="L402" s="248">
        <v>44900</v>
      </c>
      <c r="M402" s="249">
        <v>43636</v>
      </c>
      <c r="N402" s="237">
        <v>60</v>
      </c>
      <c r="O402" s="250">
        <f t="shared" si="18"/>
        <v>2618160</v>
      </c>
      <c r="P402" s="250">
        <v>57300</v>
      </c>
      <c r="Q402" s="250">
        <f t="shared" si="19"/>
        <v>3438000</v>
      </c>
    </row>
    <row r="403" spans="2:17" s="1" customFormat="1" ht="12.75">
      <c r="B403" s="200">
        <v>400</v>
      </c>
      <c r="C403" s="237" t="s">
        <v>1525</v>
      </c>
      <c r="D403" s="238" t="s">
        <v>2</v>
      </c>
      <c r="E403" s="239" t="s">
        <v>2</v>
      </c>
      <c r="F403" s="240" t="s">
        <v>1526</v>
      </c>
      <c r="G403" s="237"/>
      <c r="H403" s="237" t="s">
        <v>1527</v>
      </c>
      <c r="I403" s="237"/>
      <c r="J403" s="240" t="s">
        <v>1528</v>
      </c>
      <c r="K403" s="237" t="s">
        <v>1529</v>
      </c>
      <c r="L403" s="248">
        <v>44903</v>
      </c>
      <c r="M403" s="249">
        <v>36081</v>
      </c>
      <c r="N403" s="237">
        <v>3</v>
      </c>
      <c r="O403" s="250">
        <f t="shared" si="18"/>
        <v>108243</v>
      </c>
      <c r="P403" s="250">
        <f>49950/1.11</f>
        <v>44999.999999999993</v>
      </c>
      <c r="Q403" s="250">
        <f t="shared" si="19"/>
        <v>134999.99999999997</v>
      </c>
    </row>
    <row r="404" spans="2:17" s="1" customFormat="1" ht="12.75">
      <c r="B404" s="200">
        <v>401</v>
      </c>
      <c r="C404" s="237" t="s">
        <v>1530</v>
      </c>
      <c r="D404" s="238" t="s">
        <v>2</v>
      </c>
      <c r="E404" s="239" t="s">
        <v>2</v>
      </c>
      <c r="F404" s="240" t="s">
        <v>1526</v>
      </c>
      <c r="G404" s="237"/>
      <c r="H404" s="237" t="s">
        <v>1527</v>
      </c>
      <c r="I404" s="237"/>
      <c r="J404" s="240" t="s">
        <v>1528</v>
      </c>
      <c r="K404" s="237" t="s">
        <v>1531</v>
      </c>
      <c r="L404" s="248">
        <v>44903</v>
      </c>
      <c r="M404" s="249">
        <v>36081</v>
      </c>
      <c r="N404" s="237">
        <v>3</v>
      </c>
      <c r="O404" s="250">
        <f t="shared" si="18"/>
        <v>108243</v>
      </c>
      <c r="P404" s="250">
        <f>49950/1.11</f>
        <v>44999.999999999993</v>
      </c>
      <c r="Q404" s="250">
        <f t="shared" si="19"/>
        <v>134999.99999999997</v>
      </c>
    </row>
    <row r="405" spans="2:17">
      <c r="B405" s="200">
        <v>402</v>
      </c>
      <c r="C405" s="237" t="s">
        <v>1532</v>
      </c>
      <c r="D405" s="238" t="s">
        <v>1533</v>
      </c>
      <c r="E405" s="239" t="s">
        <v>11</v>
      </c>
      <c r="F405" s="239" t="s">
        <v>1517</v>
      </c>
      <c r="G405" s="237"/>
      <c r="H405" s="237" t="s">
        <v>1534</v>
      </c>
      <c r="I405" s="237"/>
      <c r="J405" s="240" t="s">
        <v>1519</v>
      </c>
      <c r="K405" s="237" t="s">
        <v>1535</v>
      </c>
      <c r="L405" s="248">
        <v>44905</v>
      </c>
      <c r="M405" s="249">
        <v>43636</v>
      </c>
      <c r="N405" s="237">
        <v>700</v>
      </c>
      <c r="O405" s="250">
        <f t="shared" si="18"/>
        <v>30545200</v>
      </c>
      <c r="P405" s="250">
        <v>57300</v>
      </c>
      <c r="Q405" s="250">
        <f t="shared" si="19"/>
        <v>40110000</v>
      </c>
    </row>
    <row r="406" spans="2:17" s="1" customFormat="1" ht="12.75">
      <c r="B406" s="200">
        <v>403</v>
      </c>
      <c r="C406" s="237" t="s">
        <v>1536</v>
      </c>
      <c r="D406" s="238">
        <v>84404</v>
      </c>
      <c r="E406" s="239" t="s">
        <v>17</v>
      </c>
      <c r="F406" s="240" t="s">
        <v>114</v>
      </c>
      <c r="G406" s="237"/>
      <c r="H406" s="237" t="s">
        <v>1537</v>
      </c>
      <c r="I406" s="237"/>
      <c r="J406" s="240" t="s">
        <v>85</v>
      </c>
      <c r="K406" s="237" t="s">
        <v>1538</v>
      </c>
      <c r="L406" s="248">
        <v>44907</v>
      </c>
      <c r="M406" s="249">
        <v>222727</v>
      </c>
      <c r="N406" s="237">
        <v>49</v>
      </c>
      <c r="O406" s="250">
        <f t="shared" si="18"/>
        <v>10913623</v>
      </c>
      <c r="P406" s="250">
        <v>279091</v>
      </c>
      <c r="Q406" s="250">
        <f t="shared" si="19"/>
        <v>13675459</v>
      </c>
    </row>
    <row r="407" spans="2:17">
      <c r="B407" s="200">
        <v>404</v>
      </c>
      <c r="C407" s="237" t="s">
        <v>1539</v>
      </c>
      <c r="D407" s="238">
        <v>84404</v>
      </c>
      <c r="E407" s="239" t="s">
        <v>17</v>
      </c>
      <c r="F407" s="240" t="s">
        <v>114</v>
      </c>
      <c r="G407" s="237"/>
      <c r="H407" s="237" t="s">
        <v>1537</v>
      </c>
      <c r="I407" s="237"/>
      <c r="J407" s="240" t="s">
        <v>92</v>
      </c>
      <c r="K407" s="237" t="s">
        <v>116</v>
      </c>
      <c r="L407" s="248">
        <v>44907</v>
      </c>
      <c r="M407" s="249">
        <v>46364</v>
      </c>
      <c r="N407" s="237">
        <v>49</v>
      </c>
      <c r="O407" s="250">
        <f t="shared" si="18"/>
        <v>2271836</v>
      </c>
      <c r="P407" s="250">
        <v>58182</v>
      </c>
      <c r="Q407" s="250">
        <f t="shared" si="19"/>
        <v>2850918</v>
      </c>
    </row>
    <row r="408" spans="2:17" s="1" customFormat="1" ht="12.75">
      <c r="B408" s="200">
        <v>405</v>
      </c>
      <c r="C408" s="237" t="s">
        <v>1540</v>
      </c>
      <c r="D408" s="238">
        <v>84404</v>
      </c>
      <c r="E408" s="239" t="s">
        <v>17</v>
      </c>
      <c r="F408" s="240" t="s">
        <v>114</v>
      </c>
      <c r="G408" s="237"/>
      <c r="H408" s="237" t="s">
        <v>1541</v>
      </c>
      <c r="I408" s="237"/>
      <c r="J408" s="240" t="s">
        <v>85</v>
      </c>
      <c r="K408" s="237" t="s">
        <v>1542</v>
      </c>
      <c r="L408" s="248">
        <v>44907</v>
      </c>
      <c r="M408" s="249">
        <v>171818</v>
      </c>
      <c r="N408" s="237">
        <v>20</v>
      </c>
      <c r="O408" s="250">
        <f t="shared" si="18"/>
        <v>3436360</v>
      </c>
      <c r="P408" s="250">
        <v>279091</v>
      </c>
      <c r="Q408" s="250">
        <f t="shared" si="19"/>
        <v>5581820</v>
      </c>
    </row>
    <row r="409" spans="2:17" s="1" customFormat="1" ht="12.75">
      <c r="B409" s="200">
        <v>406</v>
      </c>
      <c r="C409" s="237" t="s">
        <v>1543</v>
      </c>
      <c r="D409" s="238">
        <v>84404</v>
      </c>
      <c r="E409" s="239" t="s">
        <v>17</v>
      </c>
      <c r="F409" s="240" t="s">
        <v>114</v>
      </c>
      <c r="G409" s="237"/>
      <c r="H409" s="237" t="s">
        <v>1541</v>
      </c>
      <c r="I409" s="237"/>
      <c r="J409" s="240" t="s">
        <v>92</v>
      </c>
      <c r="K409" s="237" t="s">
        <v>118</v>
      </c>
      <c r="L409" s="248">
        <v>44907</v>
      </c>
      <c r="M409" s="249">
        <v>40909</v>
      </c>
      <c r="N409" s="237">
        <v>20</v>
      </c>
      <c r="O409" s="250">
        <f t="shared" si="18"/>
        <v>818180</v>
      </c>
      <c r="P409" s="250">
        <v>58182</v>
      </c>
      <c r="Q409" s="250">
        <f t="shared" si="19"/>
        <v>1163640</v>
      </c>
    </row>
    <row r="410" spans="2:17" s="1" customFormat="1" ht="12.75">
      <c r="B410" s="200">
        <v>407</v>
      </c>
      <c r="C410" s="237" t="s">
        <v>1544</v>
      </c>
      <c r="D410" s="238">
        <v>84404</v>
      </c>
      <c r="E410" s="239" t="s">
        <v>17</v>
      </c>
      <c r="F410" s="240" t="s">
        <v>114</v>
      </c>
      <c r="G410" s="237"/>
      <c r="H410" s="237" t="s">
        <v>1545</v>
      </c>
      <c r="I410" s="237"/>
      <c r="J410" s="240" t="s">
        <v>1457</v>
      </c>
      <c r="K410" s="237" t="s">
        <v>1546</v>
      </c>
      <c r="L410" s="248">
        <v>44907</v>
      </c>
      <c r="M410" s="249">
        <v>216480.5</v>
      </c>
      <c r="N410" s="237">
        <v>1</v>
      </c>
      <c r="O410" s="250">
        <f t="shared" si="18"/>
        <v>216480.5</v>
      </c>
      <c r="P410" s="250">
        <v>533408</v>
      </c>
      <c r="Q410" s="250">
        <f t="shared" si="19"/>
        <v>533408</v>
      </c>
    </row>
    <row r="411" spans="2:17">
      <c r="B411" s="200">
        <v>408</v>
      </c>
      <c r="C411" s="237" t="s">
        <v>1547</v>
      </c>
      <c r="D411" s="238" t="s">
        <v>1548</v>
      </c>
      <c r="E411" s="239" t="s">
        <v>11</v>
      </c>
      <c r="F411" s="239" t="s">
        <v>1517</v>
      </c>
      <c r="G411" s="237"/>
      <c r="H411" s="237" t="s">
        <v>1549</v>
      </c>
      <c r="I411" s="237"/>
      <c r="J411" s="240" t="s">
        <v>1519</v>
      </c>
      <c r="K411" s="237" t="s">
        <v>1550</v>
      </c>
      <c r="L411" s="248">
        <v>44907</v>
      </c>
      <c r="M411" s="249">
        <v>43636</v>
      </c>
      <c r="N411" s="237">
        <v>300</v>
      </c>
      <c r="O411" s="250">
        <f t="shared" si="18"/>
        <v>13090800</v>
      </c>
      <c r="P411" s="250">
        <v>57300</v>
      </c>
      <c r="Q411" s="250">
        <f t="shared" si="19"/>
        <v>17190000</v>
      </c>
    </row>
    <row r="412" spans="2:17">
      <c r="B412" s="200">
        <v>409</v>
      </c>
      <c r="C412" s="237" t="s">
        <v>1551</v>
      </c>
      <c r="D412" s="238" t="s">
        <v>1552</v>
      </c>
      <c r="E412" s="239" t="s">
        <v>11</v>
      </c>
      <c r="F412" s="240" t="s">
        <v>733</v>
      </c>
      <c r="G412" s="237"/>
      <c r="H412" s="237" t="s">
        <v>1553</v>
      </c>
      <c r="I412" s="237"/>
      <c r="J412" s="240" t="s">
        <v>85</v>
      </c>
      <c r="K412" s="237" t="s">
        <v>1554</v>
      </c>
      <c r="L412" s="248">
        <v>44910</v>
      </c>
      <c r="M412" s="249">
        <v>222727</v>
      </c>
      <c r="N412" s="237">
        <v>105</v>
      </c>
      <c r="O412" s="250">
        <f t="shared" si="18"/>
        <v>23386335</v>
      </c>
      <c r="P412" s="250">
        <v>279091</v>
      </c>
      <c r="Q412" s="250">
        <f t="shared" si="19"/>
        <v>29304555</v>
      </c>
    </row>
    <row r="413" spans="2:17" s="1" customFormat="1" ht="12.75">
      <c r="B413" s="200">
        <v>410</v>
      </c>
      <c r="C413" s="237" t="s">
        <v>1555</v>
      </c>
      <c r="D413" s="238" t="s">
        <v>2</v>
      </c>
      <c r="E413" s="239" t="s">
        <v>2</v>
      </c>
      <c r="F413" s="240" t="s">
        <v>1526</v>
      </c>
      <c r="G413" s="237"/>
      <c r="H413" s="237" t="s">
        <v>1556</v>
      </c>
      <c r="I413" s="237"/>
      <c r="J413" s="240" t="s">
        <v>1457</v>
      </c>
      <c r="K413" s="237" t="s">
        <v>1557</v>
      </c>
      <c r="L413" s="248">
        <v>44911</v>
      </c>
      <c r="M413" s="249">
        <v>432961</v>
      </c>
      <c r="N413" s="237">
        <v>1</v>
      </c>
      <c r="O413" s="250">
        <f t="shared" si="18"/>
        <v>432961</v>
      </c>
      <c r="P413" s="250">
        <f>592083/1.11</f>
        <v>533408.10810810805</v>
      </c>
      <c r="Q413" s="250">
        <f t="shared" si="19"/>
        <v>533408.10810810805</v>
      </c>
    </row>
    <row r="414" spans="2:17" s="1" customFormat="1" ht="12.75">
      <c r="B414" s="259">
        <v>411</v>
      </c>
      <c r="C414" s="45" t="s">
        <v>1558</v>
      </c>
      <c r="D414" s="46" t="s">
        <v>2</v>
      </c>
      <c r="E414" s="47" t="s">
        <v>2</v>
      </c>
      <c r="F414" s="49" t="s">
        <v>1526</v>
      </c>
      <c r="G414" s="45"/>
      <c r="H414" s="45" t="s">
        <v>1556</v>
      </c>
      <c r="I414" s="45"/>
      <c r="J414" s="49" t="s">
        <v>1457</v>
      </c>
      <c r="K414" s="45" t="s">
        <v>1559</v>
      </c>
      <c r="L414" s="102">
        <v>44911</v>
      </c>
      <c r="M414" s="103">
        <v>432961</v>
      </c>
      <c r="N414" s="45">
        <v>2</v>
      </c>
      <c r="O414" s="120">
        <f t="shared" si="18"/>
        <v>865922</v>
      </c>
      <c r="P414" s="120">
        <f>592083/1.11</f>
        <v>533408.10810810805</v>
      </c>
      <c r="Q414" s="250">
        <f t="shared" si="19"/>
        <v>1066816.2162162161</v>
      </c>
    </row>
    <row r="415" spans="2:17" s="1" customFormat="1" ht="12.75">
      <c r="B415" s="259">
        <v>412</v>
      </c>
      <c r="C415" s="45" t="s">
        <v>1560</v>
      </c>
      <c r="D415" s="46" t="s">
        <v>1561</v>
      </c>
      <c r="E415" s="47" t="s">
        <v>9</v>
      </c>
      <c r="F415" s="49" t="s">
        <v>1562</v>
      </c>
      <c r="G415" s="45"/>
      <c r="H415" s="45" t="s">
        <v>1563</v>
      </c>
      <c r="I415" s="45"/>
      <c r="J415" s="49" t="s">
        <v>50</v>
      </c>
      <c r="K415" s="45" t="s">
        <v>1564</v>
      </c>
      <c r="L415" s="102">
        <v>44915</v>
      </c>
      <c r="M415" s="103">
        <v>254545</v>
      </c>
      <c r="N415" s="45">
        <v>5</v>
      </c>
      <c r="O415" s="120">
        <f t="shared" si="18"/>
        <v>1272725</v>
      </c>
      <c r="P415" s="120">
        <v>275000</v>
      </c>
      <c r="Q415" s="250">
        <f t="shared" si="19"/>
        <v>1375000</v>
      </c>
    </row>
    <row r="416" spans="2:17" s="1" customFormat="1" ht="12.75">
      <c r="B416" s="260">
        <v>413</v>
      </c>
      <c r="C416" s="45" t="s">
        <v>1565</v>
      </c>
      <c r="D416" s="46" t="s">
        <v>1515</v>
      </c>
      <c r="E416" s="47" t="s">
        <v>1468</v>
      </c>
      <c r="F416" s="49" t="s">
        <v>1566</v>
      </c>
      <c r="G416" s="45"/>
      <c r="H416" s="45" t="s">
        <v>1567</v>
      </c>
      <c r="I416" s="45"/>
      <c r="J416" s="49" t="s">
        <v>85</v>
      </c>
      <c r="K416" s="45" t="s">
        <v>1568</v>
      </c>
      <c r="L416" s="102">
        <v>44916</v>
      </c>
      <c r="M416" s="103">
        <v>222727</v>
      </c>
      <c r="N416" s="45">
        <v>105</v>
      </c>
      <c r="O416" s="120">
        <f t="shared" si="18"/>
        <v>23386335</v>
      </c>
      <c r="P416" s="120">
        <v>273292</v>
      </c>
      <c r="Q416" s="250">
        <f t="shared" si="19"/>
        <v>28695660</v>
      </c>
    </row>
    <row r="417" spans="2:17">
      <c r="B417" s="259">
        <v>414</v>
      </c>
      <c r="C417" s="54" t="s">
        <v>1569</v>
      </c>
      <c r="D417" s="55" t="s">
        <v>1570</v>
      </c>
      <c r="E417" s="56" t="s">
        <v>10</v>
      </c>
      <c r="F417" s="59" t="s">
        <v>814</v>
      </c>
      <c r="G417" s="55"/>
      <c r="H417" s="104" t="s">
        <v>1571</v>
      </c>
      <c r="I417" s="55"/>
      <c r="J417" s="105" t="s">
        <v>816</v>
      </c>
      <c r="K417" s="106" t="s">
        <v>1572</v>
      </c>
      <c r="L417" s="107">
        <v>44931</v>
      </c>
      <c r="M417" s="108">
        <v>22727</v>
      </c>
      <c r="N417" s="70">
        <v>2</v>
      </c>
      <c r="O417" s="121">
        <f t="shared" si="18"/>
        <v>45454</v>
      </c>
      <c r="P417" s="121">
        <v>29091</v>
      </c>
      <c r="Q417" s="271">
        <f t="shared" si="19"/>
        <v>58182</v>
      </c>
    </row>
    <row r="418" spans="2:17" ht="15.75" customHeight="1">
      <c r="B418" s="259">
        <v>415</v>
      </c>
      <c r="C418" s="261" t="s">
        <v>1573</v>
      </c>
      <c r="D418" s="262" t="s">
        <v>1574</v>
      </c>
      <c r="E418" s="62" t="s">
        <v>10</v>
      </c>
      <c r="F418" s="63" t="s">
        <v>814</v>
      </c>
      <c r="G418" s="262"/>
      <c r="H418" s="109" t="s">
        <v>1575</v>
      </c>
      <c r="I418" s="266"/>
      <c r="J418" s="105" t="s">
        <v>816</v>
      </c>
      <c r="K418" s="267" t="s">
        <v>1576</v>
      </c>
      <c r="L418" s="268">
        <v>44936</v>
      </c>
      <c r="M418" s="108">
        <v>22727</v>
      </c>
      <c r="N418" s="70">
        <v>4</v>
      </c>
      <c r="O418" s="121">
        <f t="shared" si="18"/>
        <v>90908</v>
      </c>
      <c r="P418" s="121">
        <v>29091</v>
      </c>
      <c r="Q418" s="271">
        <f t="shared" si="19"/>
        <v>116364</v>
      </c>
    </row>
    <row r="419" spans="2:17">
      <c r="B419" s="260">
        <v>416</v>
      </c>
      <c r="C419" s="263" t="s">
        <v>1577</v>
      </c>
      <c r="D419" s="264" t="s">
        <v>1574</v>
      </c>
      <c r="E419" s="56" t="s">
        <v>10</v>
      </c>
      <c r="F419" s="59" t="s">
        <v>814</v>
      </c>
      <c r="G419" s="262"/>
      <c r="H419" s="109" t="s">
        <v>1578</v>
      </c>
      <c r="I419" s="269"/>
      <c r="J419" s="105" t="s">
        <v>816</v>
      </c>
      <c r="K419" s="70" t="s">
        <v>1505</v>
      </c>
      <c r="L419" s="268">
        <v>44936</v>
      </c>
      <c r="M419" s="108">
        <v>22727</v>
      </c>
      <c r="N419" s="70">
        <v>15</v>
      </c>
      <c r="O419" s="121">
        <f t="shared" si="18"/>
        <v>340905</v>
      </c>
      <c r="P419" s="121">
        <v>29091</v>
      </c>
      <c r="Q419" s="271">
        <f t="shared" si="19"/>
        <v>436365</v>
      </c>
    </row>
    <row r="420" spans="2:17">
      <c r="B420" s="259">
        <v>417</v>
      </c>
      <c r="C420" s="261" t="s">
        <v>1579</v>
      </c>
      <c r="D420" s="265" t="s">
        <v>1580</v>
      </c>
      <c r="E420" s="62" t="s">
        <v>11</v>
      </c>
      <c r="F420" s="63" t="s">
        <v>1581</v>
      </c>
      <c r="G420" s="262"/>
      <c r="H420" s="61" t="s">
        <v>1582</v>
      </c>
      <c r="I420" s="266"/>
      <c r="J420" s="105" t="s">
        <v>85</v>
      </c>
      <c r="K420" s="267" t="s">
        <v>1583</v>
      </c>
      <c r="L420" s="268">
        <v>44929</v>
      </c>
      <c r="M420" s="270">
        <v>222727</v>
      </c>
      <c r="N420" s="70">
        <v>2</v>
      </c>
      <c r="O420" s="121">
        <f t="shared" si="18"/>
        <v>445454</v>
      </c>
      <c r="P420" s="271">
        <v>279091</v>
      </c>
      <c r="Q420" s="271">
        <f t="shared" si="19"/>
        <v>558182</v>
      </c>
    </row>
    <row r="421" spans="2:17">
      <c r="B421" s="259">
        <v>418</v>
      </c>
      <c r="C421" s="60" t="s">
        <v>1584</v>
      </c>
      <c r="D421" s="66" t="s">
        <v>1585</v>
      </c>
      <c r="E421" s="62" t="s">
        <v>11</v>
      </c>
      <c r="F421" s="67" t="s">
        <v>1586</v>
      </c>
      <c r="G421" s="61"/>
      <c r="H421" s="61" t="s">
        <v>1587</v>
      </c>
      <c r="I421" s="66"/>
      <c r="J421" s="272" t="s">
        <v>1588</v>
      </c>
      <c r="K421" s="273" t="s">
        <v>1589</v>
      </c>
      <c r="L421" s="274">
        <v>44932</v>
      </c>
      <c r="M421" s="270">
        <v>231750</v>
      </c>
      <c r="N421" s="70">
        <v>86</v>
      </c>
      <c r="O421" s="121">
        <f t="shared" si="18"/>
        <v>19930500</v>
      </c>
      <c r="P421" s="121">
        <v>245000</v>
      </c>
      <c r="Q421" s="271">
        <f t="shared" si="19"/>
        <v>21070000</v>
      </c>
    </row>
    <row r="422" spans="2:17">
      <c r="B422" s="260">
        <v>419</v>
      </c>
      <c r="C422" s="60" t="s">
        <v>1590</v>
      </c>
      <c r="D422" s="66" t="s">
        <v>1591</v>
      </c>
      <c r="E422" s="67" t="s">
        <v>1592</v>
      </c>
      <c r="F422" s="67" t="s">
        <v>1593</v>
      </c>
      <c r="G422" s="61"/>
      <c r="H422" s="61" t="s">
        <v>1594</v>
      </c>
      <c r="I422" s="66"/>
      <c r="J422" s="105" t="s">
        <v>85</v>
      </c>
      <c r="K422" s="267" t="s">
        <v>1595</v>
      </c>
      <c r="L422" s="274">
        <v>44935</v>
      </c>
      <c r="M422" s="108">
        <v>222727</v>
      </c>
      <c r="N422" s="70">
        <v>38</v>
      </c>
      <c r="O422" s="121">
        <f t="shared" si="18"/>
        <v>8463626</v>
      </c>
      <c r="P422" s="275">
        <v>309791</v>
      </c>
      <c r="Q422" s="271">
        <f t="shared" si="19"/>
        <v>11772058</v>
      </c>
    </row>
    <row r="423" spans="2:17" ht="15" customHeight="1">
      <c r="B423" s="52">
        <v>420</v>
      </c>
      <c r="C423" s="60" t="s">
        <v>1596</v>
      </c>
      <c r="D423" s="70" t="s">
        <v>1597</v>
      </c>
      <c r="E423" s="198" t="s">
        <v>1598</v>
      </c>
      <c r="F423" s="67" t="s">
        <v>1599</v>
      </c>
      <c r="G423" s="112"/>
      <c r="H423" s="61" t="s">
        <v>1600</v>
      </c>
      <c r="I423" s="112"/>
      <c r="J423" s="105" t="s">
        <v>85</v>
      </c>
      <c r="K423" s="70" t="s">
        <v>1601</v>
      </c>
      <c r="L423" s="113">
        <v>44936</v>
      </c>
      <c r="M423" s="108">
        <v>222727</v>
      </c>
      <c r="N423" s="70">
        <v>15</v>
      </c>
      <c r="O423" s="121">
        <f t="shared" si="18"/>
        <v>3340905</v>
      </c>
      <c r="P423" s="122">
        <v>309791</v>
      </c>
      <c r="Q423" s="121">
        <f t="shared" si="19"/>
        <v>4646865</v>
      </c>
    </row>
    <row r="424" spans="2:17">
      <c r="B424" s="52">
        <v>421</v>
      </c>
      <c r="C424" s="60" t="s">
        <v>1602</v>
      </c>
      <c r="D424" s="70" t="s">
        <v>1597</v>
      </c>
      <c r="E424" s="198" t="s">
        <v>1598</v>
      </c>
      <c r="F424" s="67" t="s">
        <v>1599</v>
      </c>
      <c r="G424" s="112"/>
      <c r="H424" s="61" t="s">
        <v>1600</v>
      </c>
      <c r="I424" s="112"/>
      <c r="J424" s="105" t="s">
        <v>63</v>
      </c>
      <c r="K424" s="70" t="s">
        <v>1603</v>
      </c>
      <c r="L424" s="113">
        <v>44936</v>
      </c>
      <c r="M424" s="108">
        <v>92727</v>
      </c>
      <c r="N424" s="70">
        <v>15</v>
      </c>
      <c r="O424" s="121">
        <f t="shared" si="18"/>
        <v>1390905</v>
      </c>
      <c r="P424" s="122">
        <v>129164</v>
      </c>
      <c r="Q424" s="121">
        <f t="shared" si="19"/>
        <v>1937460</v>
      </c>
    </row>
    <row r="425" spans="2:17">
      <c r="B425" s="52">
        <v>422</v>
      </c>
      <c r="C425" s="60" t="s">
        <v>1604</v>
      </c>
      <c r="D425" s="70" t="s">
        <v>1605</v>
      </c>
      <c r="E425" s="71" t="s">
        <v>1606</v>
      </c>
      <c r="F425" s="67" t="s">
        <v>1607</v>
      </c>
      <c r="G425" s="112"/>
      <c r="H425" s="61" t="s">
        <v>1608</v>
      </c>
      <c r="I425" s="112"/>
      <c r="J425" s="105" t="s">
        <v>85</v>
      </c>
      <c r="K425" s="70" t="s">
        <v>1609</v>
      </c>
      <c r="L425" s="113">
        <v>44945</v>
      </c>
      <c r="M425" s="108">
        <v>222727</v>
      </c>
      <c r="N425" s="70">
        <v>25</v>
      </c>
      <c r="O425" s="121">
        <f t="shared" si="18"/>
        <v>5568175</v>
      </c>
      <c r="P425" s="122">
        <v>257182</v>
      </c>
      <c r="Q425" s="121">
        <f t="shared" si="19"/>
        <v>6429550</v>
      </c>
    </row>
    <row r="426" spans="2:17" ht="15" customHeight="1">
      <c r="B426" s="52">
        <v>423</v>
      </c>
      <c r="C426" s="60" t="s">
        <v>1610</v>
      </c>
      <c r="D426" s="70" t="s">
        <v>1611</v>
      </c>
      <c r="E426" s="198" t="s">
        <v>1598</v>
      </c>
      <c r="F426" s="74" t="s">
        <v>1612</v>
      </c>
      <c r="G426" s="112"/>
      <c r="H426" s="61" t="s">
        <v>1613</v>
      </c>
      <c r="I426" s="112"/>
      <c r="J426" s="110" t="s">
        <v>1614</v>
      </c>
      <c r="K426" s="70" t="s">
        <v>1615</v>
      </c>
      <c r="L426" s="113">
        <v>44952</v>
      </c>
      <c r="M426" s="108">
        <v>92438</v>
      </c>
      <c r="N426" s="70">
        <v>58</v>
      </c>
      <c r="O426" s="121">
        <f t="shared" si="18"/>
        <v>5361404</v>
      </c>
      <c r="P426" s="122">
        <v>109890</v>
      </c>
      <c r="Q426" s="121">
        <f t="shared" si="19"/>
        <v>6373620</v>
      </c>
    </row>
    <row r="427" spans="2:17">
      <c r="B427" s="52">
        <v>424</v>
      </c>
      <c r="C427" s="60" t="s">
        <v>1616</v>
      </c>
      <c r="D427" s="70" t="s">
        <v>1617</v>
      </c>
      <c r="E427" s="71" t="s">
        <v>1606</v>
      </c>
      <c r="F427" s="62" t="s">
        <v>742</v>
      </c>
      <c r="G427" s="112"/>
      <c r="H427" s="61" t="s">
        <v>1618</v>
      </c>
      <c r="I427" s="112"/>
      <c r="J427" s="105" t="s">
        <v>92</v>
      </c>
      <c r="K427" s="70" t="s">
        <v>1619</v>
      </c>
      <c r="L427" s="113">
        <v>44947</v>
      </c>
      <c r="M427" s="108">
        <v>32273</v>
      </c>
      <c r="N427" s="70">
        <v>218</v>
      </c>
      <c r="O427" s="121">
        <f t="shared" si="18"/>
        <v>7035514</v>
      </c>
      <c r="P427" s="122">
        <v>35500</v>
      </c>
      <c r="Q427" s="121">
        <f t="shared" si="19"/>
        <v>7739000</v>
      </c>
    </row>
    <row r="428" spans="2:17">
      <c r="B428" s="52">
        <v>425</v>
      </c>
      <c r="C428" s="60" t="s">
        <v>1620</v>
      </c>
      <c r="D428" s="66">
        <v>2500040497</v>
      </c>
      <c r="E428" s="62" t="s">
        <v>10</v>
      </c>
      <c r="F428" s="63" t="s">
        <v>814</v>
      </c>
      <c r="G428" s="112"/>
      <c r="H428" s="109" t="s">
        <v>1621</v>
      </c>
      <c r="I428" s="112"/>
      <c r="J428" s="105" t="s">
        <v>816</v>
      </c>
      <c r="K428" s="70" t="s">
        <v>1572</v>
      </c>
      <c r="L428" s="113">
        <v>44960</v>
      </c>
      <c r="M428" s="108">
        <v>22727</v>
      </c>
      <c r="N428" s="70">
        <v>2</v>
      </c>
      <c r="O428" s="121">
        <f t="shared" ref="O428:O444" si="20">M428*N428</f>
        <v>45454</v>
      </c>
      <c r="P428" s="121">
        <v>29091</v>
      </c>
      <c r="Q428" s="121">
        <f t="shared" si="19"/>
        <v>58182</v>
      </c>
    </row>
    <row r="429" spans="2:17">
      <c r="B429" s="52">
        <v>426</v>
      </c>
      <c r="C429" s="60" t="s">
        <v>1622</v>
      </c>
      <c r="D429" s="66">
        <v>2500042410</v>
      </c>
      <c r="E429" s="62" t="s">
        <v>10</v>
      </c>
      <c r="F429" s="63" t="s">
        <v>814</v>
      </c>
      <c r="G429" s="70"/>
      <c r="H429" s="109" t="s">
        <v>1623</v>
      </c>
      <c r="I429" s="70"/>
      <c r="J429" s="105" t="s">
        <v>816</v>
      </c>
      <c r="K429" s="70" t="s">
        <v>1624</v>
      </c>
      <c r="L429" s="113">
        <v>44974</v>
      </c>
      <c r="M429" s="108">
        <v>22727</v>
      </c>
      <c r="N429" s="70">
        <v>19</v>
      </c>
      <c r="O429" s="121">
        <f t="shared" si="20"/>
        <v>431813</v>
      </c>
      <c r="P429" s="121">
        <v>29091</v>
      </c>
      <c r="Q429" s="121">
        <f t="shared" si="19"/>
        <v>552729</v>
      </c>
    </row>
    <row r="430" spans="2:17">
      <c r="B430" s="52">
        <v>427</v>
      </c>
      <c r="C430" s="60" t="s">
        <v>1625</v>
      </c>
      <c r="D430" s="70" t="s">
        <v>1626</v>
      </c>
      <c r="E430" s="62" t="s">
        <v>11</v>
      </c>
      <c r="F430" s="67" t="s">
        <v>1627</v>
      </c>
      <c r="G430" s="70"/>
      <c r="H430" s="109" t="s">
        <v>1628</v>
      </c>
      <c r="I430" s="70"/>
      <c r="J430" s="105" t="s">
        <v>85</v>
      </c>
      <c r="K430" s="70" t="s">
        <v>1629</v>
      </c>
      <c r="L430" s="113">
        <v>44963</v>
      </c>
      <c r="M430" s="108">
        <v>222727</v>
      </c>
      <c r="N430" s="70">
        <v>2</v>
      </c>
      <c r="O430" s="121">
        <f t="shared" si="20"/>
        <v>445454</v>
      </c>
      <c r="P430" s="121">
        <v>279091</v>
      </c>
      <c r="Q430" s="121">
        <f t="shared" si="19"/>
        <v>558182</v>
      </c>
    </row>
    <row r="431" spans="2:17">
      <c r="B431" s="52">
        <v>428</v>
      </c>
      <c r="C431" s="60" t="s">
        <v>1630</v>
      </c>
      <c r="D431" s="66">
        <v>2500042737</v>
      </c>
      <c r="E431" s="62" t="s">
        <v>10</v>
      </c>
      <c r="F431" s="63" t="s">
        <v>814</v>
      </c>
      <c r="G431" s="70"/>
      <c r="H431" s="109" t="s">
        <v>1631</v>
      </c>
      <c r="I431" s="70"/>
      <c r="J431" s="105" t="s">
        <v>85</v>
      </c>
      <c r="K431" s="70" t="s">
        <v>1632</v>
      </c>
      <c r="L431" s="113">
        <v>44977</v>
      </c>
      <c r="M431" s="108">
        <v>222727</v>
      </c>
      <c r="N431" s="70">
        <v>358</v>
      </c>
      <c r="O431" s="121">
        <f t="shared" si="20"/>
        <v>79736266</v>
      </c>
      <c r="P431" s="121">
        <v>279091</v>
      </c>
      <c r="Q431" s="121">
        <f t="shared" si="19"/>
        <v>99914578</v>
      </c>
    </row>
    <row r="432" spans="2:17">
      <c r="B432" s="52">
        <v>429</v>
      </c>
      <c r="C432" s="60" t="s">
        <v>1633</v>
      </c>
      <c r="D432" s="70" t="s">
        <v>1634</v>
      </c>
      <c r="E432" s="67" t="s">
        <v>82</v>
      </c>
      <c r="F432" s="67" t="s">
        <v>83</v>
      </c>
      <c r="G432" s="70"/>
      <c r="H432" s="109" t="s">
        <v>1635</v>
      </c>
      <c r="I432" s="70"/>
      <c r="J432" s="105" t="s">
        <v>85</v>
      </c>
      <c r="K432" s="70" t="s">
        <v>1636</v>
      </c>
      <c r="L432" s="113">
        <v>44978</v>
      </c>
      <c r="M432" s="108">
        <v>222727</v>
      </c>
      <c r="N432" s="70">
        <v>250</v>
      </c>
      <c r="O432" s="121">
        <f t="shared" si="20"/>
        <v>55681750</v>
      </c>
      <c r="P432" s="121">
        <v>279091</v>
      </c>
      <c r="Q432" s="121">
        <f t="shared" si="19"/>
        <v>69772750</v>
      </c>
    </row>
    <row r="433" spans="2:17">
      <c r="B433" s="76">
        <v>430</v>
      </c>
      <c r="C433" s="77" t="s">
        <v>1637</v>
      </c>
      <c r="D433" s="19" t="s">
        <v>1638</v>
      </c>
      <c r="E433" s="21" t="s">
        <v>11</v>
      </c>
      <c r="F433" s="78" t="s">
        <v>1581</v>
      </c>
      <c r="G433" s="19"/>
      <c r="H433" s="19" t="s">
        <v>1639</v>
      </c>
      <c r="I433" s="19"/>
      <c r="J433" s="24" t="s">
        <v>85</v>
      </c>
      <c r="K433" s="19" t="s">
        <v>1640</v>
      </c>
      <c r="L433" s="36">
        <v>44995</v>
      </c>
      <c r="M433" s="37">
        <v>222727</v>
      </c>
      <c r="N433" s="19">
        <v>2</v>
      </c>
      <c r="O433" s="40">
        <f t="shared" si="20"/>
        <v>445454</v>
      </c>
      <c r="P433" s="40">
        <v>279091</v>
      </c>
      <c r="Q433" s="40">
        <f t="shared" si="19"/>
        <v>558182</v>
      </c>
    </row>
    <row r="434" spans="2:17">
      <c r="B434" s="76">
        <v>431</v>
      </c>
      <c r="C434" s="77" t="s">
        <v>1641</v>
      </c>
      <c r="D434" s="19" t="s">
        <v>1642</v>
      </c>
      <c r="E434" s="21" t="s">
        <v>1643</v>
      </c>
      <c r="F434" s="24" t="s">
        <v>1644</v>
      </c>
      <c r="G434" s="19"/>
      <c r="H434" s="19" t="s">
        <v>1645</v>
      </c>
      <c r="I434" s="19"/>
      <c r="J434" s="24" t="s">
        <v>63</v>
      </c>
      <c r="K434" s="19" t="s">
        <v>1646</v>
      </c>
      <c r="L434" s="36">
        <v>44998</v>
      </c>
      <c r="M434" s="37">
        <v>92727</v>
      </c>
      <c r="N434" s="19">
        <v>5</v>
      </c>
      <c r="O434" s="40">
        <f t="shared" si="20"/>
        <v>463635</v>
      </c>
      <c r="P434" s="40">
        <v>116364</v>
      </c>
      <c r="Q434" s="40">
        <f t="shared" si="19"/>
        <v>581820</v>
      </c>
    </row>
    <row r="435" spans="2:17">
      <c r="B435" s="76">
        <v>432</v>
      </c>
      <c r="C435" s="77" t="s">
        <v>1647</v>
      </c>
      <c r="D435" s="19" t="s">
        <v>1648</v>
      </c>
      <c r="E435" s="21" t="s">
        <v>11</v>
      </c>
      <c r="F435" s="79" t="s">
        <v>1649</v>
      </c>
      <c r="G435" s="19"/>
      <c r="H435" s="19" t="s">
        <v>1650</v>
      </c>
      <c r="I435" s="19"/>
      <c r="J435" s="24" t="s">
        <v>85</v>
      </c>
      <c r="K435" s="19" t="s">
        <v>1651</v>
      </c>
      <c r="L435" s="36">
        <v>45000</v>
      </c>
      <c r="M435" s="37">
        <v>222727</v>
      </c>
      <c r="N435" s="19">
        <v>46</v>
      </c>
      <c r="O435" s="40">
        <f t="shared" si="20"/>
        <v>10245442</v>
      </c>
      <c r="P435" s="40">
        <v>279091</v>
      </c>
      <c r="Q435" s="40">
        <f t="shared" si="19"/>
        <v>12838186</v>
      </c>
    </row>
    <row r="436" spans="2:17">
      <c r="B436" s="76">
        <v>433</v>
      </c>
      <c r="C436" s="77" t="s">
        <v>1652</v>
      </c>
      <c r="D436" s="19" t="s">
        <v>1653</v>
      </c>
      <c r="E436" s="80" t="s">
        <v>1606</v>
      </c>
      <c r="F436" s="24" t="s">
        <v>1654</v>
      </c>
      <c r="G436" s="19"/>
      <c r="H436" s="19" t="s">
        <v>1655</v>
      </c>
      <c r="I436" s="19"/>
      <c r="J436" s="24" t="s">
        <v>85</v>
      </c>
      <c r="K436" s="19" t="s">
        <v>1656</v>
      </c>
      <c r="L436" s="36">
        <v>45002</v>
      </c>
      <c r="M436" s="37">
        <v>222727</v>
      </c>
      <c r="N436" s="19">
        <v>3</v>
      </c>
      <c r="O436" s="40">
        <f t="shared" si="20"/>
        <v>668181</v>
      </c>
      <c r="P436" s="40">
        <v>256000</v>
      </c>
      <c r="Q436" s="40">
        <f t="shared" si="19"/>
        <v>768000</v>
      </c>
    </row>
    <row r="437" spans="2:17">
      <c r="B437" s="76">
        <v>434</v>
      </c>
      <c r="C437" s="77" t="s">
        <v>1657</v>
      </c>
      <c r="D437" s="19" t="s">
        <v>1658</v>
      </c>
      <c r="E437" s="21" t="s">
        <v>17</v>
      </c>
      <c r="F437" s="24" t="s">
        <v>114</v>
      </c>
      <c r="G437" s="19"/>
      <c r="H437" s="19" t="s">
        <v>1659</v>
      </c>
      <c r="I437" s="19"/>
      <c r="J437" s="24" t="s">
        <v>1457</v>
      </c>
      <c r="K437" s="19" t="s">
        <v>1660</v>
      </c>
      <c r="L437" s="36">
        <v>45012</v>
      </c>
      <c r="M437" s="37">
        <v>432961</v>
      </c>
      <c r="N437" s="19">
        <v>41</v>
      </c>
      <c r="O437" s="40">
        <f t="shared" si="20"/>
        <v>17751401</v>
      </c>
      <c r="P437" s="40">
        <v>533408</v>
      </c>
      <c r="Q437" s="40">
        <f t="shared" si="19"/>
        <v>21869728</v>
      </c>
    </row>
    <row r="438" spans="2:17">
      <c r="B438" s="76">
        <v>435</v>
      </c>
      <c r="C438" s="77" t="s">
        <v>1661</v>
      </c>
      <c r="D438" s="19" t="s">
        <v>1658</v>
      </c>
      <c r="E438" s="21" t="s">
        <v>17</v>
      </c>
      <c r="F438" s="24" t="s">
        <v>114</v>
      </c>
      <c r="G438" s="19"/>
      <c r="H438" s="19" t="s">
        <v>1662</v>
      </c>
      <c r="I438" s="19"/>
      <c r="J438" s="24" t="s">
        <v>85</v>
      </c>
      <c r="K438" s="19" t="s">
        <v>303</v>
      </c>
      <c r="L438" s="36">
        <v>45012</v>
      </c>
      <c r="M438" s="37">
        <v>222727</v>
      </c>
      <c r="N438" s="19">
        <v>4</v>
      </c>
      <c r="O438" s="40">
        <f t="shared" si="20"/>
        <v>890908</v>
      </c>
      <c r="P438" s="40">
        <v>279091</v>
      </c>
      <c r="Q438" s="40">
        <f t="shared" si="19"/>
        <v>1116364</v>
      </c>
    </row>
    <row r="439" spans="2:17">
      <c r="B439" s="76">
        <v>436</v>
      </c>
      <c r="C439" s="77" t="s">
        <v>1663</v>
      </c>
      <c r="D439" s="19" t="s">
        <v>1658</v>
      </c>
      <c r="E439" s="21" t="s">
        <v>17</v>
      </c>
      <c r="F439" s="24" t="s">
        <v>114</v>
      </c>
      <c r="G439" s="19"/>
      <c r="H439" s="19" t="s">
        <v>1664</v>
      </c>
      <c r="I439" s="19"/>
      <c r="J439" s="24" t="s">
        <v>85</v>
      </c>
      <c r="K439" s="19" t="s">
        <v>377</v>
      </c>
      <c r="L439" s="36">
        <v>45012</v>
      </c>
      <c r="M439" s="37">
        <v>222727</v>
      </c>
      <c r="N439" s="19">
        <v>1</v>
      </c>
      <c r="O439" s="40">
        <f t="shared" si="20"/>
        <v>222727</v>
      </c>
      <c r="P439" s="40">
        <v>279091</v>
      </c>
      <c r="Q439" s="40">
        <f t="shared" si="19"/>
        <v>279091</v>
      </c>
    </row>
    <row r="440" spans="2:17">
      <c r="B440" s="82">
        <v>437</v>
      </c>
      <c r="C440" s="83" t="s">
        <v>1665</v>
      </c>
      <c r="D440" s="84" t="s">
        <v>1666</v>
      </c>
      <c r="E440" s="85" t="s">
        <v>1667</v>
      </c>
      <c r="F440" s="85" t="s">
        <v>1668</v>
      </c>
      <c r="G440" s="84"/>
      <c r="H440" s="84" t="s">
        <v>1669</v>
      </c>
      <c r="I440" s="84"/>
      <c r="J440" s="85" t="s">
        <v>63</v>
      </c>
      <c r="K440" s="84" t="s">
        <v>219</v>
      </c>
      <c r="L440" s="114">
        <v>45020</v>
      </c>
      <c r="M440" s="115">
        <v>92727</v>
      </c>
      <c r="N440" s="84">
        <v>18</v>
      </c>
      <c r="O440" s="123">
        <f t="shared" si="20"/>
        <v>1669086</v>
      </c>
      <c r="P440" s="123">
        <v>116999</v>
      </c>
      <c r="Q440" s="123">
        <f t="shared" si="19"/>
        <v>2105982</v>
      </c>
    </row>
    <row r="441" spans="2:17">
      <c r="B441" s="82">
        <v>438</v>
      </c>
      <c r="C441" s="83" t="s">
        <v>1670</v>
      </c>
      <c r="D441" s="84" t="s">
        <v>1671</v>
      </c>
      <c r="E441" s="87" t="s">
        <v>1606</v>
      </c>
      <c r="F441" s="85" t="s">
        <v>1672</v>
      </c>
      <c r="G441" s="84"/>
      <c r="H441" s="84" t="s">
        <v>1673</v>
      </c>
      <c r="I441" s="84"/>
      <c r="J441" s="85" t="s">
        <v>85</v>
      </c>
      <c r="K441" s="84" t="s">
        <v>1674</v>
      </c>
      <c r="L441" s="114">
        <v>45026</v>
      </c>
      <c r="M441" s="115">
        <v>222727</v>
      </c>
      <c r="N441" s="84">
        <v>40</v>
      </c>
      <c r="O441" s="123">
        <f t="shared" si="20"/>
        <v>8909080</v>
      </c>
      <c r="P441" s="123">
        <v>256500</v>
      </c>
      <c r="Q441" s="123">
        <f t="shared" si="19"/>
        <v>10260000</v>
      </c>
    </row>
    <row r="442" spans="2:17">
      <c r="B442" s="82">
        <v>439</v>
      </c>
      <c r="C442" s="83" t="s">
        <v>1675</v>
      </c>
      <c r="D442" s="90" t="s">
        <v>1676</v>
      </c>
      <c r="E442" s="87" t="s">
        <v>9</v>
      </c>
      <c r="F442" s="85" t="s">
        <v>1136</v>
      </c>
      <c r="G442" s="84"/>
      <c r="H442" s="116" t="s">
        <v>1677</v>
      </c>
      <c r="I442" s="84"/>
      <c r="J442" s="85" t="s">
        <v>50</v>
      </c>
      <c r="K442" s="116" t="s">
        <v>1678</v>
      </c>
      <c r="L442" s="114">
        <v>45027</v>
      </c>
      <c r="M442" s="115">
        <v>254545</v>
      </c>
      <c r="N442" s="84">
        <v>1</v>
      </c>
      <c r="O442" s="123">
        <f t="shared" si="20"/>
        <v>254545</v>
      </c>
      <c r="P442" s="123">
        <v>275000</v>
      </c>
      <c r="Q442" s="123">
        <f t="shared" si="19"/>
        <v>275000</v>
      </c>
    </row>
    <row r="443" spans="2:17">
      <c r="B443" s="82">
        <v>440</v>
      </c>
      <c r="C443" s="83" t="s">
        <v>1679</v>
      </c>
      <c r="D443" s="90" t="s">
        <v>1680</v>
      </c>
      <c r="E443" s="87"/>
      <c r="F443" s="85" t="s">
        <v>1681</v>
      </c>
      <c r="G443" s="84"/>
      <c r="H443" s="84" t="s">
        <v>1682</v>
      </c>
      <c r="I443" s="84"/>
      <c r="J443" s="85" t="s">
        <v>1683</v>
      </c>
      <c r="K443" s="84" t="s">
        <v>1684</v>
      </c>
      <c r="L443" s="114">
        <v>45027</v>
      </c>
      <c r="M443" s="115">
        <v>89827</v>
      </c>
      <c r="N443" s="84">
        <v>1</v>
      </c>
      <c r="O443" s="123">
        <f t="shared" si="20"/>
        <v>89827</v>
      </c>
      <c r="P443" s="123">
        <v>97900</v>
      </c>
      <c r="Q443" s="123">
        <f t="shared" si="19"/>
        <v>97900</v>
      </c>
    </row>
    <row r="444" spans="2:17">
      <c r="B444" s="82">
        <v>441</v>
      </c>
      <c r="C444" s="83" t="s">
        <v>1685</v>
      </c>
      <c r="D444" s="84" t="s">
        <v>1686</v>
      </c>
      <c r="E444" s="85" t="s">
        <v>1687</v>
      </c>
      <c r="F444" s="85" t="s">
        <v>1512</v>
      </c>
      <c r="G444" s="84"/>
      <c r="H444" s="84" t="s">
        <v>1688</v>
      </c>
      <c r="I444" s="84"/>
      <c r="J444" s="85" t="s">
        <v>85</v>
      </c>
      <c r="K444" s="84" t="s">
        <v>1689</v>
      </c>
      <c r="L444" s="114">
        <v>45042</v>
      </c>
      <c r="M444" s="115">
        <v>222727</v>
      </c>
      <c r="N444" s="84">
        <v>14</v>
      </c>
      <c r="O444" s="123">
        <f t="shared" si="20"/>
        <v>3118178</v>
      </c>
      <c r="P444" s="123">
        <v>281183.78000000003</v>
      </c>
      <c r="Q444" s="123">
        <f t="shared" si="19"/>
        <v>3936572.9200000004</v>
      </c>
    </row>
  </sheetData>
  <autoFilter ref="B2:O444" xr:uid="{00000000-0009-0000-0000-000004000000}"/>
  <mergeCells count="11">
    <mergeCell ref="B2:B3"/>
    <mergeCell ref="C2:C3"/>
    <mergeCell ref="E2:E3"/>
    <mergeCell ref="F2:F3"/>
    <mergeCell ref="J2:J3"/>
    <mergeCell ref="Q2:Q3"/>
    <mergeCell ref="K2:K3"/>
    <mergeCell ref="M2:M3"/>
    <mergeCell ref="N2:N3"/>
    <mergeCell ref="O2:O3"/>
    <mergeCell ref="P2:P3"/>
  </mergeCells>
  <pageMargins left="0.75" right="0.75" top="1" bottom="1" header="0.5" footer="0.5"/>
  <pageSetup scale="37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20"/>
  <sheetViews>
    <sheetView zoomScale="85" zoomScaleNormal="85" workbookViewId="0">
      <pane ySplit="1" topLeftCell="A302" activePane="bottomLeft" state="frozen"/>
      <selection pane="bottomLeft" activeCell="G9" sqref="G9"/>
    </sheetView>
  </sheetViews>
  <sheetFormatPr defaultColWidth="9.140625" defaultRowHeight="15"/>
  <cols>
    <col min="1" max="1" width="4.140625" customWidth="1"/>
    <col min="2" max="2" width="5.7109375" style="2" customWidth="1"/>
    <col min="3" max="3" width="20" customWidth="1"/>
    <col min="4" max="4" width="28.140625" style="3" customWidth="1"/>
    <col min="5" max="5" width="29.28515625" style="4" customWidth="1"/>
    <col min="6" max="6" width="44.5703125" style="4" customWidth="1"/>
    <col min="7" max="7" width="39.42578125" style="5" customWidth="1"/>
    <col min="8" max="8" width="56.140625" customWidth="1"/>
    <col min="9" max="9" width="23.85546875" hidden="1" customWidth="1"/>
    <col min="10" max="10" width="24" customWidth="1"/>
    <col min="11" max="11" width="21.7109375" customWidth="1"/>
    <col min="12" max="12" width="46.7109375" style="6" customWidth="1"/>
    <col min="13" max="13" width="37.85546875" customWidth="1"/>
    <col min="14" max="14" width="10.7109375" style="7" customWidth="1"/>
    <col min="15" max="15" width="16.28515625" customWidth="1"/>
    <col min="16" max="16" width="9.140625" customWidth="1"/>
    <col min="17" max="17" width="17.140625" customWidth="1"/>
    <col min="18" max="18" width="18.42578125" customWidth="1"/>
    <col min="19" max="19" width="18" customWidth="1"/>
    <col min="21" max="21" width="14.28515625" customWidth="1"/>
  </cols>
  <sheetData>
    <row r="1" spans="1:19" ht="19.5" customHeight="1">
      <c r="B1" s="8" t="s">
        <v>24</v>
      </c>
      <c r="C1" s="9" t="s">
        <v>25</v>
      </c>
      <c r="D1" s="14" t="s">
        <v>38</v>
      </c>
      <c r="E1" s="11" t="s">
        <v>26</v>
      </c>
      <c r="F1" s="11" t="s">
        <v>1690</v>
      </c>
      <c r="G1" s="12" t="s">
        <v>1691</v>
      </c>
      <c r="H1" s="9" t="s">
        <v>27</v>
      </c>
      <c r="I1" s="13" t="s">
        <v>28</v>
      </c>
      <c r="J1" s="13" t="s">
        <v>29</v>
      </c>
      <c r="K1" s="13" t="s">
        <v>30</v>
      </c>
      <c r="L1" s="9" t="s">
        <v>31</v>
      </c>
      <c r="M1" s="9" t="s">
        <v>32</v>
      </c>
      <c r="N1" s="35" t="s">
        <v>39</v>
      </c>
      <c r="O1" s="34" t="s">
        <v>33</v>
      </c>
      <c r="P1" s="9" t="s">
        <v>34</v>
      </c>
      <c r="Q1" s="34" t="s">
        <v>35</v>
      </c>
      <c r="R1" s="34" t="s">
        <v>36</v>
      </c>
      <c r="S1" s="34" t="s">
        <v>37</v>
      </c>
    </row>
    <row r="2" spans="1:19">
      <c r="A2" s="17"/>
      <c r="B2" s="18">
        <v>102</v>
      </c>
      <c r="C2" s="19" t="s">
        <v>430</v>
      </c>
      <c r="D2" s="20" t="s">
        <v>431</v>
      </c>
      <c r="E2" s="21" t="s">
        <v>9</v>
      </c>
      <c r="F2" s="22" t="s">
        <v>1692</v>
      </c>
      <c r="G2" s="23" t="s">
        <v>1693</v>
      </c>
      <c r="H2" s="24" t="s">
        <v>432</v>
      </c>
      <c r="I2" s="19"/>
      <c r="J2" s="19" t="s">
        <v>433</v>
      </c>
      <c r="K2" s="19"/>
      <c r="L2" s="24" t="s">
        <v>50</v>
      </c>
      <c r="M2" s="19" t="s">
        <v>434</v>
      </c>
      <c r="N2" s="36">
        <v>44376</v>
      </c>
      <c r="O2" s="37">
        <v>254545</v>
      </c>
      <c r="P2" s="19">
        <v>2</v>
      </c>
      <c r="Q2" s="40">
        <f t="shared" ref="Q2:Q18" si="0">P2*O2</f>
        <v>509090</v>
      </c>
      <c r="R2" s="40">
        <v>275000</v>
      </c>
      <c r="S2" s="40">
        <f t="shared" ref="S2:S31" si="1">R2*P2</f>
        <v>550000</v>
      </c>
    </row>
    <row r="3" spans="1:19">
      <c r="A3" s="17"/>
      <c r="B3" s="18">
        <v>103</v>
      </c>
      <c r="C3" s="19" t="s">
        <v>435</v>
      </c>
      <c r="D3" s="20" t="s">
        <v>431</v>
      </c>
      <c r="E3" s="21" t="s">
        <v>9</v>
      </c>
      <c r="F3" s="22" t="s">
        <v>1692</v>
      </c>
      <c r="G3" s="23" t="s">
        <v>1693</v>
      </c>
      <c r="H3" s="24" t="s">
        <v>436</v>
      </c>
      <c r="I3" s="19"/>
      <c r="J3" s="19" t="s">
        <v>433</v>
      </c>
      <c r="K3" s="19"/>
      <c r="L3" s="24" t="s">
        <v>50</v>
      </c>
      <c r="M3" s="19" t="s">
        <v>437</v>
      </c>
      <c r="N3" s="36">
        <v>44376</v>
      </c>
      <c r="O3" s="37">
        <v>254545</v>
      </c>
      <c r="P3" s="19">
        <v>3</v>
      </c>
      <c r="Q3" s="40">
        <f t="shared" si="0"/>
        <v>763635</v>
      </c>
      <c r="R3" s="40">
        <v>275000</v>
      </c>
      <c r="S3" s="40">
        <f t="shared" si="1"/>
        <v>825000</v>
      </c>
    </row>
    <row r="4" spans="1:19">
      <c r="A4" s="17"/>
      <c r="B4" s="18">
        <v>104</v>
      </c>
      <c r="C4" s="19" t="s">
        <v>438</v>
      </c>
      <c r="D4" s="20" t="s">
        <v>439</v>
      </c>
      <c r="E4" s="21" t="s">
        <v>9</v>
      </c>
      <c r="F4" s="22" t="s">
        <v>1692</v>
      </c>
      <c r="G4" s="23" t="s">
        <v>1693</v>
      </c>
      <c r="H4" s="24" t="s">
        <v>440</v>
      </c>
      <c r="I4" s="19"/>
      <c r="J4" s="19" t="s">
        <v>441</v>
      </c>
      <c r="K4" s="19"/>
      <c r="L4" s="24" t="s">
        <v>50</v>
      </c>
      <c r="M4" s="19" t="s">
        <v>442</v>
      </c>
      <c r="N4" s="36">
        <v>44377</v>
      </c>
      <c r="O4" s="37">
        <v>254545</v>
      </c>
      <c r="P4" s="19">
        <v>1</v>
      </c>
      <c r="Q4" s="40">
        <f t="shared" si="0"/>
        <v>254545</v>
      </c>
      <c r="R4" s="40">
        <v>275000</v>
      </c>
      <c r="S4" s="40">
        <f t="shared" si="1"/>
        <v>275000</v>
      </c>
    </row>
    <row r="5" spans="1:19">
      <c r="A5" s="17"/>
      <c r="B5" s="18">
        <v>105</v>
      </c>
      <c r="C5" s="25" t="s">
        <v>443</v>
      </c>
      <c r="D5" s="26" t="s">
        <v>444</v>
      </c>
      <c r="E5" s="27" t="s">
        <v>9</v>
      </c>
      <c r="F5" s="28" t="s">
        <v>1692</v>
      </c>
      <c r="G5" s="29" t="s">
        <v>1693</v>
      </c>
      <c r="H5" s="30" t="s">
        <v>445</v>
      </c>
      <c r="I5" s="25"/>
      <c r="J5" s="25" t="s">
        <v>446</v>
      </c>
      <c r="K5" s="25"/>
      <c r="L5" s="30" t="s">
        <v>50</v>
      </c>
      <c r="M5" s="25" t="s">
        <v>447</v>
      </c>
      <c r="N5" s="38">
        <v>44407</v>
      </c>
      <c r="O5" s="39">
        <v>254545</v>
      </c>
      <c r="P5" s="25">
        <v>1</v>
      </c>
      <c r="Q5" s="41">
        <f t="shared" si="0"/>
        <v>254545</v>
      </c>
      <c r="R5" s="41">
        <v>275000</v>
      </c>
      <c r="S5" s="41">
        <f t="shared" si="1"/>
        <v>275000</v>
      </c>
    </row>
    <row r="6" spans="1:19">
      <c r="A6" s="17"/>
      <c r="B6" s="18">
        <v>106</v>
      </c>
      <c r="C6" s="25" t="s">
        <v>448</v>
      </c>
      <c r="D6" s="26" t="s">
        <v>449</v>
      </c>
      <c r="E6" s="27" t="s">
        <v>9</v>
      </c>
      <c r="F6" s="28" t="s">
        <v>1692</v>
      </c>
      <c r="G6" s="29" t="s">
        <v>1693</v>
      </c>
      <c r="H6" s="30" t="s">
        <v>450</v>
      </c>
      <c r="I6" s="25"/>
      <c r="J6" s="25" t="s">
        <v>451</v>
      </c>
      <c r="K6" s="25"/>
      <c r="L6" s="30" t="s">
        <v>50</v>
      </c>
      <c r="M6" s="25" t="s">
        <v>452</v>
      </c>
      <c r="N6" s="38">
        <v>44385</v>
      </c>
      <c r="O6" s="39">
        <v>254545</v>
      </c>
      <c r="P6" s="25">
        <v>3</v>
      </c>
      <c r="Q6" s="41">
        <f t="shared" si="0"/>
        <v>763635</v>
      </c>
      <c r="R6" s="41">
        <v>275000</v>
      </c>
      <c r="S6" s="41">
        <f t="shared" si="1"/>
        <v>825000</v>
      </c>
    </row>
    <row r="7" spans="1:19">
      <c r="A7" s="17"/>
      <c r="B7" s="18">
        <v>107</v>
      </c>
      <c r="C7" s="25" t="s">
        <v>453</v>
      </c>
      <c r="D7" s="26" t="s">
        <v>449</v>
      </c>
      <c r="E7" s="27" t="s">
        <v>9</v>
      </c>
      <c r="F7" s="28" t="s">
        <v>1692</v>
      </c>
      <c r="G7" s="29" t="s">
        <v>1693</v>
      </c>
      <c r="H7" s="30" t="s">
        <v>454</v>
      </c>
      <c r="I7" s="25"/>
      <c r="J7" s="25" t="s">
        <v>455</v>
      </c>
      <c r="K7" s="25"/>
      <c r="L7" s="30" t="s">
        <v>50</v>
      </c>
      <c r="M7" s="25" t="s">
        <v>456</v>
      </c>
      <c r="N7" s="38">
        <v>44385</v>
      </c>
      <c r="O7" s="39">
        <v>254545</v>
      </c>
      <c r="P7" s="25">
        <v>2</v>
      </c>
      <c r="Q7" s="41">
        <f t="shared" si="0"/>
        <v>509090</v>
      </c>
      <c r="R7" s="41">
        <v>275000</v>
      </c>
      <c r="S7" s="41">
        <f t="shared" si="1"/>
        <v>550000</v>
      </c>
    </row>
    <row r="8" spans="1:19">
      <c r="A8" s="17"/>
      <c r="B8" s="18">
        <v>108</v>
      </c>
      <c r="C8" s="25" t="s">
        <v>457</v>
      </c>
      <c r="D8" s="26" t="s">
        <v>449</v>
      </c>
      <c r="E8" s="27" t="s">
        <v>9</v>
      </c>
      <c r="F8" s="28" t="s">
        <v>1692</v>
      </c>
      <c r="G8" s="29" t="s">
        <v>1693</v>
      </c>
      <c r="H8" s="30" t="s">
        <v>458</v>
      </c>
      <c r="I8" s="25"/>
      <c r="J8" s="25" t="s">
        <v>459</v>
      </c>
      <c r="K8" s="25"/>
      <c r="L8" s="30" t="s">
        <v>50</v>
      </c>
      <c r="M8" s="25" t="s">
        <v>460</v>
      </c>
      <c r="N8" s="38">
        <v>44385</v>
      </c>
      <c r="O8" s="39">
        <v>254545</v>
      </c>
      <c r="P8" s="25">
        <v>1</v>
      </c>
      <c r="Q8" s="41">
        <f t="shared" si="0"/>
        <v>254545</v>
      </c>
      <c r="R8" s="41">
        <v>275000</v>
      </c>
      <c r="S8" s="41">
        <f t="shared" si="1"/>
        <v>275000</v>
      </c>
    </row>
    <row r="9" spans="1:19">
      <c r="A9" s="17"/>
      <c r="B9" s="18">
        <v>111</v>
      </c>
      <c r="C9" s="25" t="s">
        <v>469</v>
      </c>
      <c r="D9" s="26" t="s">
        <v>470</v>
      </c>
      <c r="E9" s="27" t="s">
        <v>6</v>
      </c>
      <c r="F9" s="28" t="s">
        <v>1694</v>
      </c>
      <c r="G9" s="31" t="s">
        <v>1695</v>
      </c>
      <c r="H9" s="30" t="s">
        <v>185</v>
      </c>
      <c r="I9" s="25"/>
      <c r="J9" s="25" t="s">
        <v>471</v>
      </c>
      <c r="K9" s="25"/>
      <c r="L9" s="30" t="s">
        <v>50</v>
      </c>
      <c r="M9" s="25" t="s">
        <v>472</v>
      </c>
      <c r="N9" s="38">
        <v>44395</v>
      </c>
      <c r="O9" s="39">
        <v>345455</v>
      </c>
      <c r="P9" s="25">
        <v>258</v>
      </c>
      <c r="Q9" s="41">
        <f t="shared" si="0"/>
        <v>89127390</v>
      </c>
      <c r="R9" s="41">
        <v>388181.82</v>
      </c>
      <c r="S9" s="41">
        <f t="shared" si="1"/>
        <v>100150909.56</v>
      </c>
    </row>
    <row r="10" spans="1:19">
      <c r="A10" s="17"/>
      <c r="B10" s="18">
        <v>113</v>
      </c>
      <c r="C10" s="25" t="s">
        <v>477</v>
      </c>
      <c r="D10" s="26" t="s">
        <v>478</v>
      </c>
      <c r="E10" s="27" t="s">
        <v>9</v>
      </c>
      <c r="F10" s="28" t="s">
        <v>1692</v>
      </c>
      <c r="G10" s="29" t="s">
        <v>1693</v>
      </c>
      <c r="H10" s="30" t="s">
        <v>479</v>
      </c>
      <c r="I10" s="25"/>
      <c r="J10" s="25" t="s">
        <v>480</v>
      </c>
      <c r="K10" s="25"/>
      <c r="L10" s="30" t="s">
        <v>50</v>
      </c>
      <c r="M10" s="25" t="s">
        <v>481</v>
      </c>
      <c r="N10" s="38">
        <v>44398</v>
      </c>
      <c r="O10" s="39">
        <v>254545</v>
      </c>
      <c r="P10" s="25">
        <v>1</v>
      </c>
      <c r="Q10" s="41">
        <f t="shared" si="0"/>
        <v>254545</v>
      </c>
      <c r="R10" s="41">
        <v>275000</v>
      </c>
      <c r="S10" s="41">
        <f t="shared" si="1"/>
        <v>275000</v>
      </c>
    </row>
    <row r="11" spans="1:19">
      <c r="A11" s="17"/>
      <c r="B11" s="18">
        <v>114</v>
      </c>
      <c r="C11" s="25" t="s">
        <v>482</v>
      </c>
      <c r="D11" s="26" t="s">
        <v>478</v>
      </c>
      <c r="E11" s="27" t="s">
        <v>9</v>
      </c>
      <c r="F11" s="28" t="s">
        <v>1692</v>
      </c>
      <c r="G11" s="29" t="s">
        <v>1693</v>
      </c>
      <c r="H11" s="30" t="s">
        <v>483</v>
      </c>
      <c r="I11" s="25"/>
      <c r="J11" s="25" t="s">
        <v>480</v>
      </c>
      <c r="K11" s="25"/>
      <c r="L11" s="30" t="s">
        <v>50</v>
      </c>
      <c r="M11" s="25" t="s">
        <v>484</v>
      </c>
      <c r="N11" s="38">
        <v>44398</v>
      </c>
      <c r="O11" s="39">
        <v>254545</v>
      </c>
      <c r="P11" s="25">
        <v>8</v>
      </c>
      <c r="Q11" s="41">
        <f t="shared" si="0"/>
        <v>2036360</v>
      </c>
      <c r="R11" s="41">
        <v>275000</v>
      </c>
      <c r="S11" s="41">
        <f t="shared" si="1"/>
        <v>2200000</v>
      </c>
    </row>
    <row r="12" spans="1:19">
      <c r="A12" s="17"/>
      <c r="B12" s="18">
        <v>115</v>
      </c>
      <c r="C12" s="25" t="s">
        <v>485</v>
      </c>
      <c r="D12" s="26" t="s">
        <v>444</v>
      </c>
      <c r="E12" s="27" t="s">
        <v>9</v>
      </c>
      <c r="F12" s="28" t="s">
        <v>1692</v>
      </c>
      <c r="G12" s="29" t="s">
        <v>1693</v>
      </c>
      <c r="H12" s="30" t="s">
        <v>203</v>
      </c>
      <c r="I12" s="25"/>
      <c r="J12" s="25" t="s">
        <v>446</v>
      </c>
      <c r="K12" s="25"/>
      <c r="L12" s="30" t="s">
        <v>50</v>
      </c>
      <c r="M12" s="25" t="s">
        <v>486</v>
      </c>
      <c r="N12" s="38">
        <v>44407</v>
      </c>
      <c r="O12" s="39">
        <v>254545</v>
      </c>
      <c r="P12" s="25">
        <v>1</v>
      </c>
      <c r="Q12" s="41">
        <f t="shared" si="0"/>
        <v>254545</v>
      </c>
      <c r="R12" s="41">
        <v>275000</v>
      </c>
      <c r="S12" s="41">
        <f t="shared" si="1"/>
        <v>275000</v>
      </c>
    </row>
    <row r="13" spans="1:19">
      <c r="A13" s="17"/>
      <c r="B13" s="18">
        <v>116</v>
      </c>
      <c r="C13" s="25" t="s">
        <v>487</v>
      </c>
      <c r="D13" s="26" t="s">
        <v>488</v>
      </c>
      <c r="E13" s="27" t="s">
        <v>9</v>
      </c>
      <c r="F13" s="28" t="s">
        <v>1692</v>
      </c>
      <c r="G13" s="29" t="s">
        <v>1693</v>
      </c>
      <c r="H13" s="30" t="s">
        <v>489</v>
      </c>
      <c r="I13" s="25"/>
      <c r="J13" s="25" t="s">
        <v>490</v>
      </c>
      <c r="K13" s="25"/>
      <c r="L13" s="30" t="s">
        <v>50</v>
      </c>
      <c r="M13" s="25" t="s">
        <v>491</v>
      </c>
      <c r="N13" s="38">
        <v>44404</v>
      </c>
      <c r="O13" s="39">
        <v>254545</v>
      </c>
      <c r="P13" s="25">
        <v>1</v>
      </c>
      <c r="Q13" s="41">
        <f t="shared" si="0"/>
        <v>254545</v>
      </c>
      <c r="R13" s="41">
        <v>275000</v>
      </c>
      <c r="S13" s="41">
        <f t="shared" si="1"/>
        <v>275000</v>
      </c>
    </row>
    <row r="14" spans="1:19">
      <c r="A14" s="17"/>
      <c r="B14" s="18">
        <v>117</v>
      </c>
      <c r="C14" s="25" t="s">
        <v>492</v>
      </c>
      <c r="D14" s="26" t="s">
        <v>444</v>
      </c>
      <c r="E14" s="27" t="s">
        <v>9</v>
      </c>
      <c r="F14" s="28" t="s">
        <v>1692</v>
      </c>
      <c r="G14" s="29" t="s">
        <v>1693</v>
      </c>
      <c r="H14" s="30" t="s">
        <v>445</v>
      </c>
      <c r="I14" s="25"/>
      <c r="J14" s="25" t="s">
        <v>446</v>
      </c>
      <c r="K14" s="25"/>
      <c r="L14" s="30" t="s">
        <v>50</v>
      </c>
      <c r="M14" s="25" t="s">
        <v>493</v>
      </c>
      <c r="N14" s="38">
        <v>44407</v>
      </c>
      <c r="O14" s="39">
        <v>254545</v>
      </c>
      <c r="P14" s="25">
        <v>1</v>
      </c>
      <c r="Q14" s="41">
        <f t="shared" si="0"/>
        <v>254545</v>
      </c>
      <c r="R14" s="41">
        <v>275000</v>
      </c>
      <c r="S14" s="41">
        <f t="shared" si="1"/>
        <v>275000</v>
      </c>
    </row>
    <row r="15" spans="1:19">
      <c r="A15" s="17"/>
      <c r="B15" s="18">
        <v>118</v>
      </c>
      <c r="C15" s="25" t="s">
        <v>494</v>
      </c>
      <c r="D15" s="26" t="s">
        <v>444</v>
      </c>
      <c r="E15" s="27" t="s">
        <v>9</v>
      </c>
      <c r="F15" s="28" t="s">
        <v>1692</v>
      </c>
      <c r="G15" s="29" t="s">
        <v>1693</v>
      </c>
      <c r="H15" s="30" t="s">
        <v>495</v>
      </c>
      <c r="I15" s="25"/>
      <c r="J15" s="25" t="s">
        <v>496</v>
      </c>
      <c r="K15" s="25"/>
      <c r="L15" s="30" t="s">
        <v>50</v>
      </c>
      <c r="M15" s="25" t="s">
        <v>497</v>
      </c>
      <c r="N15" s="38">
        <v>44407</v>
      </c>
      <c r="O15" s="39">
        <v>254545</v>
      </c>
      <c r="P15" s="25">
        <v>1</v>
      </c>
      <c r="Q15" s="41">
        <f t="shared" si="0"/>
        <v>254545</v>
      </c>
      <c r="R15" s="41">
        <v>275000</v>
      </c>
      <c r="S15" s="41">
        <f t="shared" si="1"/>
        <v>275000</v>
      </c>
    </row>
    <row r="16" spans="1:19">
      <c r="A16" s="17"/>
      <c r="B16" s="18">
        <v>119</v>
      </c>
      <c r="C16" s="19" t="s">
        <v>498</v>
      </c>
      <c r="D16" s="20" t="s">
        <v>499</v>
      </c>
      <c r="E16" s="21" t="s">
        <v>11</v>
      </c>
      <c r="F16" s="22" t="s">
        <v>1696</v>
      </c>
      <c r="G16" s="32" t="s">
        <v>1697</v>
      </c>
      <c r="H16" s="24" t="s">
        <v>320</v>
      </c>
      <c r="I16" s="19"/>
      <c r="J16" s="19" t="s">
        <v>500</v>
      </c>
      <c r="K16" s="19"/>
      <c r="L16" s="24" t="s">
        <v>50</v>
      </c>
      <c r="M16" s="19" t="s">
        <v>501</v>
      </c>
      <c r="N16" s="36">
        <v>44410</v>
      </c>
      <c r="O16" s="37">
        <v>444545</v>
      </c>
      <c r="P16" s="19">
        <v>19</v>
      </c>
      <c r="Q16" s="40">
        <f t="shared" si="0"/>
        <v>8446355</v>
      </c>
      <c r="R16" s="40">
        <v>556363.63</v>
      </c>
      <c r="S16" s="40">
        <f t="shared" si="1"/>
        <v>10570908.970000001</v>
      </c>
    </row>
    <row r="17" spans="1:19">
      <c r="A17" s="17"/>
      <c r="B17" s="18">
        <v>120</v>
      </c>
      <c r="C17" s="19" t="s">
        <v>502</v>
      </c>
      <c r="D17" s="20" t="s">
        <v>503</v>
      </c>
      <c r="E17" s="21" t="s">
        <v>9</v>
      </c>
      <c r="F17" s="22" t="s">
        <v>1692</v>
      </c>
      <c r="G17" s="23" t="s">
        <v>1693</v>
      </c>
      <c r="H17" s="24" t="s">
        <v>504</v>
      </c>
      <c r="I17" s="19"/>
      <c r="J17" s="19" t="s">
        <v>505</v>
      </c>
      <c r="K17" s="19"/>
      <c r="L17" s="24" t="s">
        <v>50</v>
      </c>
      <c r="M17" s="19" t="s">
        <v>506</v>
      </c>
      <c r="N17" s="36">
        <v>44410</v>
      </c>
      <c r="O17" s="37">
        <v>254545</v>
      </c>
      <c r="P17" s="19">
        <v>5</v>
      </c>
      <c r="Q17" s="40">
        <f t="shared" si="0"/>
        <v>1272725</v>
      </c>
      <c r="R17" s="40">
        <v>275000</v>
      </c>
      <c r="S17" s="40">
        <f t="shared" si="1"/>
        <v>1375000</v>
      </c>
    </row>
    <row r="18" spans="1:19">
      <c r="A18" s="17"/>
      <c r="B18" s="18">
        <v>121</v>
      </c>
      <c r="C18" s="19" t="s">
        <v>507</v>
      </c>
      <c r="D18" s="20" t="s">
        <v>508</v>
      </c>
      <c r="E18" s="21" t="s">
        <v>6</v>
      </c>
      <c r="F18" s="22" t="s">
        <v>1694</v>
      </c>
      <c r="G18" s="32" t="s">
        <v>1695</v>
      </c>
      <c r="H18" s="24" t="s">
        <v>509</v>
      </c>
      <c r="I18" s="19"/>
      <c r="J18" s="19" t="s">
        <v>510</v>
      </c>
      <c r="K18" s="19"/>
      <c r="L18" s="24" t="s">
        <v>50</v>
      </c>
      <c r="M18" s="19" t="s">
        <v>511</v>
      </c>
      <c r="N18" s="36">
        <v>44414</v>
      </c>
      <c r="O18" s="37">
        <v>444545</v>
      </c>
      <c r="P18" s="19">
        <v>73</v>
      </c>
      <c r="Q18" s="40">
        <f t="shared" si="0"/>
        <v>32451785</v>
      </c>
      <c r="R18" s="40">
        <v>530000</v>
      </c>
      <c r="S18" s="40">
        <f t="shared" si="1"/>
        <v>38690000</v>
      </c>
    </row>
    <row r="19" spans="1:19">
      <c r="A19" s="17"/>
      <c r="B19" s="18">
        <v>122</v>
      </c>
      <c r="C19" s="19" t="s">
        <v>512</v>
      </c>
      <c r="D19" s="20" t="s">
        <v>513</v>
      </c>
      <c r="E19" s="21" t="s">
        <v>9</v>
      </c>
      <c r="F19" s="22" t="s">
        <v>1692</v>
      </c>
      <c r="G19" s="23" t="s">
        <v>1693</v>
      </c>
      <c r="H19" s="24" t="s">
        <v>514</v>
      </c>
      <c r="I19" s="19"/>
      <c r="J19" s="19" t="s">
        <v>515</v>
      </c>
      <c r="K19" s="19"/>
      <c r="L19" s="24" t="s">
        <v>50</v>
      </c>
      <c r="M19" s="19" t="s">
        <v>516</v>
      </c>
      <c r="N19" s="36">
        <v>44417</v>
      </c>
      <c r="O19" s="37">
        <v>254545</v>
      </c>
      <c r="P19" s="19">
        <v>2</v>
      </c>
      <c r="Q19" s="40">
        <f t="shared" ref="Q19:Q71" si="2">P19*O19</f>
        <v>509090</v>
      </c>
      <c r="R19" s="40">
        <v>275000</v>
      </c>
      <c r="S19" s="40">
        <f t="shared" si="1"/>
        <v>550000</v>
      </c>
    </row>
    <row r="20" spans="1:19">
      <c r="A20" s="17"/>
      <c r="B20" s="18">
        <v>123</v>
      </c>
      <c r="C20" s="19" t="s">
        <v>517</v>
      </c>
      <c r="D20" s="20" t="s">
        <v>513</v>
      </c>
      <c r="E20" s="21" t="s">
        <v>9</v>
      </c>
      <c r="F20" s="22" t="s">
        <v>1692</v>
      </c>
      <c r="G20" s="23" t="s">
        <v>1693</v>
      </c>
      <c r="H20" s="24" t="s">
        <v>518</v>
      </c>
      <c r="I20" s="19"/>
      <c r="J20" s="19" t="s">
        <v>515</v>
      </c>
      <c r="K20" s="19"/>
      <c r="L20" s="24" t="s">
        <v>50</v>
      </c>
      <c r="M20" s="19" t="s">
        <v>519</v>
      </c>
      <c r="N20" s="36">
        <v>44417</v>
      </c>
      <c r="O20" s="37">
        <v>254545</v>
      </c>
      <c r="P20" s="19">
        <v>3</v>
      </c>
      <c r="Q20" s="40">
        <f t="shared" si="2"/>
        <v>763635</v>
      </c>
      <c r="R20" s="40">
        <v>275000</v>
      </c>
      <c r="S20" s="40">
        <f t="shared" si="1"/>
        <v>825000</v>
      </c>
    </row>
    <row r="21" spans="1:19">
      <c r="A21" s="17"/>
      <c r="B21" s="18">
        <v>124</v>
      </c>
      <c r="C21" s="19" t="s">
        <v>520</v>
      </c>
      <c r="D21" s="20" t="s">
        <v>521</v>
      </c>
      <c r="E21" s="21" t="s">
        <v>9</v>
      </c>
      <c r="F21" s="22" t="s">
        <v>1692</v>
      </c>
      <c r="G21" s="23" t="s">
        <v>1693</v>
      </c>
      <c r="H21" s="24" t="s">
        <v>522</v>
      </c>
      <c r="I21" s="19"/>
      <c r="J21" s="19" t="s">
        <v>446</v>
      </c>
      <c r="K21" s="19"/>
      <c r="L21" s="24" t="s">
        <v>50</v>
      </c>
      <c r="M21" s="19" t="s">
        <v>523</v>
      </c>
      <c r="N21" s="36">
        <v>44417</v>
      </c>
      <c r="O21" s="37">
        <v>254545</v>
      </c>
      <c r="P21" s="19">
        <v>1</v>
      </c>
      <c r="Q21" s="40">
        <f t="shared" si="2"/>
        <v>254545</v>
      </c>
      <c r="R21" s="40">
        <v>275000</v>
      </c>
      <c r="S21" s="40">
        <f t="shared" si="1"/>
        <v>275000</v>
      </c>
    </row>
    <row r="22" spans="1:19">
      <c r="A22" s="17"/>
      <c r="B22" s="18">
        <v>125</v>
      </c>
      <c r="C22" s="19" t="s">
        <v>524</v>
      </c>
      <c r="D22" s="20" t="s">
        <v>525</v>
      </c>
      <c r="E22" s="21" t="s">
        <v>9</v>
      </c>
      <c r="F22" s="22" t="s">
        <v>1692</v>
      </c>
      <c r="G22" s="23" t="s">
        <v>1693</v>
      </c>
      <c r="H22" s="24" t="s">
        <v>368</v>
      </c>
      <c r="I22" s="19"/>
      <c r="J22" s="19" t="s">
        <v>526</v>
      </c>
      <c r="K22" s="19"/>
      <c r="L22" s="24" t="s">
        <v>50</v>
      </c>
      <c r="M22" s="19" t="s">
        <v>527</v>
      </c>
      <c r="N22" s="36">
        <v>44418</v>
      </c>
      <c r="O22" s="37">
        <v>254545</v>
      </c>
      <c r="P22" s="19">
        <v>5</v>
      </c>
      <c r="Q22" s="40">
        <f t="shared" si="2"/>
        <v>1272725</v>
      </c>
      <c r="R22" s="40">
        <v>275000</v>
      </c>
      <c r="S22" s="40">
        <f t="shared" si="1"/>
        <v>1375000</v>
      </c>
    </row>
    <row r="23" spans="1:19">
      <c r="A23" s="17"/>
      <c r="B23" s="18">
        <v>126</v>
      </c>
      <c r="C23" s="19" t="s">
        <v>528</v>
      </c>
      <c r="D23" s="20" t="s">
        <v>525</v>
      </c>
      <c r="E23" s="21" t="s">
        <v>9</v>
      </c>
      <c r="F23" s="22" t="s">
        <v>1692</v>
      </c>
      <c r="G23" s="23" t="s">
        <v>1693</v>
      </c>
      <c r="H23" s="24" t="s">
        <v>368</v>
      </c>
      <c r="I23" s="19"/>
      <c r="J23" s="19" t="s">
        <v>510</v>
      </c>
      <c r="K23" s="19"/>
      <c r="L23" s="24" t="s">
        <v>50</v>
      </c>
      <c r="M23" s="19" t="s">
        <v>529</v>
      </c>
      <c r="N23" s="36">
        <v>44418</v>
      </c>
      <c r="O23" s="37">
        <v>254545</v>
      </c>
      <c r="P23" s="19">
        <v>2</v>
      </c>
      <c r="Q23" s="40">
        <f t="shared" si="2"/>
        <v>509090</v>
      </c>
      <c r="R23" s="40">
        <v>275000</v>
      </c>
      <c r="S23" s="40">
        <f t="shared" si="1"/>
        <v>550000</v>
      </c>
    </row>
    <row r="24" spans="1:19">
      <c r="A24" s="17"/>
      <c r="B24" s="18">
        <v>128</v>
      </c>
      <c r="C24" s="19" t="s">
        <v>535</v>
      </c>
      <c r="D24" s="20" t="s">
        <v>536</v>
      </c>
      <c r="E24" s="21" t="s">
        <v>9</v>
      </c>
      <c r="F24" s="22" t="s">
        <v>1692</v>
      </c>
      <c r="G24" s="23" t="s">
        <v>1693</v>
      </c>
      <c r="H24" s="24" t="s">
        <v>537</v>
      </c>
      <c r="I24" s="19"/>
      <c r="J24" s="19" t="s">
        <v>538</v>
      </c>
      <c r="K24" s="19"/>
      <c r="L24" s="24" t="s">
        <v>50</v>
      </c>
      <c r="M24" s="19" t="s">
        <v>539</v>
      </c>
      <c r="N24" s="36">
        <v>44438</v>
      </c>
      <c r="O24" s="37">
        <v>254545</v>
      </c>
      <c r="P24" s="19">
        <v>6</v>
      </c>
      <c r="Q24" s="40">
        <f t="shared" si="2"/>
        <v>1527270</v>
      </c>
      <c r="R24" s="40">
        <v>275000</v>
      </c>
      <c r="S24" s="40">
        <f t="shared" si="1"/>
        <v>1650000</v>
      </c>
    </row>
    <row r="25" spans="1:19">
      <c r="A25" s="17"/>
      <c r="B25" s="18">
        <v>129</v>
      </c>
      <c r="C25" s="19" t="s">
        <v>540</v>
      </c>
      <c r="D25" s="20" t="s">
        <v>536</v>
      </c>
      <c r="E25" s="21" t="s">
        <v>9</v>
      </c>
      <c r="F25" s="22" t="s">
        <v>1692</v>
      </c>
      <c r="G25" s="23" t="s">
        <v>1693</v>
      </c>
      <c r="H25" s="24" t="s">
        <v>537</v>
      </c>
      <c r="I25" s="19"/>
      <c r="J25" s="19" t="s">
        <v>538</v>
      </c>
      <c r="K25" s="19"/>
      <c r="L25" s="24" t="s">
        <v>50</v>
      </c>
      <c r="M25" s="19" t="s">
        <v>541</v>
      </c>
      <c r="N25" s="36">
        <v>44438</v>
      </c>
      <c r="O25" s="37">
        <v>254545</v>
      </c>
      <c r="P25" s="19">
        <v>4</v>
      </c>
      <c r="Q25" s="40">
        <f t="shared" si="2"/>
        <v>1018180</v>
      </c>
      <c r="R25" s="40">
        <v>275000</v>
      </c>
      <c r="S25" s="40">
        <f t="shared" si="1"/>
        <v>1100000</v>
      </c>
    </row>
    <row r="26" spans="1:19">
      <c r="A26" s="17"/>
      <c r="B26" s="18">
        <v>130</v>
      </c>
      <c r="C26" s="25" t="s">
        <v>542</v>
      </c>
      <c r="D26" s="26" t="s">
        <v>543</v>
      </c>
      <c r="E26" s="27" t="s">
        <v>9</v>
      </c>
      <c r="F26" s="28" t="s">
        <v>1692</v>
      </c>
      <c r="G26" s="29" t="s">
        <v>1693</v>
      </c>
      <c r="H26" s="30" t="s">
        <v>544</v>
      </c>
      <c r="I26" s="25"/>
      <c r="J26" s="25" t="s">
        <v>545</v>
      </c>
      <c r="K26" s="25"/>
      <c r="L26" s="30" t="s">
        <v>50</v>
      </c>
      <c r="M26" s="25" t="s">
        <v>546</v>
      </c>
      <c r="N26" s="38">
        <v>44469</v>
      </c>
      <c r="O26" s="39">
        <v>254545</v>
      </c>
      <c r="P26" s="25">
        <v>8</v>
      </c>
      <c r="Q26" s="41">
        <f t="shared" si="2"/>
        <v>2036360</v>
      </c>
      <c r="R26" s="41">
        <v>275000</v>
      </c>
      <c r="S26" s="41">
        <f t="shared" si="1"/>
        <v>2200000</v>
      </c>
    </row>
    <row r="27" spans="1:19">
      <c r="A27" s="17"/>
      <c r="B27" s="18">
        <v>131</v>
      </c>
      <c r="C27" s="25" t="s">
        <v>547</v>
      </c>
      <c r="D27" s="26" t="s">
        <v>548</v>
      </c>
      <c r="E27" s="27" t="s">
        <v>9</v>
      </c>
      <c r="F27" s="28" t="s">
        <v>1692</v>
      </c>
      <c r="G27" s="29" t="s">
        <v>1693</v>
      </c>
      <c r="H27" s="30" t="s">
        <v>549</v>
      </c>
      <c r="I27" s="25"/>
      <c r="J27" s="25" t="s">
        <v>550</v>
      </c>
      <c r="K27" s="25"/>
      <c r="L27" s="30" t="s">
        <v>50</v>
      </c>
      <c r="M27" s="25" t="s">
        <v>551</v>
      </c>
      <c r="N27" s="38">
        <v>44446</v>
      </c>
      <c r="O27" s="39">
        <v>254545</v>
      </c>
      <c r="P27" s="25">
        <v>1</v>
      </c>
      <c r="Q27" s="41">
        <f t="shared" si="2"/>
        <v>254545</v>
      </c>
      <c r="R27" s="41">
        <v>275000</v>
      </c>
      <c r="S27" s="41">
        <f t="shared" si="1"/>
        <v>275000</v>
      </c>
    </row>
    <row r="28" spans="1:19">
      <c r="A28" s="17"/>
      <c r="B28" s="18">
        <v>132</v>
      </c>
      <c r="C28" s="25" t="s">
        <v>552</v>
      </c>
      <c r="D28" s="26" t="s">
        <v>548</v>
      </c>
      <c r="E28" s="27" t="s">
        <v>9</v>
      </c>
      <c r="F28" s="28" t="s">
        <v>1692</v>
      </c>
      <c r="G28" s="29" t="s">
        <v>1693</v>
      </c>
      <c r="H28" s="30" t="s">
        <v>445</v>
      </c>
      <c r="I28" s="25"/>
      <c r="J28" s="25" t="s">
        <v>446</v>
      </c>
      <c r="K28" s="25"/>
      <c r="L28" s="30" t="s">
        <v>50</v>
      </c>
      <c r="M28" s="25" t="s">
        <v>553</v>
      </c>
      <c r="N28" s="38">
        <v>44446</v>
      </c>
      <c r="O28" s="39">
        <v>254545</v>
      </c>
      <c r="P28" s="25">
        <v>1</v>
      </c>
      <c r="Q28" s="41">
        <f t="shared" si="2"/>
        <v>254545</v>
      </c>
      <c r="R28" s="41">
        <v>275000</v>
      </c>
      <c r="S28" s="41">
        <f t="shared" si="1"/>
        <v>275000</v>
      </c>
    </row>
    <row r="29" spans="1:19">
      <c r="A29" s="17"/>
      <c r="B29" s="18">
        <v>134</v>
      </c>
      <c r="C29" s="25" t="s">
        <v>559</v>
      </c>
      <c r="D29" s="26" t="s">
        <v>560</v>
      </c>
      <c r="E29" s="27" t="s">
        <v>9</v>
      </c>
      <c r="F29" s="28" t="s">
        <v>1692</v>
      </c>
      <c r="G29" s="29" t="s">
        <v>1693</v>
      </c>
      <c r="H29" s="30" t="s">
        <v>561</v>
      </c>
      <c r="I29" s="25"/>
      <c r="J29" s="25" t="s">
        <v>538</v>
      </c>
      <c r="K29" s="25"/>
      <c r="L29" s="30" t="s">
        <v>50</v>
      </c>
      <c r="M29" s="25" t="s">
        <v>562</v>
      </c>
      <c r="N29" s="38">
        <v>44447</v>
      </c>
      <c r="O29" s="39">
        <v>254545</v>
      </c>
      <c r="P29" s="25">
        <v>1</v>
      </c>
      <c r="Q29" s="41">
        <f t="shared" si="2"/>
        <v>254545</v>
      </c>
      <c r="R29" s="41">
        <v>275000</v>
      </c>
      <c r="S29" s="41">
        <f t="shared" si="1"/>
        <v>275000</v>
      </c>
    </row>
    <row r="30" spans="1:19">
      <c r="A30" s="17"/>
      <c r="B30" s="18">
        <v>135</v>
      </c>
      <c r="C30" s="25" t="s">
        <v>563</v>
      </c>
      <c r="D30" s="26" t="s">
        <v>564</v>
      </c>
      <c r="E30" s="27" t="s">
        <v>9</v>
      </c>
      <c r="F30" s="28" t="s">
        <v>1692</v>
      </c>
      <c r="G30" s="29" t="s">
        <v>1693</v>
      </c>
      <c r="H30" s="30" t="s">
        <v>565</v>
      </c>
      <c r="I30" s="25"/>
      <c r="J30" s="25" t="s">
        <v>566</v>
      </c>
      <c r="K30" s="25"/>
      <c r="L30" s="30" t="s">
        <v>50</v>
      </c>
      <c r="M30" s="25" t="s">
        <v>567</v>
      </c>
      <c r="N30" s="38">
        <v>44448</v>
      </c>
      <c r="O30" s="39">
        <v>254545</v>
      </c>
      <c r="P30" s="25">
        <v>1</v>
      </c>
      <c r="Q30" s="41">
        <f t="shared" si="2"/>
        <v>254545</v>
      </c>
      <c r="R30" s="41">
        <v>275000</v>
      </c>
      <c r="S30" s="41">
        <f t="shared" si="1"/>
        <v>275000</v>
      </c>
    </row>
    <row r="31" spans="1:19">
      <c r="A31" s="17"/>
      <c r="B31" s="18">
        <v>136</v>
      </c>
      <c r="C31" s="25" t="s">
        <v>568</v>
      </c>
      <c r="D31" s="26" t="s">
        <v>569</v>
      </c>
      <c r="E31" s="27" t="s">
        <v>9</v>
      </c>
      <c r="F31" s="28" t="s">
        <v>1692</v>
      </c>
      <c r="G31" s="29" t="s">
        <v>1693</v>
      </c>
      <c r="H31" s="30" t="s">
        <v>570</v>
      </c>
      <c r="I31" s="25"/>
      <c r="J31" s="25" t="s">
        <v>571</v>
      </c>
      <c r="K31" s="25"/>
      <c r="L31" s="30" t="s">
        <v>50</v>
      </c>
      <c r="M31" s="25" t="s">
        <v>572</v>
      </c>
      <c r="N31" s="38">
        <v>44449</v>
      </c>
      <c r="O31" s="39">
        <v>254545</v>
      </c>
      <c r="P31" s="25">
        <v>3</v>
      </c>
      <c r="Q31" s="41">
        <f t="shared" si="2"/>
        <v>763635</v>
      </c>
      <c r="R31" s="41">
        <v>275000</v>
      </c>
      <c r="S31" s="41">
        <f t="shared" si="1"/>
        <v>825000</v>
      </c>
    </row>
    <row r="32" spans="1:19">
      <c r="A32" s="17"/>
      <c r="B32" s="18">
        <v>143</v>
      </c>
      <c r="C32" s="25" t="s">
        <v>587</v>
      </c>
      <c r="D32" s="26" t="s">
        <v>588</v>
      </c>
      <c r="E32" s="27" t="s">
        <v>9</v>
      </c>
      <c r="F32" s="28" t="s">
        <v>1692</v>
      </c>
      <c r="G32" s="29" t="s">
        <v>1693</v>
      </c>
      <c r="H32" s="30" t="s">
        <v>445</v>
      </c>
      <c r="I32" s="25"/>
      <c r="J32" s="25" t="s">
        <v>589</v>
      </c>
      <c r="K32" s="25"/>
      <c r="L32" s="30" t="s">
        <v>50</v>
      </c>
      <c r="M32" s="25" t="s">
        <v>590</v>
      </c>
      <c r="N32" s="38">
        <v>44459</v>
      </c>
      <c r="O32" s="39">
        <v>254545</v>
      </c>
      <c r="P32" s="25">
        <v>1</v>
      </c>
      <c r="Q32" s="41">
        <f t="shared" si="2"/>
        <v>254545</v>
      </c>
      <c r="R32" s="41">
        <v>275000</v>
      </c>
      <c r="S32" s="41">
        <f t="shared" ref="S32:S82" si="3">R32*P32</f>
        <v>275000</v>
      </c>
    </row>
    <row r="33" spans="1:19">
      <c r="A33" s="17"/>
      <c r="B33" s="18">
        <v>144</v>
      </c>
      <c r="C33" s="25" t="s">
        <v>591</v>
      </c>
      <c r="D33" s="26" t="s">
        <v>588</v>
      </c>
      <c r="E33" s="27" t="s">
        <v>9</v>
      </c>
      <c r="F33" s="28" t="s">
        <v>1692</v>
      </c>
      <c r="G33" s="29" t="s">
        <v>1693</v>
      </c>
      <c r="H33" s="30" t="s">
        <v>206</v>
      </c>
      <c r="I33" s="25"/>
      <c r="J33" s="25" t="s">
        <v>592</v>
      </c>
      <c r="K33" s="25"/>
      <c r="L33" s="30" t="s">
        <v>50</v>
      </c>
      <c r="M33" s="25" t="s">
        <v>593</v>
      </c>
      <c r="N33" s="38">
        <v>44459</v>
      </c>
      <c r="O33" s="39">
        <v>254545</v>
      </c>
      <c r="P33" s="25">
        <v>1</v>
      </c>
      <c r="Q33" s="41">
        <f t="shared" si="2"/>
        <v>254545</v>
      </c>
      <c r="R33" s="41">
        <v>275000</v>
      </c>
      <c r="S33" s="41">
        <f t="shared" si="3"/>
        <v>275000</v>
      </c>
    </row>
    <row r="34" spans="1:19">
      <c r="A34" s="17"/>
      <c r="B34" s="18">
        <v>145</v>
      </c>
      <c r="C34" s="25" t="s">
        <v>594</v>
      </c>
      <c r="D34" s="26" t="s">
        <v>588</v>
      </c>
      <c r="E34" s="27" t="s">
        <v>9</v>
      </c>
      <c r="F34" s="28" t="s">
        <v>1692</v>
      </c>
      <c r="G34" s="29" t="s">
        <v>1693</v>
      </c>
      <c r="H34" s="30" t="s">
        <v>595</v>
      </c>
      <c r="I34" s="25"/>
      <c r="J34" s="25" t="s">
        <v>592</v>
      </c>
      <c r="K34" s="25"/>
      <c r="L34" s="30" t="s">
        <v>50</v>
      </c>
      <c r="M34" s="25" t="s">
        <v>596</v>
      </c>
      <c r="N34" s="38">
        <v>44459</v>
      </c>
      <c r="O34" s="39">
        <v>254545</v>
      </c>
      <c r="P34" s="25">
        <v>1</v>
      </c>
      <c r="Q34" s="41">
        <f t="shared" si="2"/>
        <v>254545</v>
      </c>
      <c r="R34" s="41">
        <v>275000</v>
      </c>
      <c r="S34" s="41">
        <f t="shared" si="3"/>
        <v>275000</v>
      </c>
    </row>
    <row r="35" spans="1:19">
      <c r="A35" s="17"/>
      <c r="B35" s="18">
        <v>146</v>
      </c>
      <c r="C35" s="25" t="s">
        <v>597</v>
      </c>
      <c r="D35" s="26" t="s">
        <v>598</v>
      </c>
      <c r="E35" s="27" t="s">
        <v>9</v>
      </c>
      <c r="F35" s="28" t="s">
        <v>1692</v>
      </c>
      <c r="G35" s="29" t="s">
        <v>1693</v>
      </c>
      <c r="H35" s="30" t="s">
        <v>599</v>
      </c>
      <c r="I35" s="25"/>
      <c r="J35" s="25" t="s">
        <v>600</v>
      </c>
      <c r="K35" s="25"/>
      <c r="L35" s="30" t="s">
        <v>50</v>
      </c>
      <c r="M35" s="25" t="s">
        <v>601</v>
      </c>
      <c r="N35" s="38">
        <v>44461</v>
      </c>
      <c r="O35" s="39">
        <v>254545</v>
      </c>
      <c r="P35" s="25">
        <v>6</v>
      </c>
      <c r="Q35" s="41">
        <f t="shared" si="2"/>
        <v>1527270</v>
      </c>
      <c r="R35" s="41">
        <v>275000</v>
      </c>
      <c r="S35" s="41">
        <f t="shared" si="3"/>
        <v>1650000</v>
      </c>
    </row>
    <row r="36" spans="1:19">
      <c r="A36" s="17"/>
      <c r="B36" s="18">
        <v>147</v>
      </c>
      <c r="C36" s="25" t="s">
        <v>602</v>
      </c>
      <c r="D36" s="26" t="s">
        <v>598</v>
      </c>
      <c r="E36" s="27" t="s">
        <v>9</v>
      </c>
      <c r="F36" s="28" t="s">
        <v>1692</v>
      </c>
      <c r="G36" s="29" t="s">
        <v>1693</v>
      </c>
      <c r="H36" s="30" t="s">
        <v>603</v>
      </c>
      <c r="I36" s="25"/>
      <c r="J36" s="25" t="s">
        <v>604</v>
      </c>
      <c r="K36" s="25"/>
      <c r="L36" s="30" t="s">
        <v>50</v>
      </c>
      <c r="M36" s="25" t="s">
        <v>605</v>
      </c>
      <c r="N36" s="38">
        <v>44461</v>
      </c>
      <c r="O36" s="39">
        <v>254545</v>
      </c>
      <c r="P36" s="25">
        <v>2</v>
      </c>
      <c r="Q36" s="41">
        <f t="shared" si="2"/>
        <v>509090</v>
      </c>
      <c r="R36" s="41">
        <v>275000</v>
      </c>
      <c r="S36" s="41">
        <f t="shared" si="3"/>
        <v>550000</v>
      </c>
    </row>
    <row r="37" spans="1:19">
      <c r="A37" s="17"/>
      <c r="B37" s="18">
        <v>148</v>
      </c>
      <c r="C37" s="25" t="s">
        <v>606</v>
      </c>
      <c r="D37" s="26" t="s">
        <v>598</v>
      </c>
      <c r="E37" s="27" t="s">
        <v>9</v>
      </c>
      <c r="F37" s="28" t="s">
        <v>1692</v>
      </c>
      <c r="G37" s="29" t="s">
        <v>1693</v>
      </c>
      <c r="H37" s="30" t="s">
        <v>607</v>
      </c>
      <c r="I37" s="25"/>
      <c r="J37" s="25" t="s">
        <v>608</v>
      </c>
      <c r="K37" s="25"/>
      <c r="L37" s="30" t="s">
        <v>50</v>
      </c>
      <c r="M37" s="25" t="s">
        <v>609</v>
      </c>
      <c r="N37" s="38">
        <v>44461</v>
      </c>
      <c r="O37" s="39">
        <v>254545</v>
      </c>
      <c r="P37" s="25">
        <v>3</v>
      </c>
      <c r="Q37" s="41">
        <f t="shared" si="2"/>
        <v>763635</v>
      </c>
      <c r="R37" s="41">
        <v>275000</v>
      </c>
      <c r="S37" s="41">
        <f t="shared" si="3"/>
        <v>825000</v>
      </c>
    </row>
    <row r="38" spans="1:19">
      <c r="A38" s="17"/>
      <c r="B38" s="18">
        <v>149</v>
      </c>
      <c r="C38" s="25" t="s">
        <v>610</v>
      </c>
      <c r="D38" s="26" t="s">
        <v>598</v>
      </c>
      <c r="E38" s="27" t="s">
        <v>9</v>
      </c>
      <c r="F38" s="28" t="s">
        <v>1692</v>
      </c>
      <c r="G38" s="29" t="s">
        <v>1693</v>
      </c>
      <c r="H38" s="30" t="s">
        <v>611</v>
      </c>
      <c r="I38" s="25"/>
      <c r="J38" s="25" t="s">
        <v>612</v>
      </c>
      <c r="K38" s="25"/>
      <c r="L38" s="30" t="s">
        <v>50</v>
      </c>
      <c r="M38" s="25" t="s">
        <v>613</v>
      </c>
      <c r="N38" s="38">
        <v>44461</v>
      </c>
      <c r="O38" s="39">
        <v>254545</v>
      </c>
      <c r="P38" s="25">
        <v>6</v>
      </c>
      <c r="Q38" s="41">
        <f t="shared" si="2"/>
        <v>1527270</v>
      </c>
      <c r="R38" s="41">
        <v>275000</v>
      </c>
      <c r="S38" s="41">
        <f t="shared" si="3"/>
        <v>1650000</v>
      </c>
    </row>
    <row r="39" spans="1:19">
      <c r="A39" s="17"/>
      <c r="B39" s="18">
        <v>150</v>
      </c>
      <c r="C39" s="25" t="s">
        <v>614</v>
      </c>
      <c r="D39" s="26" t="s">
        <v>615</v>
      </c>
      <c r="E39" s="27" t="s">
        <v>9</v>
      </c>
      <c r="F39" s="28" t="s">
        <v>1692</v>
      </c>
      <c r="G39" s="29" t="s">
        <v>1693</v>
      </c>
      <c r="H39" s="30" t="s">
        <v>77</v>
      </c>
      <c r="I39" s="25"/>
      <c r="J39" s="25" t="s">
        <v>616</v>
      </c>
      <c r="K39" s="25"/>
      <c r="L39" s="30" t="s">
        <v>50</v>
      </c>
      <c r="M39" s="25" t="s">
        <v>617</v>
      </c>
      <c r="N39" s="38">
        <v>44463</v>
      </c>
      <c r="O39" s="39">
        <v>254545</v>
      </c>
      <c r="P39" s="25">
        <v>1</v>
      </c>
      <c r="Q39" s="41">
        <f t="shared" si="2"/>
        <v>254545</v>
      </c>
      <c r="R39" s="41">
        <v>275000</v>
      </c>
      <c r="S39" s="41">
        <f t="shared" si="3"/>
        <v>275000</v>
      </c>
    </row>
    <row r="40" spans="1:19">
      <c r="A40" s="17"/>
      <c r="B40" s="18">
        <v>151</v>
      </c>
      <c r="C40" s="25" t="s">
        <v>618</v>
      </c>
      <c r="D40" s="26" t="s">
        <v>615</v>
      </c>
      <c r="E40" s="27" t="s">
        <v>9</v>
      </c>
      <c r="F40" s="28" t="s">
        <v>1692</v>
      </c>
      <c r="G40" s="29" t="s">
        <v>1693</v>
      </c>
      <c r="H40" s="30" t="s">
        <v>619</v>
      </c>
      <c r="I40" s="25"/>
      <c r="J40" s="25" t="s">
        <v>620</v>
      </c>
      <c r="K40" s="25"/>
      <c r="L40" s="30" t="s">
        <v>50</v>
      </c>
      <c r="M40" s="25" t="s">
        <v>621</v>
      </c>
      <c r="N40" s="38">
        <v>44463</v>
      </c>
      <c r="O40" s="39">
        <v>254545</v>
      </c>
      <c r="P40" s="25">
        <v>1</v>
      </c>
      <c r="Q40" s="41">
        <f t="shared" si="2"/>
        <v>254545</v>
      </c>
      <c r="R40" s="41">
        <v>275000</v>
      </c>
      <c r="S40" s="41">
        <f t="shared" si="3"/>
        <v>275000</v>
      </c>
    </row>
    <row r="41" spans="1:19">
      <c r="A41" s="17"/>
      <c r="B41" s="18">
        <v>152</v>
      </c>
      <c r="C41" s="25" t="s">
        <v>622</v>
      </c>
      <c r="D41" s="26" t="s">
        <v>615</v>
      </c>
      <c r="E41" s="27" t="s">
        <v>9</v>
      </c>
      <c r="F41" s="28" t="s">
        <v>1692</v>
      </c>
      <c r="G41" s="29" t="s">
        <v>1693</v>
      </c>
      <c r="H41" s="30" t="s">
        <v>623</v>
      </c>
      <c r="I41" s="25"/>
      <c r="J41" s="25" t="s">
        <v>620</v>
      </c>
      <c r="K41" s="25"/>
      <c r="L41" s="30" t="s">
        <v>50</v>
      </c>
      <c r="M41" s="25" t="s">
        <v>624</v>
      </c>
      <c r="N41" s="38">
        <v>44463</v>
      </c>
      <c r="O41" s="39">
        <v>254545</v>
      </c>
      <c r="P41" s="25">
        <v>5</v>
      </c>
      <c r="Q41" s="41">
        <f t="shared" si="2"/>
        <v>1272725</v>
      </c>
      <c r="R41" s="41">
        <v>275000</v>
      </c>
      <c r="S41" s="41">
        <f t="shared" si="3"/>
        <v>1375000</v>
      </c>
    </row>
    <row r="42" spans="1:19">
      <c r="A42" s="17"/>
      <c r="B42" s="18">
        <v>153</v>
      </c>
      <c r="C42" s="25" t="s">
        <v>625</v>
      </c>
      <c r="D42" s="26" t="s">
        <v>626</v>
      </c>
      <c r="E42" s="27" t="s">
        <v>7</v>
      </c>
      <c r="F42" s="28" t="s">
        <v>1698</v>
      </c>
      <c r="G42" s="31" t="s">
        <v>1699</v>
      </c>
      <c r="H42" s="30" t="s">
        <v>627</v>
      </c>
      <c r="I42" s="25"/>
      <c r="J42" s="25" t="s">
        <v>628</v>
      </c>
      <c r="K42" s="25"/>
      <c r="L42" s="30" t="s">
        <v>629</v>
      </c>
      <c r="M42" s="25" t="s">
        <v>630</v>
      </c>
      <c r="N42" s="38">
        <v>44463</v>
      </c>
      <c r="O42" s="39">
        <v>185455</v>
      </c>
      <c r="P42" s="25">
        <v>2</v>
      </c>
      <c r="Q42" s="41">
        <f t="shared" si="2"/>
        <v>370910</v>
      </c>
      <c r="R42" s="41">
        <v>231818.81</v>
      </c>
      <c r="S42" s="41">
        <f t="shared" si="3"/>
        <v>463637.62</v>
      </c>
    </row>
    <row r="43" spans="1:19">
      <c r="A43" s="17"/>
      <c r="B43" s="18">
        <v>154</v>
      </c>
      <c r="C43" s="25" t="s">
        <v>631</v>
      </c>
      <c r="D43" s="26" t="s">
        <v>626</v>
      </c>
      <c r="E43" s="27" t="s">
        <v>7</v>
      </c>
      <c r="F43" s="28" t="s">
        <v>1698</v>
      </c>
      <c r="G43" s="31" t="s">
        <v>1699</v>
      </c>
      <c r="H43" s="30" t="s">
        <v>627</v>
      </c>
      <c r="I43" s="25"/>
      <c r="J43" s="25" t="s">
        <v>632</v>
      </c>
      <c r="K43" s="25"/>
      <c r="L43" s="30" t="s">
        <v>63</v>
      </c>
      <c r="M43" s="25" t="s">
        <v>630</v>
      </c>
      <c r="N43" s="38">
        <v>44463</v>
      </c>
      <c r="O43" s="39">
        <v>92727</v>
      </c>
      <c r="P43" s="25">
        <v>2</v>
      </c>
      <c r="Q43" s="41">
        <f t="shared" si="2"/>
        <v>185454</v>
      </c>
      <c r="R43" s="41">
        <v>116363.63</v>
      </c>
      <c r="S43" s="41">
        <f t="shared" si="3"/>
        <v>232727.26</v>
      </c>
    </row>
    <row r="44" spans="1:19" s="1" customFormat="1" ht="12.75">
      <c r="A44" s="17"/>
      <c r="B44" s="18">
        <v>156</v>
      </c>
      <c r="C44" s="19" t="s">
        <v>636</v>
      </c>
      <c r="D44" s="20" t="s">
        <v>637</v>
      </c>
      <c r="E44" s="21" t="s">
        <v>9</v>
      </c>
      <c r="F44" s="22" t="s">
        <v>1692</v>
      </c>
      <c r="G44" s="23" t="s">
        <v>1693</v>
      </c>
      <c r="H44" s="24" t="s">
        <v>638</v>
      </c>
      <c r="I44" s="19"/>
      <c r="J44" s="19" t="s">
        <v>526</v>
      </c>
      <c r="K44" s="19"/>
      <c r="L44" s="24" t="s">
        <v>50</v>
      </c>
      <c r="M44" s="19" t="s">
        <v>639</v>
      </c>
      <c r="N44" s="36">
        <v>44475</v>
      </c>
      <c r="O44" s="37">
        <v>254545</v>
      </c>
      <c r="P44" s="19">
        <v>1</v>
      </c>
      <c r="Q44" s="40">
        <f t="shared" si="2"/>
        <v>254545</v>
      </c>
      <c r="R44" s="40">
        <v>275000</v>
      </c>
      <c r="S44" s="40">
        <f t="shared" si="3"/>
        <v>275000</v>
      </c>
    </row>
    <row r="45" spans="1:19">
      <c r="A45" s="17"/>
      <c r="B45" s="18">
        <v>157</v>
      </c>
      <c r="C45" s="19" t="s">
        <v>640</v>
      </c>
      <c r="D45" s="20" t="s">
        <v>641</v>
      </c>
      <c r="E45" s="21" t="s">
        <v>9</v>
      </c>
      <c r="F45" s="22" t="s">
        <v>1692</v>
      </c>
      <c r="G45" s="23" t="s">
        <v>1693</v>
      </c>
      <c r="H45" s="24" t="s">
        <v>206</v>
      </c>
      <c r="I45" s="19"/>
      <c r="J45" s="19" t="s">
        <v>642</v>
      </c>
      <c r="K45" s="19"/>
      <c r="L45" s="24" t="s">
        <v>50</v>
      </c>
      <c r="M45" s="19" t="s">
        <v>643</v>
      </c>
      <c r="N45" s="36">
        <v>44475</v>
      </c>
      <c r="O45" s="37">
        <v>254545</v>
      </c>
      <c r="P45" s="19">
        <v>1</v>
      </c>
      <c r="Q45" s="40">
        <f t="shared" si="2"/>
        <v>254545</v>
      </c>
      <c r="R45" s="40">
        <v>275000</v>
      </c>
      <c r="S45" s="40">
        <f t="shared" si="3"/>
        <v>275000</v>
      </c>
    </row>
    <row r="46" spans="1:19">
      <c r="A46" s="17"/>
      <c r="B46" s="18">
        <v>158</v>
      </c>
      <c r="C46" s="19" t="s">
        <v>644</v>
      </c>
      <c r="D46" s="20" t="s">
        <v>641</v>
      </c>
      <c r="E46" s="21" t="s">
        <v>9</v>
      </c>
      <c r="F46" s="22" t="s">
        <v>1692</v>
      </c>
      <c r="G46" s="23" t="s">
        <v>1693</v>
      </c>
      <c r="H46" s="24" t="s">
        <v>645</v>
      </c>
      <c r="I46" s="19"/>
      <c r="J46" s="19" t="s">
        <v>642</v>
      </c>
      <c r="K46" s="19"/>
      <c r="L46" s="24" t="s">
        <v>50</v>
      </c>
      <c r="M46" s="19" t="s">
        <v>646</v>
      </c>
      <c r="N46" s="36">
        <v>44475</v>
      </c>
      <c r="O46" s="37">
        <v>254545</v>
      </c>
      <c r="P46" s="19">
        <v>1</v>
      </c>
      <c r="Q46" s="40">
        <f t="shared" si="2"/>
        <v>254545</v>
      </c>
      <c r="R46" s="40">
        <v>275000</v>
      </c>
      <c r="S46" s="40">
        <f t="shared" si="3"/>
        <v>275000</v>
      </c>
    </row>
    <row r="47" spans="1:19">
      <c r="A47" s="17"/>
      <c r="B47" s="18">
        <v>159</v>
      </c>
      <c r="C47" s="19" t="s">
        <v>647</v>
      </c>
      <c r="D47" s="20" t="s">
        <v>641</v>
      </c>
      <c r="E47" s="21" t="s">
        <v>9</v>
      </c>
      <c r="F47" s="22" t="s">
        <v>1692</v>
      </c>
      <c r="G47" s="23" t="s">
        <v>1693</v>
      </c>
      <c r="H47" s="24" t="s">
        <v>648</v>
      </c>
      <c r="I47" s="19"/>
      <c r="J47" s="19" t="s">
        <v>642</v>
      </c>
      <c r="K47" s="19"/>
      <c r="L47" s="24" t="s">
        <v>50</v>
      </c>
      <c r="M47" s="19" t="s">
        <v>649</v>
      </c>
      <c r="N47" s="36">
        <v>44475</v>
      </c>
      <c r="O47" s="37">
        <v>254545</v>
      </c>
      <c r="P47" s="19">
        <v>1</v>
      </c>
      <c r="Q47" s="40">
        <f t="shared" si="2"/>
        <v>254545</v>
      </c>
      <c r="R47" s="40">
        <v>275000</v>
      </c>
      <c r="S47" s="40">
        <f t="shared" si="3"/>
        <v>275000</v>
      </c>
    </row>
    <row r="48" spans="1:19">
      <c r="A48" s="17"/>
      <c r="B48" s="18">
        <v>160</v>
      </c>
      <c r="C48" s="19" t="s">
        <v>650</v>
      </c>
      <c r="D48" s="20" t="s">
        <v>651</v>
      </c>
      <c r="E48" s="21" t="s">
        <v>9</v>
      </c>
      <c r="F48" s="22" t="s">
        <v>1692</v>
      </c>
      <c r="G48" s="23" t="s">
        <v>1693</v>
      </c>
      <c r="H48" s="24" t="s">
        <v>652</v>
      </c>
      <c r="I48" s="19"/>
      <c r="J48" s="19" t="s">
        <v>642</v>
      </c>
      <c r="K48" s="19"/>
      <c r="L48" s="24" t="s">
        <v>50</v>
      </c>
      <c r="M48" s="19" t="s">
        <v>653</v>
      </c>
      <c r="N48" s="36">
        <v>44476</v>
      </c>
      <c r="O48" s="37">
        <v>254545</v>
      </c>
      <c r="P48" s="19">
        <v>1</v>
      </c>
      <c r="Q48" s="40">
        <f t="shared" si="2"/>
        <v>254545</v>
      </c>
      <c r="R48" s="40">
        <v>275000</v>
      </c>
      <c r="S48" s="40">
        <f t="shared" si="3"/>
        <v>275000</v>
      </c>
    </row>
    <row r="49" spans="1:19">
      <c r="A49" s="17"/>
      <c r="B49" s="18">
        <v>161</v>
      </c>
      <c r="C49" s="19" t="s">
        <v>654</v>
      </c>
      <c r="D49" s="20" t="s">
        <v>655</v>
      </c>
      <c r="E49" s="21" t="s">
        <v>9</v>
      </c>
      <c r="F49" s="22" t="s">
        <v>1692</v>
      </c>
      <c r="G49" s="23" t="s">
        <v>1693</v>
      </c>
      <c r="H49" s="24" t="s">
        <v>206</v>
      </c>
      <c r="I49" s="19"/>
      <c r="J49" s="19" t="s">
        <v>656</v>
      </c>
      <c r="K49" s="19"/>
      <c r="L49" s="24" t="s">
        <v>50</v>
      </c>
      <c r="M49" s="19" t="s">
        <v>657</v>
      </c>
      <c r="N49" s="36">
        <v>44480</v>
      </c>
      <c r="O49" s="37">
        <v>254545</v>
      </c>
      <c r="P49" s="19">
        <v>1</v>
      </c>
      <c r="Q49" s="40">
        <f t="shared" si="2"/>
        <v>254545</v>
      </c>
      <c r="R49" s="40">
        <v>275000</v>
      </c>
      <c r="S49" s="40">
        <f t="shared" si="3"/>
        <v>275000</v>
      </c>
    </row>
    <row r="50" spans="1:19">
      <c r="A50" s="17"/>
      <c r="B50" s="18">
        <v>162</v>
      </c>
      <c r="C50" s="19" t="s">
        <v>658</v>
      </c>
      <c r="D50" s="20" t="s">
        <v>659</v>
      </c>
      <c r="E50" s="21" t="s">
        <v>9</v>
      </c>
      <c r="F50" s="22" t="s">
        <v>1692</v>
      </c>
      <c r="G50" s="23" t="s">
        <v>1693</v>
      </c>
      <c r="H50" s="24" t="s">
        <v>660</v>
      </c>
      <c r="I50" s="19"/>
      <c r="J50" s="19" t="s">
        <v>661</v>
      </c>
      <c r="K50" s="19"/>
      <c r="L50" s="24" t="s">
        <v>50</v>
      </c>
      <c r="M50" s="19" t="s">
        <v>662</v>
      </c>
      <c r="N50" s="36">
        <v>44481</v>
      </c>
      <c r="O50" s="37">
        <v>254545</v>
      </c>
      <c r="P50" s="19">
        <v>1</v>
      </c>
      <c r="Q50" s="40">
        <f t="shared" si="2"/>
        <v>254545</v>
      </c>
      <c r="R50" s="40">
        <v>275000</v>
      </c>
      <c r="S50" s="40">
        <f t="shared" si="3"/>
        <v>275000</v>
      </c>
    </row>
    <row r="51" spans="1:19">
      <c r="A51" s="17"/>
      <c r="B51" s="18">
        <v>163</v>
      </c>
      <c r="C51" s="19" t="s">
        <v>663</v>
      </c>
      <c r="D51" s="20" t="s">
        <v>664</v>
      </c>
      <c r="E51" s="21" t="s">
        <v>9</v>
      </c>
      <c r="F51" s="22" t="s">
        <v>1692</v>
      </c>
      <c r="G51" s="23" t="s">
        <v>1693</v>
      </c>
      <c r="H51" s="24" t="s">
        <v>665</v>
      </c>
      <c r="I51" s="19"/>
      <c r="J51" s="19" t="s">
        <v>666</v>
      </c>
      <c r="K51" s="19"/>
      <c r="L51" s="24" t="s">
        <v>50</v>
      </c>
      <c r="M51" s="19" t="s">
        <v>667</v>
      </c>
      <c r="N51" s="36">
        <v>44488</v>
      </c>
      <c r="O51" s="37">
        <v>254545</v>
      </c>
      <c r="P51" s="19">
        <v>1</v>
      </c>
      <c r="Q51" s="40">
        <f t="shared" si="2"/>
        <v>254545</v>
      </c>
      <c r="R51" s="40">
        <v>275000</v>
      </c>
      <c r="S51" s="40">
        <f t="shared" si="3"/>
        <v>275000</v>
      </c>
    </row>
    <row r="52" spans="1:19">
      <c r="A52" s="17"/>
      <c r="B52" s="18">
        <v>164</v>
      </c>
      <c r="C52" s="19" t="s">
        <v>668</v>
      </c>
      <c r="D52" s="20" t="s">
        <v>664</v>
      </c>
      <c r="E52" s="21" t="s">
        <v>9</v>
      </c>
      <c r="F52" s="22" t="s">
        <v>1692</v>
      </c>
      <c r="G52" s="23" t="s">
        <v>1693</v>
      </c>
      <c r="H52" s="24" t="s">
        <v>669</v>
      </c>
      <c r="I52" s="19"/>
      <c r="J52" s="19" t="s">
        <v>666</v>
      </c>
      <c r="K52" s="19"/>
      <c r="L52" s="24" t="s">
        <v>50</v>
      </c>
      <c r="M52" s="19" t="s">
        <v>670</v>
      </c>
      <c r="N52" s="36">
        <v>44488</v>
      </c>
      <c r="O52" s="37">
        <v>254545</v>
      </c>
      <c r="P52" s="19">
        <v>1</v>
      </c>
      <c r="Q52" s="40">
        <f t="shared" si="2"/>
        <v>254545</v>
      </c>
      <c r="R52" s="40">
        <v>275000</v>
      </c>
      <c r="S52" s="40">
        <f t="shared" si="3"/>
        <v>275000</v>
      </c>
    </row>
    <row r="53" spans="1:19">
      <c r="A53" s="17"/>
      <c r="B53" s="18">
        <v>165</v>
      </c>
      <c r="C53" s="19" t="s">
        <v>671</v>
      </c>
      <c r="D53" s="20" t="s">
        <v>672</v>
      </c>
      <c r="E53" s="21" t="s">
        <v>9</v>
      </c>
      <c r="F53" s="22" t="s">
        <v>1692</v>
      </c>
      <c r="G53" s="23" t="s">
        <v>1693</v>
      </c>
      <c r="H53" s="24" t="s">
        <v>673</v>
      </c>
      <c r="I53" s="19"/>
      <c r="J53" s="19" t="s">
        <v>674</v>
      </c>
      <c r="K53" s="19"/>
      <c r="L53" s="24" t="s">
        <v>50</v>
      </c>
      <c r="M53" s="19" t="s">
        <v>675</v>
      </c>
      <c r="N53" s="36">
        <v>44490</v>
      </c>
      <c r="O53" s="37">
        <v>254545</v>
      </c>
      <c r="P53" s="19">
        <v>1</v>
      </c>
      <c r="Q53" s="40">
        <f t="shared" si="2"/>
        <v>254545</v>
      </c>
      <c r="R53" s="40">
        <v>275000</v>
      </c>
      <c r="S53" s="40">
        <f t="shared" si="3"/>
        <v>275000</v>
      </c>
    </row>
    <row r="54" spans="1:19">
      <c r="A54" s="17"/>
      <c r="B54" s="18">
        <v>166</v>
      </c>
      <c r="C54" s="19" t="s">
        <v>676</v>
      </c>
      <c r="D54" s="20" t="s">
        <v>672</v>
      </c>
      <c r="E54" s="21" t="s">
        <v>9</v>
      </c>
      <c r="F54" s="22" t="s">
        <v>1692</v>
      </c>
      <c r="G54" s="23" t="s">
        <v>1693</v>
      </c>
      <c r="H54" s="24" t="s">
        <v>206</v>
      </c>
      <c r="I54" s="19"/>
      <c r="J54" s="19" t="s">
        <v>674</v>
      </c>
      <c r="K54" s="19"/>
      <c r="L54" s="24" t="s">
        <v>50</v>
      </c>
      <c r="M54" s="19" t="s">
        <v>677</v>
      </c>
      <c r="N54" s="36">
        <v>44490</v>
      </c>
      <c r="O54" s="37">
        <v>254545</v>
      </c>
      <c r="P54" s="19">
        <v>2</v>
      </c>
      <c r="Q54" s="40">
        <f t="shared" si="2"/>
        <v>509090</v>
      </c>
      <c r="R54" s="40">
        <v>275000</v>
      </c>
      <c r="S54" s="40">
        <f t="shared" si="3"/>
        <v>550000</v>
      </c>
    </row>
    <row r="55" spans="1:19">
      <c r="A55" s="17"/>
      <c r="B55" s="18">
        <v>167</v>
      </c>
      <c r="C55" s="19" t="s">
        <v>678</v>
      </c>
      <c r="D55" s="20" t="s">
        <v>672</v>
      </c>
      <c r="E55" s="21" t="s">
        <v>9</v>
      </c>
      <c r="F55" s="22" t="s">
        <v>1692</v>
      </c>
      <c r="G55" s="23" t="s">
        <v>1693</v>
      </c>
      <c r="H55" s="24" t="s">
        <v>679</v>
      </c>
      <c r="I55" s="19"/>
      <c r="J55" s="19" t="s">
        <v>680</v>
      </c>
      <c r="K55" s="19"/>
      <c r="L55" s="24" t="s">
        <v>50</v>
      </c>
      <c r="M55" s="19" t="s">
        <v>681</v>
      </c>
      <c r="N55" s="36">
        <v>44490</v>
      </c>
      <c r="O55" s="37">
        <v>254545</v>
      </c>
      <c r="P55" s="19">
        <v>1</v>
      </c>
      <c r="Q55" s="40">
        <f t="shared" si="2"/>
        <v>254545</v>
      </c>
      <c r="R55" s="40">
        <v>275000</v>
      </c>
      <c r="S55" s="40">
        <f t="shared" si="3"/>
        <v>275000</v>
      </c>
    </row>
    <row r="56" spans="1:19">
      <c r="A56" s="17"/>
      <c r="B56" s="18">
        <v>168</v>
      </c>
      <c r="C56" s="19" t="s">
        <v>682</v>
      </c>
      <c r="D56" s="20" t="s">
        <v>683</v>
      </c>
      <c r="E56" s="21" t="s">
        <v>9</v>
      </c>
      <c r="F56" s="22" t="s">
        <v>1692</v>
      </c>
      <c r="G56" s="23" t="s">
        <v>1693</v>
      </c>
      <c r="H56" s="24" t="s">
        <v>684</v>
      </c>
      <c r="I56" s="19"/>
      <c r="J56" s="19" t="s">
        <v>685</v>
      </c>
      <c r="K56" s="19"/>
      <c r="L56" s="24" t="s">
        <v>50</v>
      </c>
      <c r="M56" s="19" t="s">
        <v>686</v>
      </c>
      <c r="N56" s="36">
        <v>44497</v>
      </c>
      <c r="O56" s="37">
        <v>254545</v>
      </c>
      <c r="P56" s="19">
        <v>1</v>
      </c>
      <c r="Q56" s="40">
        <f t="shared" si="2"/>
        <v>254545</v>
      </c>
      <c r="R56" s="40">
        <v>275000</v>
      </c>
      <c r="S56" s="40">
        <f t="shared" si="3"/>
        <v>275000</v>
      </c>
    </row>
    <row r="57" spans="1:19">
      <c r="A57" s="17"/>
      <c r="B57" s="18">
        <v>169</v>
      </c>
      <c r="C57" s="19" t="s">
        <v>687</v>
      </c>
      <c r="D57" s="20" t="s">
        <v>683</v>
      </c>
      <c r="E57" s="21" t="s">
        <v>9</v>
      </c>
      <c r="F57" s="22" t="s">
        <v>1692</v>
      </c>
      <c r="G57" s="23" t="s">
        <v>1693</v>
      </c>
      <c r="H57" s="24" t="s">
        <v>238</v>
      </c>
      <c r="I57" s="19"/>
      <c r="J57" s="19" t="s">
        <v>688</v>
      </c>
      <c r="K57" s="19"/>
      <c r="L57" s="24" t="s">
        <v>50</v>
      </c>
      <c r="M57" s="19" t="s">
        <v>689</v>
      </c>
      <c r="N57" s="36">
        <v>44497</v>
      </c>
      <c r="O57" s="37">
        <v>254545</v>
      </c>
      <c r="P57" s="19">
        <v>1</v>
      </c>
      <c r="Q57" s="40">
        <f t="shared" si="2"/>
        <v>254545</v>
      </c>
      <c r="R57" s="40">
        <v>275000</v>
      </c>
      <c r="S57" s="40">
        <f t="shared" si="3"/>
        <v>275000</v>
      </c>
    </row>
    <row r="58" spans="1:19">
      <c r="A58" s="17"/>
      <c r="B58" s="18">
        <v>170</v>
      </c>
      <c r="C58" s="25" t="s">
        <v>690</v>
      </c>
      <c r="D58" s="26" t="s">
        <v>691</v>
      </c>
      <c r="E58" s="27" t="s">
        <v>9</v>
      </c>
      <c r="F58" s="28" t="s">
        <v>1692</v>
      </c>
      <c r="G58" s="29" t="s">
        <v>1693</v>
      </c>
      <c r="H58" s="30" t="s">
        <v>692</v>
      </c>
      <c r="I58" s="25"/>
      <c r="J58" s="25" t="s">
        <v>693</v>
      </c>
      <c r="K58" s="25"/>
      <c r="L58" s="30" t="s">
        <v>50</v>
      </c>
      <c r="M58" s="25" t="s">
        <v>694</v>
      </c>
      <c r="N58" s="38">
        <v>44508</v>
      </c>
      <c r="O58" s="39">
        <v>254545</v>
      </c>
      <c r="P58" s="25">
        <v>3</v>
      </c>
      <c r="Q58" s="41">
        <f t="shared" si="2"/>
        <v>763635</v>
      </c>
      <c r="R58" s="41">
        <v>275000</v>
      </c>
      <c r="S58" s="41">
        <f t="shared" si="3"/>
        <v>825000</v>
      </c>
    </row>
    <row r="59" spans="1:19">
      <c r="A59" s="17"/>
      <c r="B59" s="18">
        <v>171</v>
      </c>
      <c r="C59" s="25" t="s">
        <v>695</v>
      </c>
      <c r="D59" s="26" t="s">
        <v>696</v>
      </c>
      <c r="E59" s="27" t="s">
        <v>9</v>
      </c>
      <c r="F59" s="28" t="s">
        <v>1692</v>
      </c>
      <c r="G59" s="29" t="s">
        <v>1693</v>
      </c>
      <c r="H59" s="30" t="s">
        <v>697</v>
      </c>
      <c r="I59" s="25"/>
      <c r="J59" s="25" t="s">
        <v>693</v>
      </c>
      <c r="K59" s="25"/>
      <c r="L59" s="30" t="s">
        <v>50</v>
      </c>
      <c r="M59" s="25" t="s">
        <v>698</v>
      </c>
      <c r="N59" s="38">
        <v>44508</v>
      </c>
      <c r="O59" s="39">
        <v>254545</v>
      </c>
      <c r="P59" s="25">
        <v>2</v>
      </c>
      <c r="Q59" s="41">
        <f t="shared" si="2"/>
        <v>509090</v>
      </c>
      <c r="R59" s="41">
        <v>275000</v>
      </c>
      <c r="S59" s="41">
        <f t="shared" si="3"/>
        <v>550000</v>
      </c>
    </row>
    <row r="60" spans="1:19">
      <c r="A60" s="17"/>
      <c r="B60" s="18">
        <v>172</v>
      </c>
      <c r="C60" s="25" t="s">
        <v>699</v>
      </c>
      <c r="D60" s="26" t="s">
        <v>700</v>
      </c>
      <c r="E60" s="27" t="s">
        <v>9</v>
      </c>
      <c r="F60" s="28" t="s">
        <v>1692</v>
      </c>
      <c r="G60" s="29" t="s">
        <v>1693</v>
      </c>
      <c r="H60" s="30" t="s">
        <v>701</v>
      </c>
      <c r="I60" s="25"/>
      <c r="J60" s="25" t="s">
        <v>688</v>
      </c>
      <c r="K60" s="25"/>
      <c r="L60" s="30" t="s">
        <v>50</v>
      </c>
      <c r="M60" s="25" t="s">
        <v>702</v>
      </c>
      <c r="N60" s="38">
        <v>44509</v>
      </c>
      <c r="O60" s="39">
        <v>254545</v>
      </c>
      <c r="P60" s="25">
        <v>1</v>
      </c>
      <c r="Q60" s="41">
        <f t="shared" si="2"/>
        <v>254545</v>
      </c>
      <c r="R60" s="41">
        <v>275000</v>
      </c>
      <c r="S60" s="41">
        <f t="shared" si="3"/>
        <v>275000</v>
      </c>
    </row>
    <row r="61" spans="1:19">
      <c r="A61" s="17"/>
      <c r="B61" s="18">
        <v>173</v>
      </c>
      <c r="C61" s="25" t="s">
        <v>703</v>
      </c>
      <c r="D61" s="26" t="s">
        <v>704</v>
      </c>
      <c r="E61" s="27" t="s">
        <v>9</v>
      </c>
      <c r="F61" s="28" t="s">
        <v>1692</v>
      </c>
      <c r="G61" s="29" t="s">
        <v>1693</v>
      </c>
      <c r="H61" s="30" t="s">
        <v>705</v>
      </c>
      <c r="I61" s="25"/>
      <c r="J61" s="25" t="s">
        <v>706</v>
      </c>
      <c r="K61" s="25"/>
      <c r="L61" s="30" t="s">
        <v>50</v>
      </c>
      <c r="M61" s="25" t="s">
        <v>707</v>
      </c>
      <c r="N61" s="38">
        <v>44510</v>
      </c>
      <c r="O61" s="39">
        <v>254545</v>
      </c>
      <c r="P61" s="25">
        <v>3</v>
      </c>
      <c r="Q61" s="41">
        <f t="shared" si="2"/>
        <v>763635</v>
      </c>
      <c r="R61" s="41">
        <v>275000</v>
      </c>
      <c r="S61" s="41">
        <f t="shared" si="3"/>
        <v>825000</v>
      </c>
    </row>
    <row r="62" spans="1:19">
      <c r="A62" s="17"/>
      <c r="B62" s="18">
        <v>174</v>
      </c>
      <c r="C62" s="25" t="s">
        <v>708</v>
      </c>
      <c r="D62" s="26" t="s">
        <v>709</v>
      </c>
      <c r="E62" s="27" t="s">
        <v>9</v>
      </c>
      <c r="F62" s="28" t="s">
        <v>1692</v>
      </c>
      <c r="G62" s="29" t="s">
        <v>1693</v>
      </c>
      <c r="H62" s="30" t="s">
        <v>72</v>
      </c>
      <c r="I62" s="25"/>
      <c r="J62" s="25" t="s">
        <v>710</v>
      </c>
      <c r="K62" s="25"/>
      <c r="L62" s="30" t="s">
        <v>50</v>
      </c>
      <c r="M62" s="25" t="s">
        <v>711</v>
      </c>
      <c r="N62" s="38">
        <v>44515</v>
      </c>
      <c r="O62" s="39">
        <v>254545</v>
      </c>
      <c r="P62" s="25">
        <v>1</v>
      </c>
      <c r="Q62" s="41">
        <f t="shared" si="2"/>
        <v>254545</v>
      </c>
      <c r="R62" s="41">
        <v>275000</v>
      </c>
      <c r="S62" s="41">
        <f t="shared" si="3"/>
        <v>275000</v>
      </c>
    </row>
    <row r="63" spans="1:19">
      <c r="A63" s="17"/>
      <c r="B63" s="18">
        <v>176</v>
      </c>
      <c r="C63" s="25" t="s">
        <v>716</v>
      </c>
      <c r="D63" s="26" t="s">
        <v>717</v>
      </c>
      <c r="E63" s="27" t="s">
        <v>9</v>
      </c>
      <c r="F63" s="28" t="s">
        <v>1692</v>
      </c>
      <c r="G63" s="29" t="s">
        <v>1693</v>
      </c>
      <c r="H63" s="30" t="s">
        <v>718</v>
      </c>
      <c r="I63" s="25"/>
      <c r="J63" s="25" t="s">
        <v>719</v>
      </c>
      <c r="K63" s="25"/>
      <c r="L63" s="30" t="s">
        <v>50</v>
      </c>
      <c r="M63" s="25" t="s">
        <v>720</v>
      </c>
      <c r="N63" s="38">
        <v>44515</v>
      </c>
      <c r="O63" s="39">
        <v>254545</v>
      </c>
      <c r="P63" s="25">
        <v>7</v>
      </c>
      <c r="Q63" s="41">
        <f t="shared" si="2"/>
        <v>1781815</v>
      </c>
      <c r="R63" s="41">
        <v>275000</v>
      </c>
      <c r="S63" s="41">
        <f t="shared" si="3"/>
        <v>1925000</v>
      </c>
    </row>
    <row r="64" spans="1:19">
      <c r="A64" s="17"/>
      <c r="B64" s="18">
        <v>177</v>
      </c>
      <c r="C64" s="25" t="s">
        <v>721</v>
      </c>
      <c r="D64" s="26" t="s">
        <v>722</v>
      </c>
      <c r="E64" s="27" t="s">
        <v>9</v>
      </c>
      <c r="F64" s="28" t="s">
        <v>1692</v>
      </c>
      <c r="G64" s="29" t="s">
        <v>1693</v>
      </c>
      <c r="H64" s="30" t="s">
        <v>723</v>
      </c>
      <c r="I64" s="25"/>
      <c r="J64" s="25" t="s">
        <v>724</v>
      </c>
      <c r="K64" s="25"/>
      <c r="L64" s="30" t="s">
        <v>50</v>
      </c>
      <c r="M64" s="25" t="s">
        <v>725</v>
      </c>
      <c r="N64" s="38">
        <v>44517</v>
      </c>
      <c r="O64" s="39">
        <v>254545</v>
      </c>
      <c r="P64" s="25">
        <v>1</v>
      </c>
      <c r="Q64" s="41">
        <f t="shared" si="2"/>
        <v>254545</v>
      </c>
      <c r="R64" s="41">
        <v>275000</v>
      </c>
      <c r="S64" s="41">
        <f t="shared" si="3"/>
        <v>275000</v>
      </c>
    </row>
    <row r="65" spans="1:19">
      <c r="A65" s="17"/>
      <c r="B65" s="18">
        <v>178</v>
      </c>
      <c r="C65" s="25" t="s">
        <v>726</v>
      </c>
      <c r="D65" s="26" t="s">
        <v>727</v>
      </c>
      <c r="E65" s="27" t="s">
        <v>9</v>
      </c>
      <c r="F65" s="28" t="s">
        <v>1692</v>
      </c>
      <c r="G65" s="29" t="s">
        <v>1693</v>
      </c>
      <c r="H65" s="30" t="s">
        <v>728</v>
      </c>
      <c r="I65" s="25"/>
      <c r="J65" s="25" t="s">
        <v>729</v>
      </c>
      <c r="K65" s="25"/>
      <c r="L65" s="30" t="s">
        <v>50</v>
      </c>
      <c r="M65" s="25" t="s">
        <v>730</v>
      </c>
      <c r="N65" s="38">
        <v>44522</v>
      </c>
      <c r="O65" s="39">
        <v>254545</v>
      </c>
      <c r="P65" s="25">
        <v>1</v>
      </c>
      <c r="Q65" s="41">
        <f t="shared" si="2"/>
        <v>254545</v>
      </c>
      <c r="R65" s="41">
        <v>275000</v>
      </c>
      <c r="S65" s="41">
        <f t="shared" si="3"/>
        <v>275000</v>
      </c>
    </row>
    <row r="66" spans="1:19">
      <c r="A66" s="17"/>
      <c r="B66" s="18">
        <v>180</v>
      </c>
      <c r="C66" s="19" t="s">
        <v>736</v>
      </c>
      <c r="D66" s="20" t="s">
        <v>737</v>
      </c>
      <c r="E66" s="21" t="s">
        <v>9</v>
      </c>
      <c r="F66" s="22" t="s">
        <v>1692</v>
      </c>
      <c r="G66" s="23" t="s">
        <v>1693</v>
      </c>
      <c r="H66" s="24" t="s">
        <v>738</v>
      </c>
      <c r="I66" s="19"/>
      <c r="J66" s="42" t="s">
        <v>739</v>
      </c>
      <c r="K66" s="19"/>
      <c r="L66" s="24" t="s">
        <v>50</v>
      </c>
      <c r="M66" s="19" t="s">
        <v>740</v>
      </c>
      <c r="N66" s="36">
        <v>44543</v>
      </c>
      <c r="O66" s="37">
        <v>254545</v>
      </c>
      <c r="P66" s="19">
        <v>1</v>
      </c>
      <c r="Q66" s="40">
        <f t="shared" si="2"/>
        <v>254545</v>
      </c>
      <c r="R66" s="40">
        <v>275000</v>
      </c>
      <c r="S66" s="40">
        <f t="shared" si="3"/>
        <v>275000</v>
      </c>
    </row>
    <row r="67" spans="1:19">
      <c r="A67" s="17"/>
      <c r="B67" s="18">
        <v>181</v>
      </c>
      <c r="C67" s="19" t="s">
        <v>741</v>
      </c>
      <c r="D67" s="20">
        <v>4800437545</v>
      </c>
      <c r="E67" s="21" t="s">
        <v>12</v>
      </c>
      <c r="F67" s="22" t="s">
        <v>1700</v>
      </c>
      <c r="G67" s="32" t="s">
        <v>1701</v>
      </c>
      <c r="H67" s="24" t="s">
        <v>742</v>
      </c>
      <c r="I67" s="19"/>
      <c r="J67" s="42" t="s">
        <v>743</v>
      </c>
      <c r="K67" s="19"/>
      <c r="L67" s="24" t="s">
        <v>92</v>
      </c>
      <c r="M67" s="19" t="s">
        <v>744</v>
      </c>
      <c r="N67" s="36">
        <v>44545</v>
      </c>
      <c r="O67" s="37">
        <v>32272.73</v>
      </c>
      <c r="P67" s="19">
        <v>292</v>
      </c>
      <c r="Q67" s="40">
        <f t="shared" si="2"/>
        <v>9423637.1600000001</v>
      </c>
      <c r="R67" s="40">
        <v>35500</v>
      </c>
      <c r="S67" s="40">
        <f t="shared" si="3"/>
        <v>10366000</v>
      </c>
    </row>
    <row r="68" spans="1:19">
      <c r="A68" s="17"/>
      <c r="B68" s="18">
        <v>182</v>
      </c>
      <c r="C68" s="19" t="s">
        <v>745</v>
      </c>
      <c r="D68" s="20" t="s">
        <v>746</v>
      </c>
      <c r="E68" s="21" t="s">
        <v>9</v>
      </c>
      <c r="F68" s="22" t="s">
        <v>1692</v>
      </c>
      <c r="G68" s="23" t="s">
        <v>1693</v>
      </c>
      <c r="H68" s="24" t="s">
        <v>747</v>
      </c>
      <c r="I68" s="19"/>
      <c r="J68" s="19" t="s">
        <v>748</v>
      </c>
      <c r="K68" s="19"/>
      <c r="L68" s="24" t="s">
        <v>50</v>
      </c>
      <c r="M68" s="19" t="s">
        <v>749</v>
      </c>
      <c r="N68" s="36">
        <v>44551</v>
      </c>
      <c r="O68" s="37">
        <v>254545</v>
      </c>
      <c r="P68" s="19">
        <v>1</v>
      </c>
      <c r="Q68" s="40">
        <f t="shared" si="2"/>
        <v>254545</v>
      </c>
      <c r="R68" s="40">
        <v>275000</v>
      </c>
      <c r="S68" s="40">
        <f t="shared" si="3"/>
        <v>275000</v>
      </c>
    </row>
    <row r="69" spans="1:19">
      <c r="A69" s="17"/>
      <c r="B69" s="18">
        <v>183</v>
      </c>
      <c r="C69" s="19" t="s">
        <v>750</v>
      </c>
      <c r="D69" s="20" t="s">
        <v>746</v>
      </c>
      <c r="E69" s="21" t="s">
        <v>9</v>
      </c>
      <c r="F69" s="22" t="s">
        <v>1692</v>
      </c>
      <c r="G69" s="23" t="s">
        <v>1693</v>
      </c>
      <c r="H69" s="24" t="s">
        <v>751</v>
      </c>
      <c r="I69" s="19"/>
      <c r="J69" s="19" t="s">
        <v>752</v>
      </c>
      <c r="K69" s="19"/>
      <c r="L69" s="24" t="s">
        <v>50</v>
      </c>
      <c r="M69" s="19" t="s">
        <v>753</v>
      </c>
      <c r="N69" s="36">
        <v>44551</v>
      </c>
      <c r="O69" s="37">
        <v>254545</v>
      </c>
      <c r="P69" s="19">
        <v>1</v>
      </c>
      <c r="Q69" s="40">
        <f t="shared" si="2"/>
        <v>254545</v>
      </c>
      <c r="R69" s="40">
        <v>275000</v>
      </c>
      <c r="S69" s="40">
        <f t="shared" si="3"/>
        <v>275000</v>
      </c>
    </row>
    <row r="70" spans="1:19">
      <c r="A70" s="17"/>
      <c r="B70" s="18">
        <v>184</v>
      </c>
      <c r="C70" s="19" t="s">
        <v>754</v>
      </c>
      <c r="D70" s="20" t="s">
        <v>746</v>
      </c>
      <c r="E70" s="21" t="s">
        <v>9</v>
      </c>
      <c r="F70" s="22" t="s">
        <v>1692</v>
      </c>
      <c r="G70" s="23" t="s">
        <v>1693</v>
      </c>
      <c r="H70" s="24" t="s">
        <v>679</v>
      </c>
      <c r="I70" s="19"/>
      <c r="J70" s="19" t="s">
        <v>755</v>
      </c>
      <c r="K70" s="19"/>
      <c r="L70" s="24" t="s">
        <v>50</v>
      </c>
      <c r="M70" s="19" t="s">
        <v>756</v>
      </c>
      <c r="N70" s="36">
        <v>44551</v>
      </c>
      <c r="O70" s="37">
        <v>254545</v>
      </c>
      <c r="P70" s="19">
        <v>1</v>
      </c>
      <c r="Q70" s="40">
        <f t="shared" si="2"/>
        <v>254545</v>
      </c>
      <c r="R70" s="40">
        <v>275000</v>
      </c>
      <c r="S70" s="40">
        <f t="shared" si="3"/>
        <v>275000</v>
      </c>
    </row>
    <row r="71" spans="1:19">
      <c r="A71" s="17"/>
      <c r="B71" s="18">
        <v>185</v>
      </c>
      <c r="C71" s="19" t="s">
        <v>757</v>
      </c>
      <c r="D71" s="20" t="s">
        <v>746</v>
      </c>
      <c r="E71" s="21" t="s">
        <v>9</v>
      </c>
      <c r="F71" s="22" t="s">
        <v>1692</v>
      </c>
      <c r="G71" s="23" t="s">
        <v>1693</v>
      </c>
      <c r="H71" s="24" t="s">
        <v>758</v>
      </c>
      <c r="I71" s="19"/>
      <c r="J71" s="19" t="s">
        <v>755</v>
      </c>
      <c r="K71" s="19"/>
      <c r="L71" s="24" t="s">
        <v>50</v>
      </c>
      <c r="M71" s="19" t="s">
        <v>759</v>
      </c>
      <c r="N71" s="36">
        <v>44551</v>
      </c>
      <c r="O71" s="37">
        <v>254545</v>
      </c>
      <c r="P71" s="19">
        <v>1</v>
      </c>
      <c r="Q71" s="40">
        <f t="shared" si="2"/>
        <v>254545</v>
      </c>
      <c r="R71" s="40">
        <v>275000</v>
      </c>
      <c r="S71" s="40">
        <f t="shared" si="3"/>
        <v>275000</v>
      </c>
    </row>
    <row r="72" spans="1:19">
      <c r="A72" s="17"/>
      <c r="B72" s="18">
        <v>186</v>
      </c>
      <c r="C72" s="19" t="s">
        <v>760</v>
      </c>
      <c r="D72" s="20" t="s">
        <v>746</v>
      </c>
      <c r="E72" s="21" t="s">
        <v>9</v>
      </c>
      <c r="F72" s="22" t="s">
        <v>1692</v>
      </c>
      <c r="G72" s="23" t="s">
        <v>1693</v>
      </c>
      <c r="H72" s="24" t="s">
        <v>761</v>
      </c>
      <c r="I72" s="19"/>
      <c r="J72" s="19" t="s">
        <v>755</v>
      </c>
      <c r="K72" s="19"/>
      <c r="L72" s="24" t="s">
        <v>50</v>
      </c>
      <c r="M72" s="19" t="s">
        <v>762</v>
      </c>
      <c r="N72" s="36">
        <v>44551</v>
      </c>
      <c r="O72" s="37">
        <v>254545</v>
      </c>
      <c r="P72" s="19">
        <v>6</v>
      </c>
      <c r="Q72" s="40">
        <f t="shared" ref="Q72:Q78" si="4">P72*O72</f>
        <v>1527270</v>
      </c>
      <c r="R72" s="40">
        <v>275000</v>
      </c>
      <c r="S72" s="40">
        <f t="shared" si="3"/>
        <v>1650000</v>
      </c>
    </row>
    <row r="73" spans="1:19">
      <c r="A73" s="17"/>
      <c r="B73" s="18">
        <v>187</v>
      </c>
      <c r="C73" s="19" t="s">
        <v>763</v>
      </c>
      <c r="D73" s="20" t="s">
        <v>764</v>
      </c>
      <c r="E73" s="21" t="s">
        <v>9</v>
      </c>
      <c r="F73" s="22" t="s">
        <v>1692</v>
      </c>
      <c r="G73" s="23" t="s">
        <v>1693</v>
      </c>
      <c r="H73" s="24" t="s">
        <v>765</v>
      </c>
      <c r="I73" s="19"/>
      <c r="J73" s="19" t="s">
        <v>766</v>
      </c>
      <c r="K73" s="19"/>
      <c r="L73" s="24" t="s">
        <v>50</v>
      </c>
      <c r="M73" s="19" t="s">
        <v>767</v>
      </c>
      <c r="N73" s="36">
        <v>44553</v>
      </c>
      <c r="O73" s="37">
        <v>254545</v>
      </c>
      <c r="P73" s="19">
        <v>1</v>
      </c>
      <c r="Q73" s="40">
        <f t="shared" si="4"/>
        <v>254545</v>
      </c>
      <c r="R73" s="40">
        <v>275000</v>
      </c>
      <c r="S73" s="40">
        <f t="shared" si="3"/>
        <v>275000</v>
      </c>
    </row>
    <row r="74" spans="1:19">
      <c r="A74" s="17"/>
      <c r="B74" s="18">
        <v>188</v>
      </c>
      <c r="C74" s="19" t="s">
        <v>768</v>
      </c>
      <c r="D74" s="20" t="s">
        <v>769</v>
      </c>
      <c r="E74" s="21" t="s">
        <v>9</v>
      </c>
      <c r="F74" s="22" t="s">
        <v>1692</v>
      </c>
      <c r="G74" s="23" t="s">
        <v>1693</v>
      </c>
      <c r="H74" s="24" t="s">
        <v>770</v>
      </c>
      <c r="I74" s="19"/>
      <c r="J74" s="19" t="s">
        <v>771</v>
      </c>
      <c r="K74" s="19"/>
      <c r="L74" s="24" t="s">
        <v>50</v>
      </c>
      <c r="M74" s="19" t="s">
        <v>772</v>
      </c>
      <c r="N74" s="36">
        <v>44559</v>
      </c>
      <c r="O74" s="37">
        <v>254545</v>
      </c>
      <c r="P74" s="19">
        <v>5</v>
      </c>
      <c r="Q74" s="40">
        <f t="shared" si="4"/>
        <v>1272725</v>
      </c>
      <c r="R74" s="40">
        <v>275000</v>
      </c>
      <c r="S74" s="40">
        <f t="shared" si="3"/>
        <v>1375000</v>
      </c>
    </row>
    <row r="75" spans="1:19">
      <c r="A75" s="17"/>
      <c r="B75" s="18">
        <v>189</v>
      </c>
      <c r="C75" s="19" t="s">
        <v>773</v>
      </c>
      <c r="D75" s="20" t="s">
        <v>774</v>
      </c>
      <c r="E75" s="21" t="s">
        <v>9</v>
      </c>
      <c r="F75" s="22" t="s">
        <v>1692</v>
      </c>
      <c r="G75" s="23" t="s">
        <v>1693</v>
      </c>
      <c r="H75" s="24" t="s">
        <v>775</v>
      </c>
      <c r="I75" s="19"/>
      <c r="J75" s="19" t="s">
        <v>776</v>
      </c>
      <c r="K75" s="19"/>
      <c r="L75" s="24" t="s">
        <v>50</v>
      </c>
      <c r="M75" s="19" t="s">
        <v>777</v>
      </c>
      <c r="N75" s="36">
        <v>44561</v>
      </c>
      <c r="O75" s="37">
        <v>254545</v>
      </c>
      <c r="P75" s="19">
        <v>1</v>
      </c>
      <c r="Q75" s="40">
        <f t="shared" si="4"/>
        <v>254545</v>
      </c>
      <c r="R75" s="40">
        <v>275000</v>
      </c>
      <c r="S75" s="40">
        <f t="shared" si="3"/>
        <v>275000</v>
      </c>
    </row>
    <row r="76" spans="1:19">
      <c r="A76" s="17"/>
      <c r="B76" s="18">
        <v>190</v>
      </c>
      <c r="C76" s="19" t="s">
        <v>778</v>
      </c>
      <c r="D76" s="20" t="s">
        <v>779</v>
      </c>
      <c r="E76" s="21" t="s">
        <v>9</v>
      </c>
      <c r="F76" s="22" t="s">
        <v>1692</v>
      </c>
      <c r="G76" s="23" t="s">
        <v>1693</v>
      </c>
      <c r="H76" s="24" t="s">
        <v>780</v>
      </c>
      <c r="I76" s="19"/>
      <c r="J76" s="19" t="s">
        <v>776</v>
      </c>
      <c r="K76" s="19"/>
      <c r="L76" s="24" t="s">
        <v>50</v>
      </c>
      <c r="M76" s="19" t="s">
        <v>781</v>
      </c>
      <c r="N76" s="36">
        <v>44554</v>
      </c>
      <c r="O76" s="37">
        <v>254545</v>
      </c>
      <c r="P76" s="19">
        <v>5</v>
      </c>
      <c r="Q76" s="40">
        <f t="shared" si="4"/>
        <v>1272725</v>
      </c>
      <c r="R76" s="40">
        <v>275000</v>
      </c>
      <c r="S76" s="40">
        <f t="shared" si="3"/>
        <v>1375000</v>
      </c>
    </row>
    <row r="77" spans="1:19">
      <c r="A77" s="17"/>
      <c r="B77" s="18">
        <v>191</v>
      </c>
      <c r="C77" s="19" t="s">
        <v>782</v>
      </c>
      <c r="D77" s="20" t="s">
        <v>779</v>
      </c>
      <c r="E77" s="21" t="s">
        <v>9</v>
      </c>
      <c r="F77" s="22" t="s">
        <v>1692</v>
      </c>
      <c r="G77" s="23" t="s">
        <v>1693</v>
      </c>
      <c r="H77" s="24" t="s">
        <v>349</v>
      </c>
      <c r="I77" s="19"/>
      <c r="J77" s="19" t="s">
        <v>783</v>
      </c>
      <c r="K77" s="19"/>
      <c r="L77" s="24" t="s">
        <v>50</v>
      </c>
      <c r="M77" s="19" t="s">
        <v>784</v>
      </c>
      <c r="N77" s="36">
        <v>44554</v>
      </c>
      <c r="O77" s="37">
        <v>254545</v>
      </c>
      <c r="P77" s="19">
        <v>3</v>
      </c>
      <c r="Q77" s="40">
        <f t="shared" si="4"/>
        <v>763635</v>
      </c>
      <c r="R77" s="40">
        <v>275000</v>
      </c>
      <c r="S77" s="40">
        <f t="shared" si="3"/>
        <v>825000</v>
      </c>
    </row>
    <row r="78" spans="1:19">
      <c r="A78" s="17"/>
      <c r="B78" s="18">
        <v>192</v>
      </c>
      <c r="C78" s="19" t="s">
        <v>785</v>
      </c>
      <c r="D78" s="20" t="s">
        <v>779</v>
      </c>
      <c r="E78" s="21" t="s">
        <v>9</v>
      </c>
      <c r="F78" s="22" t="s">
        <v>1692</v>
      </c>
      <c r="G78" s="23" t="s">
        <v>1693</v>
      </c>
      <c r="H78" s="24" t="s">
        <v>786</v>
      </c>
      <c r="I78" s="19"/>
      <c r="J78" s="19" t="s">
        <v>776</v>
      </c>
      <c r="K78" s="19"/>
      <c r="L78" s="24" t="s">
        <v>50</v>
      </c>
      <c r="M78" s="19" t="s">
        <v>787</v>
      </c>
      <c r="N78" s="36">
        <v>44554</v>
      </c>
      <c r="O78" s="37">
        <v>254545</v>
      </c>
      <c r="P78" s="19">
        <v>8</v>
      </c>
      <c r="Q78" s="40">
        <f t="shared" si="4"/>
        <v>2036360</v>
      </c>
      <c r="R78" s="40">
        <v>275000</v>
      </c>
      <c r="S78" s="40">
        <f t="shared" si="3"/>
        <v>2200000</v>
      </c>
    </row>
    <row r="79" spans="1:19">
      <c r="A79" s="17"/>
      <c r="B79" s="18">
        <v>196</v>
      </c>
      <c r="C79" s="19" t="s">
        <v>794</v>
      </c>
      <c r="D79" s="20" t="s">
        <v>795</v>
      </c>
      <c r="E79" s="21" t="s">
        <v>9</v>
      </c>
      <c r="F79" s="22" t="s">
        <v>1692</v>
      </c>
      <c r="G79" s="23" t="s">
        <v>1693</v>
      </c>
      <c r="H79" s="24" t="s">
        <v>796</v>
      </c>
      <c r="I79" s="19"/>
      <c r="J79" s="19" t="s">
        <v>797</v>
      </c>
      <c r="K79" s="19"/>
      <c r="L79" s="24" t="s">
        <v>50</v>
      </c>
      <c r="M79" s="19" t="s">
        <v>798</v>
      </c>
      <c r="N79" s="36">
        <v>44561</v>
      </c>
      <c r="O79" s="37">
        <v>254545</v>
      </c>
      <c r="P79" s="19">
        <v>1</v>
      </c>
      <c r="Q79" s="40">
        <f t="shared" ref="Q79:Q80" si="5">P79*O79</f>
        <v>254545</v>
      </c>
      <c r="R79" s="40">
        <v>275000</v>
      </c>
      <c r="S79" s="40">
        <f t="shared" si="3"/>
        <v>275000</v>
      </c>
    </row>
    <row r="80" spans="1:19">
      <c r="A80" s="17"/>
      <c r="B80" s="18">
        <v>197</v>
      </c>
      <c r="C80" s="19" t="s">
        <v>799</v>
      </c>
      <c r="D80" s="20" t="s">
        <v>795</v>
      </c>
      <c r="E80" s="21" t="s">
        <v>9</v>
      </c>
      <c r="F80" s="22" t="s">
        <v>1692</v>
      </c>
      <c r="G80" s="23" t="s">
        <v>1693</v>
      </c>
      <c r="H80" s="24" t="s">
        <v>800</v>
      </c>
      <c r="I80" s="19"/>
      <c r="J80" s="19" t="s">
        <v>801</v>
      </c>
      <c r="K80" s="19"/>
      <c r="L80" s="24" t="s">
        <v>50</v>
      </c>
      <c r="M80" s="19" t="s">
        <v>802</v>
      </c>
      <c r="N80" s="36">
        <v>44561</v>
      </c>
      <c r="O80" s="37">
        <v>254545</v>
      </c>
      <c r="P80" s="19">
        <v>1</v>
      </c>
      <c r="Q80" s="40">
        <f t="shared" si="5"/>
        <v>254545</v>
      </c>
      <c r="R80" s="40">
        <v>275000</v>
      </c>
      <c r="S80" s="40">
        <f t="shared" si="3"/>
        <v>275000</v>
      </c>
    </row>
    <row r="81" spans="1:19">
      <c r="A81" s="17"/>
      <c r="B81" s="18">
        <v>198</v>
      </c>
      <c r="C81" s="25" t="s">
        <v>803</v>
      </c>
      <c r="D81" s="26" t="s">
        <v>804</v>
      </c>
      <c r="E81" s="27" t="s">
        <v>9</v>
      </c>
      <c r="F81" s="28" t="s">
        <v>1692</v>
      </c>
      <c r="G81" s="29" t="s">
        <v>1693</v>
      </c>
      <c r="H81" s="30" t="s">
        <v>805</v>
      </c>
      <c r="I81" s="25"/>
      <c r="J81" s="25" t="s">
        <v>806</v>
      </c>
      <c r="K81" s="25"/>
      <c r="L81" s="30" t="s">
        <v>50</v>
      </c>
      <c r="M81" s="25" t="s">
        <v>807</v>
      </c>
      <c r="N81" s="38">
        <v>44564</v>
      </c>
      <c r="O81" s="39">
        <v>254545</v>
      </c>
      <c r="P81" s="25">
        <v>2</v>
      </c>
      <c r="Q81" s="41">
        <f>O81*P81</f>
        <v>509090</v>
      </c>
      <c r="R81" s="41">
        <v>275000</v>
      </c>
      <c r="S81" s="41">
        <f t="shared" si="3"/>
        <v>550000</v>
      </c>
    </row>
    <row r="82" spans="1:19">
      <c r="A82" s="17"/>
      <c r="B82" s="18">
        <v>199</v>
      </c>
      <c r="C82" s="25" t="s">
        <v>808</v>
      </c>
      <c r="D82" s="26" t="s">
        <v>804</v>
      </c>
      <c r="E82" s="27" t="s">
        <v>9</v>
      </c>
      <c r="F82" s="28" t="s">
        <v>1692</v>
      </c>
      <c r="G82" s="29" t="s">
        <v>1693</v>
      </c>
      <c r="H82" s="30" t="s">
        <v>809</v>
      </c>
      <c r="I82" s="25"/>
      <c r="J82" s="25" t="s">
        <v>810</v>
      </c>
      <c r="K82" s="25"/>
      <c r="L82" s="30" t="s">
        <v>50</v>
      </c>
      <c r="M82" s="25" t="s">
        <v>811</v>
      </c>
      <c r="N82" s="38">
        <v>44564</v>
      </c>
      <c r="O82" s="39">
        <v>254545</v>
      </c>
      <c r="P82" s="25">
        <v>3</v>
      </c>
      <c r="Q82" s="41">
        <f>O82*P82</f>
        <v>763635</v>
      </c>
      <c r="R82" s="41">
        <v>275001</v>
      </c>
      <c r="S82" s="41">
        <f t="shared" si="3"/>
        <v>825003</v>
      </c>
    </row>
    <row r="83" spans="1:19">
      <c r="A83" s="17"/>
      <c r="B83" s="18">
        <v>200</v>
      </c>
      <c r="C83" s="25" t="s">
        <v>812</v>
      </c>
      <c r="D83" s="26" t="s">
        <v>813</v>
      </c>
      <c r="E83" s="27" t="s">
        <v>10</v>
      </c>
      <c r="F83" s="28" t="s">
        <v>1702</v>
      </c>
      <c r="G83" s="31" t="s">
        <v>1703</v>
      </c>
      <c r="H83" s="30" t="s">
        <v>814</v>
      </c>
      <c r="I83" s="25" t="s">
        <v>815</v>
      </c>
      <c r="J83" s="25" t="s">
        <v>2</v>
      </c>
      <c r="K83" s="25"/>
      <c r="L83" s="30" t="s">
        <v>816</v>
      </c>
      <c r="M83" s="25" t="s">
        <v>817</v>
      </c>
      <c r="N83" s="38">
        <v>44568</v>
      </c>
      <c r="O83" s="39">
        <v>22727</v>
      </c>
      <c r="P83" s="25">
        <v>150</v>
      </c>
      <c r="Q83" s="41">
        <f t="shared" ref="Q83:Q219" si="6">O83*P83</f>
        <v>3409050</v>
      </c>
      <c r="R83" s="41">
        <v>29090.91</v>
      </c>
      <c r="S83" s="41">
        <f t="shared" ref="S83:S223" si="7">R83*P83</f>
        <v>4363636.5</v>
      </c>
    </row>
    <row r="84" spans="1:19">
      <c r="A84" s="17"/>
      <c r="B84" s="18">
        <v>201</v>
      </c>
      <c r="C84" s="25" t="s">
        <v>818</v>
      </c>
      <c r="D84" s="26" t="s">
        <v>819</v>
      </c>
      <c r="E84" s="27" t="s">
        <v>9</v>
      </c>
      <c r="F84" s="28" t="s">
        <v>1692</v>
      </c>
      <c r="G84" s="29" t="s">
        <v>1693</v>
      </c>
      <c r="H84" s="30" t="s">
        <v>820</v>
      </c>
      <c r="I84" s="25"/>
      <c r="J84" s="25" t="s">
        <v>821</v>
      </c>
      <c r="K84" s="25"/>
      <c r="L84" s="30" t="s">
        <v>50</v>
      </c>
      <c r="M84" s="25" t="s">
        <v>822</v>
      </c>
      <c r="N84" s="38">
        <v>44567</v>
      </c>
      <c r="O84" s="39">
        <v>254545</v>
      </c>
      <c r="P84" s="25">
        <v>7</v>
      </c>
      <c r="Q84" s="41">
        <f t="shared" si="6"/>
        <v>1781815</v>
      </c>
      <c r="R84" s="41">
        <v>275000</v>
      </c>
      <c r="S84" s="41">
        <f t="shared" si="7"/>
        <v>1925000</v>
      </c>
    </row>
    <row r="85" spans="1:19">
      <c r="A85" s="17"/>
      <c r="B85" s="18">
        <v>202</v>
      </c>
      <c r="C85" s="25" t="s">
        <v>823</v>
      </c>
      <c r="D85" s="26" t="s">
        <v>824</v>
      </c>
      <c r="E85" s="27" t="s">
        <v>9</v>
      </c>
      <c r="F85" s="28" t="s">
        <v>1692</v>
      </c>
      <c r="G85" s="29" t="s">
        <v>1693</v>
      </c>
      <c r="H85" s="30" t="s">
        <v>825</v>
      </c>
      <c r="I85" s="25"/>
      <c r="J85" s="25" t="s">
        <v>826</v>
      </c>
      <c r="K85" s="25"/>
      <c r="L85" s="30" t="s">
        <v>50</v>
      </c>
      <c r="M85" s="25" t="s">
        <v>827</v>
      </c>
      <c r="N85" s="38">
        <v>44568</v>
      </c>
      <c r="O85" s="39">
        <v>254545</v>
      </c>
      <c r="P85" s="25">
        <v>3</v>
      </c>
      <c r="Q85" s="41">
        <f t="shared" si="6"/>
        <v>763635</v>
      </c>
      <c r="R85" s="41">
        <v>275000</v>
      </c>
      <c r="S85" s="41">
        <f t="shared" si="7"/>
        <v>825000</v>
      </c>
    </row>
    <row r="86" spans="1:19">
      <c r="A86" s="17"/>
      <c r="B86" s="18">
        <v>203</v>
      </c>
      <c r="C86" s="25" t="s">
        <v>828</v>
      </c>
      <c r="D86" s="26" t="s">
        <v>824</v>
      </c>
      <c r="E86" s="27" t="s">
        <v>9</v>
      </c>
      <c r="F86" s="28" t="s">
        <v>1692</v>
      </c>
      <c r="G86" s="29" t="s">
        <v>1693</v>
      </c>
      <c r="H86" s="30" t="s">
        <v>829</v>
      </c>
      <c r="I86" s="25"/>
      <c r="J86" s="25" t="s">
        <v>826</v>
      </c>
      <c r="K86" s="25"/>
      <c r="L86" s="30" t="s">
        <v>50</v>
      </c>
      <c r="M86" s="25" t="s">
        <v>830</v>
      </c>
      <c r="N86" s="38">
        <v>44568</v>
      </c>
      <c r="O86" s="39">
        <v>254545</v>
      </c>
      <c r="P86" s="25">
        <v>3</v>
      </c>
      <c r="Q86" s="41">
        <f t="shared" si="6"/>
        <v>763635</v>
      </c>
      <c r="R86" s="41">
        <v>275000</v>
      </c>
      <c r="S86" s="41">
        <f t="shared" si="7"/>
        <v>825000</v>
      </c>
    </row>
    <row r="87" spans="1:19">
      <c r="A87" s="17"/>
      <c r="B87" s="18">
        <v>204</v>
      </c>
      <c r="C87" s="25" t="s">
        <v>831</v>
      </c>
      <c r="D87" s="26" t="s">
        <v>824</v>
      </c>
      <c r="E87" s="27" t="s">
        <v>9</v>
      </c>
      <c r="F87" s="28" t="s">
        <v>1692</v>
      </c>
      <c r="G87" s="29" t="s">
        <v>1693</v>
      </c>
      <c r="H87" s="30" t="s">
        <v>832</v>
      </c>
      <c r="I87" s="25"/>
      <c r="J87" s="25" t="s">
        <v>826</v>
      </c>
      <c r="K87" s="25"/>
      <c r="L87" s="30" t="s">
        <v>50</v>
      </c>
      <c r="M87" s="25" t="s">
        <v>833</v>
      </c>
      <c r="N87" s="38">
        <v>44568</v>
      </c>
      <c r="O87" s="39">
        <v>254545</v>
      </c>
      <c r="P87" s="25">
        <v>5</v>
      </c>
      <c r="Q87" s="41">
        <f t="shared" si="6"/>
        <v>1272725</v>
      </c>
      <c r="R87" s="41">
        <v>275000</v>
      </c>
      <c r="S87" s="41">
        <f t="shared" si="7"/>
        <v>1375000</v>
      </c>
    </row>
    <row r="88" spans="1:19">
      <c r="A88" s="17"/>
      <c r="B88" s="18">
        <v>205</v>
      </c>
      <c r="C88" s="25" t="s">
        <v>834</v>
      </c>
      <c r="D88" s="26" t="s">
        <v>835</v>
      </c>
      <c r="E88" s="27" t="s">
        <v>9</v>
      </c>
      <c r="F88" s="28" t="s">
        <v>1692</v>
      </c>
      <c r="G88" s="29" t="s">
        <v>1693</v>
      </c>
      <c r="H88" s="30" t="s">
        <v>836</v>
      </c>
      <c r="I88" s="25"/>
      <c r="J88" s="25" t="s">
        <v>837</v>
      </c>
      <c r="K88" s="25"/>
      <c r="L88" s="30" t="s">
        <v>50</v>
      </c>
      <c r="M88" s="25" t="s">
        <v>838</v>
      </c>
      <c r="N88" s="38">
        <v>44572</v>
      </c>
      <c r="O88" s="39">
        <v>254545</v>
      </c>
      <c r="P88" s="25">
        <v>2</v>
      </c>
      <c r="Q88" s="41">
        <f t="shared" si="6"/>
        <v>509090</v>
      </c>
      <c r="R88" s="41">
        <v>275000</v>
      </c>
      <c r="S88" s="41">
        <f t="shared" si="7"/>
        <v>550000</v>
      </c>
    </row>
    <row r="89" spans="1:19">
      <c r="A89" s="17"/>
      <c r="B89" s="18">
        <v>206</v>
      </c>
      <c r="C89" s="25" t="s">
        <v>839</v>
      </c>
      <c r="D89" s="26" t="s">
        <v>835</v>
      </c>
      <c r="E89" s="27" t="s">
        <v>9</v>
      </c>
      <c r="F89" s="28" t="s">
        <v>1692</v>
      </c>
      <c r="G89" s="29" t="s">
        <v>1693</v>
      </c>
      <c r="H89" s="30" t="s">
        <v>840</v>
      </c>
      <c r="I89" s="25"/>
      <c r="J89" s="25" t="s">
        <v>837</v>
      </c>
      <c r="K89" s="25"/>
      <c r="L89" s="30" t="s">
        <v>50</v>
      </c>
      <c r="M89" s="25" t="s">
        <v>841</v>
      </c>
      <c r="N89" s="38">
        <v>44572</v>
      </c>
      <c r="O89" s="39">
        <v>254545</v>
      </c>
      <c r="P89" s="25">
        <v>1</v>
      </c>
      <c r="Q89" s="41">
        <f t="shared" si="6"/>
        <v>254545</v>
      </c>
      <c r="R89" s="41">
        <v>275000</v>
      </c>
      <c r="S89" s="41">
        <f t="shared" si="7"/>
        <v>275000</v>
      </c>
    </row>
    <row r="90" spans="1:19">
      <c r="A90" s="17"/>
      <c r="B90" s="18">
        <v>207</v>
      </c>
      <c r="C90" s="25" t="s">
        <v>842</v>
      </c>
      <c r="D90" s="26" t="s">
        <v>835</v>
      </c>
      <c r="E90" s="27" t="s">
        <v>9</v>
      </c>
      <c r="F90" s="28" t="s">
        <v>1692</v>
      </c>
      <c r="G90" s="29" t="s">
        <v>1693</v>
      </c>
      <c r="H90" s="30" t="s">
        <v>843</v>
      </c>
      <c r="I90" s="25"/>
      <c r="J90" s="25" t="s">
        <v>837</v>
      </c>
      <c r="K90" s="25"/>
      <c r="L90" s="30" t="s">
        <v>50</v>
      </c>
      <c r="M90" s="25" t="s">
        <v>844</v>
      </c>
      <c r="N90" s="38">
        <v>44572</v>
      </c>
      <c r="O90" s="39">
        <v>254545</v>
      </c>
      <c r="P90" s="25">
        <v>1</v>
      </c>
      <c r="Q90" s="41">
        <f t="shared" si="6"/>
        <v>254545</v>
      </c>
      <c r="R90" s="41">
        <v>275000</v>
      </c>
      <c r="S90" s="41">
        <f t="shared" si="7"/>
        <v>275000</v>
      </c>
    </row>
    <row r="91" spans="1:19">
      <c r="A91" s="17"/>
      <c r="B91" s="18">
        <v>208</v>
      </c>
      <c r="C91" s="25" t="s">
        <v>845</v>
      </c>
      <c r="D91" s="26" t="s">
        <v>835</v>
      </c>
      <c r="E91" s="27" t="s">
        <v>9</v>
      </c>
      <c r="F91" s="28" t="s">
        <v>1692</v>
      </c>
      <c r="G91" s="29" t="s">
        <v>1693</v>
      </c>
      <c r="H91" s="30" t="s">
        <v>846</v>
      </c>
      <c r="I91" s="25"/>
      <c r="J91" s="25" t="s">
        <v>847</v>
      </c>
      <c r="K91" s="25"/>
      <c r="L91" s="30" t="s">
        <v>50</v>
      </c>
      <c r="M91" s="25" t="s">
        <v>848</v>
      </c>
      <c r="N91" s="38">
        <v>44572</v>
      </c>
      <c r="O91" s="39">
        <v>254545</v>
      </c>
      <c r="P91" s="25">
        <v>2</v>
      </c>
      <c r="Q91" s="41">
        <f t="shared" si="6"/>
        <v>509090</v>
      </c>
      <c r="R91" s="41">
        <v>275000</v>
      </c>
      <c r="S91" s="41">
        <f t="shared" si="7"/>
        <v>550000</v>
      </c>
    </row>
    <row r="92" spans="1:19">
      <c r="A92" s="17"/>
      <c r="B92" s="18">
        <v>209</v>
      </c>
      <c r="C92" s="25" t="s">
        <v>849</v>
      </c>
      <c r="D92" s="26" t="s">
        <v>835</v>
      </c>
      <c r="E92" s="27" t="s">
        <v>9</v>
      </c>
      <c r="F92" s="28" t="s">
        <v>1692</v>
      </c>
      <c r="G92" s="29" t="s">
        <v>1693</v>
      </c>
      <c r="H92" s="30" t="s">
        <v>549</v>
      </c>
      <c r="I92" s="25"/>
      <c r="J92" s="25" t="s">
        <v>837</v>
      </c>
      <c r="K92" s="25"/>
      <c r="L92" s="30" t="s">
        <v>50</v>
      </c>
      <c r="M92" s="25" t="s">
        <v>850</v>
      </c>
      <c r="N92" s="38">
        <v>44572</v>
      </c>
      <c r="O92" s="39">
        <v>254545</v>
      </c>
      <c r="P92" s="25">
        <v>1</v>
      </c>
      <c r="Q92" s="41">
        <f t="shared" si="6"/>
        <v>254545</v>
      </c>
      <c r="R92" s="41">
        <v>275000</v>
      </c>
      <c r="S92" s="41">
        <f t="shared" si="7"/>
        <v>275000</v>
      </c>
    </row>
    <row r="93" spans="1:19">
      <c r="A93" s="17"/>
      <c r="B93" s="18">
        <v>210</v>
      </c>
      <c r="C93" s="25" t="s">
        <v>851</v>
      </c>
      <c r="D93" s="26" t="s">
        <v>835</v>
      </c>
      <c r="E93" s="27" t="s">
        <v>9</v>
      </c>
      <c r="F93" s="28" t="s">
        <v>1692</v>
      </c>
      <c r="G93" s="29" t="s">
        <v>1693</v>
      </c>
      <c r="H93" s="30" t="s">
        <v>141</v>
      </c>
      <c r="I93" s="25"/>
      <c r="J93" s="25" t="s">
        <v>837</v>
      </c>
      <c r="K93" s="25"/>
      <c r="L93" s="30" t="s">
        <v>50</v>
      </c>
      <c r="M93" s="25" t="s">
        <v>852</v>
      </c>
      <c r="N93" s="38">
        <v>44572</v>
      </c>
      <c r="O93" s="39">
        <v>254545</v>
      </c>
      <c r="P93" s="25">
        <v>1</v>
      </c>
      <c r="Q93" s="41">
        <f t="shared" si="6"/>
        <v>254545</v>
      </c>
      <c r="R93" s="41">
        <v>275000</v>
      </c>
      <c r="S93" s="41">
        <f t="shared" si="7"/>
        <v>275000</v>
      </c>
    </row>
    <row r="94" spans="1:19">
      <c r="A94" s="17"/>
      <c r="B94" s="18">
        <v>212</v>
      </c>
      <c r="C94" s="25" t="s">
        <v>856</v>
      </c>
      <c r="D94" s="26" t="s">
        <v>857</v>
      </c>
      <c r="E94" s="27" t="s">
        <v>9</v>
      </c>
      <c r="F94" s="28" t="s">
        <v>1692</v>
      </c>
      <c r="G94" s="29" t="s">
        <v>1693</v>
      </c>
      <c r="H94" s="30" t="s">
        <v>858</v>
      </c>
      <c r="I94" s="25"/>
      <c r="J94" s="25" t="s">
        <v>859</v>
      </c>
      <c r="K94" s="25"/>
      <c r="L94" s="30" t="s">
        <v>50</v>
      </c>
      <c r="M94" s="25" t="s">
        <v>860</v>
      </c>
      <c r="N94" s="38">
        <v>44579</v>
      </c>
      <c r="O94" s="39">
        <v>254545</v>
      </c>
      <c r="P94" s="25">
        <v>4</v>
      </c>
      <c r="Q94" s="41">
        <f t="shared" si="6"/>
        <v>1018180</v>
      </c>
      <c r="R94" s="41">
        <v>275000</v>
      </c>
      <c r="S94" s="41">
        <f t="shared" si="7"/>
        <v>1100000</v>
      </c>
    </row>
    <row r="95" spans="1:19">
      <c r="A95" s="17"/>
      <c r="B95" s="18">
        <v>213</v>
      </c>
      <c r="C95" s="25" t="s">
        <v>861</v>
      </c>
      <c r="D95" s="26" t="s">
        <v>857</v>
      </c>
      <c r="E95" s="27" t="s">
        <v>9</v>
      </c>
      <c r="F95" s="28" t="s">
        <v>1692</v>
      </c>
      <c r="G95" s="29" t="s">
        <v>1693</v>
      </c>
      <c r="H95" s="30" t="s">
        <v>862</v>
      </c>
      <c r="I95" s="25"/>
      <c r="J95" s="25" t="s">
        <v>863</v>
      </c>
      <c r="K95" s="25"/>
      <c r="L95" s="30" t="s">
        <v>50</v>
      </c>
      <c r="M95" s="25" t="s">
        <v>864</v>
      </c>
      <c r="N95" s="38">
        <v>44579</v>
      </c>
      <c r="O95" s="39">
        <v>254545</v>
      </c>
      <c r="P95" s="25">
        <v>3</v>
      </c>
      <c r="Q95" s="41">
        <f t="shared" si="6"/>
        <v>763635</v>
      </c>
      <c r="R95" s="41">
        <v>275000</v>
      </c>
      <c r="S95" s="41">
        <f t="shared" si="7"/>
        <v>825000</v>
      </c>
    </row>
    <row r="96" spans="1:19">
      <c r="A96" s="17"/>
      <c r="B96" s="18">
        <v>214</v>
      </c>
      <c r="C96" s="25" t="s">
        <v>865</v>
      </c>
      <c r="D96" s="26" t="s">
        <v>857</v>
      </c>
      <c r="E96" s="27" t="s">
        <v>9</v>
      </c>
      <c r="F96" s="28" t="s">
        <v>1692</v>
      </c>
      <c r="G96" s="29" t="s">
        <v>1693</v>
      </c>
      <c r="H96" s="30" t="s">
        <v>866</v>
      </c>
      <c r="I96" s="25"/>
      <c r="J96" s="25" t="s">
        <v>837</v>
      </c>
      <c r="K96" s="25"/>
      <c r="L96" s="30" t="s">
        <v>50</v>
      </c>
      <c r="M96" s="25" t="s">
        <v>867</v>
      </c>
      <c r="N96" s="38">
        <v>44579</v>
      </c>
      <c r="O96" s="39">
        <v>254545</v>
      </c>
      <c r="P96" s="25">
        <v>2</v>
      </c>
      <c r="Q96" s="41">
        <f t="shared" si="6"/>
        <v>509090</v>
      </c>
      <c r="R96" s="41">
        <v>275000</v>
      </c>
      <c r="S96" s="41">
        <f t="shared" si="7"/>
        <v>550000</v>
      </c>
    </row>
    <row r="97" spans="1:19">
      <c r="A97" s="17"/>
      <c r="B97" s="18">
        <v>215</v>
      </c>
      <c r="C97" s="25" t="s">
        <v>868</v>
      </c>
      <c r="D97" s="26" t="s">
        <v>869</v>
      </c>
      <c r="E97" s="27" t="s">
        <v>9</v>
      </c>
      <c r="F97" s="28" t="s">
        <v>1692</v>
      </c>
      <c r="G97" s="29" t="s">
        <v>1693</v>
      </c>
      <c r="H97" s="30" t="s">
        <v>870</v>
      </c>
      <c r="I97" s="25"/>
      <c r="J97" s="25" t="s">
        <v>871</v>
      </c>
      <c r="K97" s="25"/>
      <c r="L97" s="30" t="s">
        <v>50</v>
      </c>
      <c r="M97" s="25" t="s">
        <v>872</v>
      </c>
      <c r="N97" s="38">
        <v>44579</v>
      </c>
      <c r="O97" s="39">
        <v>254545</v>
      </c>
      <c r="P97" s="25">
        <v>1</v>
      </c>
      <c r="Q97" s="41">
        <f t="shared" si="6"/>
        <v>254545</v>
      </c>
      <c r="R97" s="41">
        <v>275000</v>
      </c>
      <c r="S97" s="41">
        <f t="shared" si="7"/>
        <v>275000</v>
      </c>
    </row>
    <row r="98" spans="1:19">
      <c r="A98" s="17"/>
      <c r="B98" s="18">
        <v>216</v>
      </c>
      <c r="C98" s="25" t="s">
        <v>873</v>
      </c>
      <c r="D98" s="26" t="s">
        <v>874</v>
      </c>
      <c r="E98" s="27" t="s">
        <v>9</v>
      </c>
      <c r="F98" s="28" t="s">
        <v>1692</v>
      </c>
      <c r="G98" s="29" t="s">
        <v>1693</v>
      </c>
      <c r="H98" s="30" t="s">
        <v>875</v>
      </c>
      <c r="I98" s="25"/>
      <c r="J98" s="25" t="s">
        <v>876</v>
      </c>
      <c r="K98" s="25"/>
      <c r="L98" s="30" t="s">
        <v>50</v>
      </c>
      <c r="M98" s="25" t="s">
        <v>877</v>
      </c>
      <c r="N98" s="38">
        <v>44580</v>
      </c>
      <c r="O98" s="39">
        <v>254545</v>
      </c>
      <c r="P98" s="25">
        <v>140</v>
      </c>
      <c r="Q98" s="41">
        <f t="shared" si="6"/>
        <v>35636300</v>
      </c>
      <c r="R98" s="41">
        <v>275000</v>
      </c>
      <c r="S98" s="41">
        <f t="shared" si="7"/>
        <v>38500000</v>
      </c>
    </row>
    <row r="99" spans="1:19">
      <c r="A99" s="17"/>
      <c r="B99" s="18">
        <v>217</v>
      </c>
      <c r="C99" s="25" t="s">
        <v>878</v>
      </c>
      <c r="D99" s="26" t="s">
        <v>879</v>
      </c>
      <c r="E99" s="27" t="s">
        <v>11</v>
      </c>
      <c r="F99" s="28" t="s">
        <v>1696</v>
      </c>
      <c r="G99" s="31" t="s">
        <v>1697</v>
      </c>
      <c r="H99" s="30" t="s">
        <v>880</v>
      </c>
      <c r="I99" s="25"/>
      <c r="J99" s="25" t="s">
        <v>881</v>
      </c>
      <c r="K99" s="25"/>
      <c r="L99" s="30" t="s">
        <v>882</v>
      </c>
      <c r="M99" s="25" t="s">
        <v>883</v>
      </c>
      <c r="N99" s="38">
        <v>44585</v>
      </c>
      <c r="O99" s="39">
        <v>213150</v>
      </c>
      <c r="P99" s="25">
        <v>6</v>
      </c>
      <c r="Q99" s="41">
        <f t="shared" si="6"/>
        <v>1278900</v>
      </c>
      <c r="R99" s="41">
        <v>232527</v>
      </c>
      <c r="S99" s="41">
        <f t="shared" si="7"/>
        <v>1395162</v>
      </c>
    </row>
    <row r="100" spans="1:19">
      <c r="A100" s="17"/>
      <c r="B100" s="18">
        <v>218</v>
      </c>
      <c r="C100" s="25" t="s">
        <v>884</v>
      </c>
      <c r="D100" s="26" t="s">
        <v>885</v>
      </c>
      <c r="E100" s="27" t="s">
        <v>11</v>
      </c>
      <c r="F100" s="28" t="s">
        <v>1696</v>
      </c>
      <c r="G100" s="31" t="s">
        <v>1697</v>
      </c>
      <c r="H100" s="30" t="s">
        <v>880</v>
      </c>
      <c r="I100" s="25"/>
      <c r="J100" s="25" t="s">
        <v>881</v>
      </c>
      <c r="K100" s="25"/>
      <c r="L100" s="30" t="s">
        <v>886</v>
      </c>
      <c r="M100" s="25" t="s">
        <v>887</v>
      </c>
      <c r="N100" s="38">
        <v>44585</v>
      </c>
      <c r="O100" s="39">
        <v>184875</v>
      </c>
      <c r="P100" s="25">
        <v>6</v>
      </c>
      <c r="Q100" s="41">
        <f t="shared" si="6"/>
        <v>1109250</v>
      </c>
      <c r="R100" s="41">
        <v>201682</v>
      </c>
      <c r="S100" s="41">
        <f t="shared" si="7"/>
        <v>1210092</v>
      </c>
    </row>
    <row r="101" spans="1:19">
      <c r="A101" s="17"/>
      <c r="B101" s="18">
        <v>219</v>
      </c>
      <c r="C101" s="25" t="s">
        <v>888</v>
      </c>
      <c r="D101" s="26" t="s">
        <v>889</v>
      </c>
      <c r="E101" s="27" t="s">
        <v>19</v>
      </c>
      <c r="F101" s="28" t="s">
        <v>1704</v>
      </c>
      <c r="G101" s="31" t="s">
        <v>1705</v>
      </c>
      <c r="H101" s="30" t="s">
        <v>462</v>
      </c>
      <c r="I101" s="25"/>
      <c r="J101" s="25" t="s">
        <v>890</v>
      </c>
      <c r="K101" s="25"/>
      <c r="L101" s="30" t="s">
        <v>85</v>
      </c>
      <c r="M101" s="25" t="s">
        <v>891</v>
      </c>
      <c r="N101" s="38">
        <v>44586</v>
      </c>
      <c r="O101" s="39">
        <v>222727</v>
      </c>
      <c r="P101" s="25">
        <v>1</v>
      </c>
      <c r="Q101" s="41">
        <f t="shared" si="6"/>
        <v>222727</v>
      </c>
      <c r="R101" s="41">
        <v>279090.90999999997</v>
      </c>
      <c r="S101" s="41">
        <f t="shared" si="7"/>
        <v>279090.90999999997</v>
      </c>
    </row>
    <row r="102" spans="1:19">
      <c r="A102" s="17"/>
      <c r="B102" s="18">
        <v>220</v>
      </c>
      <c r="C102" s="25" t="s">
        <v>892</v>
      </c>
      <c r="D102" s="26" t="s">
        <v>893</v>
      </c>
      <c r="E102" s="27" t="s">
        <v>9</v>
      </c>
      <c r="F102" s="28" t="s">
        <v>1692</v>
      </c>
      <c r="G102" s="29" t="s">
        <v>1693</v>
      </c>
      <c r="H102" s="30" t="s">
        <v>894</v>
      </c>
      <c r="I102" s="25"/>
      <c r="J102" s="25" t="s">
        <v>895</v>
      </c>
      <c r="K102" s="25"/>
      <c r="L102" s="30" t="s">
        <v>50</v>
      </c>
      <c r="M102" s="25" t="s">
        <v>896</v>
      </c>
      <c r="N102" s="38">
        <v>44579</v>
      </c>
      <c r="O102" s="39">
        <v>254545</v>
      </c>
      <c r="P102" s="25">
        <v>7</v>
      </c>
      <c r="Q102" s="41">
        <f t="shared" si="6"/>
        <v>1781815</v>
      </c>
      <c r="R102" s="41">
        <v>275000</v>
      </c>
      <c r="S102" s="41">
        <f t="shared" si="7"/>
        <v>1925000</v>
      </c>
    </row>
    <row r="103" spans="1:19">
      <c r="A103" s="17"/>
      <c r="B103" s="18">
        <v>222</v>
      </c>
      <c r="C103" s="25" t="s">
        <v>900</v>
      </c>
      <c r="D103" s="26" t="s">
        <v>901</v>
      </c>
      <c r="E103" s="27" t="s">
        <v>9</v>
      </c>
      <c r="F103" s="28" t="s">
        <v>1692</v>
      </c>
      <c r="G103" s="29" t="s">
        <v>1693</v>
      </c>
      <c r="H103" s="27" t="s">
        <v>902</v>
      </c>
      <c r="I103" s="25"/>
      <c r="J103" s="25" t="s">
        <v>903</v>
      </c>
      <c r="K103" s="25"/>
      <c r="L103" s="30" t="s">
        <v>50</v>
      </c>
      <c r="M103" s="25" t="s">
        <v>904</v>
      </c>
      <c r="N103" s="38">
        <v>44588</v>
      </c>
      <c r="O103" s="39">
        <v>254545</v>
      </c>
      <c r="P103" s="25">
        <v>1</v>
      </c>
      <c r="Q103" s="41">
        <f t="shared" si="6"/>
        <v>254545</v>
      </c>
      <c r="R103" s="41">
        <v>275000</v>
      </c>
      <c r="S103" s="41">
        <f t="shared" si="7"/>
        <v>275000</v>
      </c>
    </row>
    <row r="104" spans="1:19">
      <c r="A104" s="17"/>
      <c r="B104" s="18">
        <v>223</v>
      </c>
      <c r="C104" s="25" t="s">
        <v>905</v>
      </c>
      <c r="D104" s="26" t="s">
        <v>901</v>
      </c>
      <c r="E104" s="27" t="s">
        <v>9</v>
      </c>
      <c r="F104" s="28" t="s">
        <v>1692</v>
      </c>
      <c r="G104" s="29" t="s">
        <v>1693</v>
      </c>
      <c r="H104" s="27" t="s">
        <v>906</v>
      </c>
      <c r="I104" s="25"/>
      <c r="J104" s="25" t="s">
        <v>903</v>
      </c>
      <c r="K104" s="25"/>
      <c r="L104" s="30" t="s">
        <v>50</v>
      </c>
      <c r="M104" s="25" t="s">
        <v>907</v>
      </c>
      <c r="N104" s="38">
        <v>44588</v>
      </c>
      <c r="O104" s="39">
        <v>254545</v>
      </c>
      <c r="P104" s="25">
        <v>3</v>
      </c>
      <c r="Q104" s="41">
        <f t="shared" si="6"/>
        <v>763635</v>
      </c>
      <c r="R104" s="41">
        <v>275000</v>
      </c>
      <c r="S104" s="41">
        <f t="shared" si="7"/>
        <v>825000</v>
      </c>
    </row>
    <row r="105" spans="1:19">
      <c r="A105" s="17"/>
      <c r="B105" s="18">
        <v>224</v>
      </c>
      <c r="C105" s="25" t="s">
        <v>908</v>
      </c>
      <c r="D105" s="26" t="s">
        <v>909</v>
      </c>
      <c r="E105" s="27" t="s">
        <v>10</v>
      </c>
      <c r="F105" s="28" t="s">
        <v>1702</v>
      </c>
      <c r="G105" s="31" t="s">
        <v>1703</v>
      </c>
      <c r="H105" s="30" t="s">
        <v>814</v>
      </c>
      <c r="I105" s="25" t="s">
        <v>910</v>
      </c>
      <c r="J105" s="25" t="s">
        <v>2</v>
      </c>
      <c r="K105" s="25"/>
      <c r="L105" s="30" t="s">
        <v>816</v>
      </c>
      <c r="M105" s="25" t="s">
        <v>817</v>
      </c>
      <c r="N105" s="38">
        <v>44588</v>
      </c>
      <c r="O105" s="39">
        <v>22727</v>
      </c>
      <c r="P105" s="25">
        <v>150</v>
      </c>
      <c r="Q105" s="41">
        <f t="shared" si="6"/>
        <v>3409050</v>
      </c>
      <c r="R105" s="41">
        <v>29090.91</v>
      </c>
      <c r="S105" s="41">
        <f t="shared" si="7"/>
        <v>4363636.5</v>
      </c>
    </row>
    <row r="106" spans="1:19">
      <c r="A106" s="17"/>
      <c r="B106" s="18">
        <v>225</v>
      </c>
      <c r="C106" s="25" t="s">
        <v>911</v>
      </c>
      <c r="D106" s="26" t="s">
        <v>912</v>
      </c>
      <c r="E106" s="27" t="s">
        <v>11</v>
      </c>
      <c r="F106" s="28" t="s">
        <v>1696</v>
      </c>
      <c r="G106" s="31" t="s">
        <v>1697</v>
      </c>
      <c r="H106" s="30" t="s">
        <v>733</v>
      </c>
      <c r="I106" s="25"/>
      <c r="J106" s="25" t="s">
        <v>913</v>
      </c>
      <c r="K106" s="25"/>
      <c r="L106" s="30" t="s">
        <v>85</v>
      </c>
      <c r="M106" s="25" t="s">
        <v>914</v>
      </c>
      <c r="N106" s="38">
        <v>44588</v>
      </c>
      <c r="O106" s="39">
        <v>222727</v>
      </c>
      <c r="P106" s="25">
        <v>15</v>
      </c>
      <c r="Q106" s="41">
        <f t="shared" si="6"/>
        <v>3340905</v>
      </c>
      <c r="R106" s="41">
        <v>297091</v>
      </c>
      <c r="S106" s="41">
        <f t="shared" si="7"/>
        <v>4456365</v>
      </c>
    </row>
    <row r="107" spans="1:19">
      <c r="A107" s="17"/>
      <c r="B107" s="18">
        <v>226</v>
      </c>
      <c r="C107" s="19" t="s">
        <v>915</v>
      </c>
      <c r="D107" s="20" t="s">
        <v>916</v>
      </c>
      <c r="E107" s="21" t="s">
        <v>9</v>
      </c>
      <c r="F107" s="22" t="s">
        <v>1692</v>
      </c>
      <c r="G107" s="23" t="s">
        <v>1693</v>
      </c>
      <c r="H107" s="24" t="s">
        <v>917</v>
      </c>
      <c r="I107" s="19"/>
      <c r="J107" s="19" t="s">
        <v>918</v>
      </c>
      <c r="K107" s="19"/>
      <c r="L107" s="24" t="s">
        <v>50</v>
      </c>
      <c r="M107" s="19" t="s">
        <v>919</v>
      </c>
      <c r="N107" s="36">
        <v>44594</v>
      </c>
      <c r="O107" s="37">
        <v>254545</v>
      </c>
      <c r="P107" s="19">
        <v>1</v>
      </c>
      <c r="Q107" s="40">
        <f t="shared" si="6"/>
        <v>254545</v>
      </c>
      <c r="R107" s="40">
        <v>275000</v>
      </c>
      <c r="S107" s="40">
        <f t="shared" si="7"/>
        <v>275000</v>
      </c>
    </row>
    <row r="108" spans="1:19">
      <c r="A108" s="17"/>
      <c r="B108" s="18">
        <v>227</v>
      </c>
      <c r="C108" s="19" t="s">
        <v>920</v>
      </c>
      <c r="D108" s="20" t="s">
        <v>916</v>
      </c>
      <c r="E108" s="21" t="s">
        <v>9</v>
      </c>
      <c r="F108" s="22" t="s">
        <v>1692</v>
      </c>
      <c r="G108" s="23" t="s">
        <v>1693</v>
      </c>
      <c r="H108" s="24" t="s">
        <v>921</v>
      </c>
      <c r="I108" s="19"/>
      <c r="J108" s="19" t="s">
        <v>922</v>
      </c>
      <c r="K108" s="19"/>
      <c r="L108" s="24" t="s">
        <v>50</v>
      </c>
      <c r="M108" s="19" t="s">
        <v>923</v>
      </c>
      <c r="N108" s="36">
        <v>44594</v>
      </c>
      <c r="O108" s="37">
        <v>254545</v>
      </c>
      <c r="P108" s="19">
        <v>1</v>
      </c>
      <c r="Q108" s="40">
        <f t="shared" si="6"/>
        <v>254545</v>
      </c>
      <c r="R108" s="40">
        <v>275000</v>
      </c>
      <c r="S108" s="40">
        <f t="shared" si="7"/>
        <v>275000</v>
      </c>
    </row>
    <row r="109" spans="1:19">
      <c r="A109" s="17"/>
      <c r="B109" s="18">
        <v>228</v>
      </c>
      <c r="C109" s="19" t="s">
        <v>924</v>
      </c>
      <c r="D109" s="20" t="s">
        <v>916</v>
      </c>
      <c r="E109" s="21" t="s">
        <v>9</v>
      </c>
      <c r="F109" s="22" t="s">
        <v>1692</v>
      </c>
      <c r="G109" s="23" t="s">
        <v>1693</v>
      </c>
      <c r="H109" s="24" t="s">
        <v>925</v>
      </c>
      <c r="I109" s="19"/>
      <c r="J109" s="19" t="s">
        <v>926</v>
      </c>
      <c r="K109" s="19"/>
      <c r="L109" s="24" t="s">
        <v>50</v>
      </c>
      <c r="M109" s="19" t="s">
        <v>927</v>
      </c>
      <c r="N109" s="36">
        <v>44594</v>
      </c>
      <c r="O109" s="37">
        <v>254545</v>
      </c>
      <c r="P109" s="19">
        <v>2</v>
      </c>
      <c r="Q109" s="40">
        <f t="shared" si="6"/>
        <v>509090</v>
      </c>
      <c r="R109" s="40">
        <v>275000</v>
      </c>
      <c r="S109" s="40">
        <f t="shared" si="7"/>
        <v>550000</v>
      </c>
    </row>
    <row r="110" spans="1:19">
      <c r="A110" s="17"/>
      <c r="B110" s="18">
        <v>229</v>
      </c>
      <c r="C110" s="19" t="s">
        <v>928</v>
      </c>
      <c r="D110" s="20" t="s">
        <v>929</v>
      </c>
      <c r="E110" s="21" t="s">
        <v>9</v>
      </c>
      <c r="F110" s="22" t="s">
        <v>1692</v>
      </c>
      <c r="G110" s="23" t="s">
        <v>1693</v>
      </c>
      <c r="H110" s="24" t="s">
        <v>930</v>
      </c>
      <c r="I110" s="19"/>
      <c r="J110" s="19" t="s">
        <v>931</v>
      </c>
      <c r="K110" s="19"/>
      <c r="L110" s="24" t="s">
        <v>50</v>
      </c>
      <c r="M110" s="19" t="s">
        <v>932</v>
      </c>
      <c r="N110" s="36">
        <v>44594</v>
      </c>
      <c r="O110" s="37">
        <v>254545</v>
      </c>
      <c r="P110" s="19">
        <v>3</v>
      </c>
      <c r="Q110" s="40">
        <f t="shared" si="6"/>
        <v>763635</v>
      </c>
      <c r="R110" s="40">
        <v>275000</v>
      </c>
      <c r="S110" s="40">
        <f t="shared" si="7"/>
        <v>825000</v>
      </c>
    </row>
    <row r="111" spans="1:19">
      <c r="A111" s="17"/>
      <c r="B111" s="18">
        <v>230</v>
      </c>
      <c r="C111" s="19" t="s">
        <v>933</v>
      </c>
      <c r="D111" s="20" t="s">
        <v>929</v>
      </c>
      <c r="E111" s="21" t="s">
        <v>9</v>
      </c>
      <c r="F111" s="22" t="s">
        <v>1692</v>
      </c>
      <c r="G111" s="23" t="s">
        <v>1693</v>
      </c>
      <c r="H111" s="24" t="s">
        <v>934</v>
      </c>
      <c r="I111" s="19"/>
      <c r="J111" s="19" t="s">
        <v>931</v>
      </c>
      <c r="K111" s="19"/>
      <c r="L111" s="24" t="s">
        <v>50</v>
      </c>
      <c r="M111" s="19" t="s">
        <v>935</v>
      </c>
      <c r="N111" s="36">
        <v>44594</v>
      </c>
      <c r="O111" s="37">
        <v>254545</v>
      </c>
      <c r="P111" s="19">
        <v>5</v>
      </c>
      <c r="Q111" s="40">
        <f t="shared" si="6"/>
        <v>1272725</v>
      </c>
      <c r="R111" s="40">
        <v>275000</v>
      </c>
      <c r="S111" s="40">
        <f t="shared" si="7"/>
        <v>1375000</v>
      </c>
    </row>
    <row r="112" spans="1:19">
      <c r="A112" s="17"/>
      <c r="B112" s="18">
        <v>234</v>
      </c>
      <c r="C112" s="19" t="s">
        <v>948</v>
      </c>
      <c r="D112" s="20" t="s">
        <v>949</v>
      </c>
      <c r="E112" s="21" t="s">
        <v>9</v>
      </c>
      <c r="F112" s="22" t="s">
        <v>1692</v>
      </c>
      <c r="G112" s="23" t="s">
        <v>1693</v>
      </c>
      <c r="H112" s="24" t="s">
        <v>950</v>
      </c>
      <c r="I112" s="19"/>
      <c r="J112" s="19" t="s">
        <v>951</v>
      </c>
      <c r="K112" s="19"/>
      <c r="L112" s="24" t="s">
        <v>50</v>
      </c>
      <c r="M112" s="19" t="s">
        <v>952</v>
      </c>
      <c r="N112" s="36">
        <v>44601</v>
      </c>
      <c r="O112" s="37">
        <v>254545</v>
      </c>
      <c r="P112" s="19">
        <v>3</v>
      </c>
      <c r="Q112" s="40">
        <f t="shared" si="6"/>
        <v>763635</v>
      </c>
      <c r="R112" s="40">
        <v>275000</v>
      </c>
      <c r="S112" s="40">
        <f t="shared" si="7"/>
        <v>825000</v>
      </c>
    </row>
    <row r="113" spans="1:19">
      <c r="A113" s="17"/>
      <c r="B113" s="18">
        <v>235</v>
      </c>
      <c r="C113" s="19" t="s">
        <v>953</v>
      </c>
      <c r="D113" s="20" t="s">
        <v>949</v>
      </c>
      <c r="E113" s="21" t="s">
        <v>9</v>
      </c>
      <c r="F113" s="22" t="s">
        <v>1692</v>
      </c>
      <c r="G113" s="23" t="s">
        <v>1693</v>
      </c>
      <c r="H113" s="24" t="s">
        <v>684</v>
      </c>
      <c r="I113" s="19"/>
      <c r="J113" s="19" t="s">
        <v>954</v>
      </c>
      <c r="K113" s="19"/>
      <c r="L113" s="24" t="s">
        <v>50</v>
      </c>
      <c r="M113" s="19" t="s">
        <v>955</v>
      </c>
      <c r="N113" s="36">
        <v>44601</v>
      </c>
      <c r="O113" s="37">
        <v>254545</v>
      </c>
      <c r="P113" s="19">
        <v>1</v>
      </c>
      <c r="Q113" s="40">
        <f t="shared" si="6"/>
        <v>254545</v>
      </c>
      <c r="R113" s="40">
        <v>275000</v>
      </c>
      <c r="S113" s="40">
        <f t="shared" si="7"/>
        <v>275000</v>
      </c>
    </row>
    <row r="114" spans="1:19">
      <c r="A114" s="17"/>
      <c r="B114" s="18">
        <v>236</v>
      </c>
      <c r="C114" s="19" t="s">
        <v>956</v>
      </c>
      <c r="D114" s="20" t="s">
        <v>949</v>
      </c>
      <c r="E114" s="21" t="s">
        <v>9</v>
      </c>
      <c r="F114" s="22" t="s">
        <v>1692</v>
      </c>
      <c r="G114" s="23" t="s">
        <v>1693</v>
      </c>
      <c r="H114" s="24" t="s">
        <v>957</v>
      </c>
      <c r="I114" s="19"/>
      <c r="J114" s="19" t="s">
        <v>958</v>
      </c>
      <c r="K114" s="19"/>
      <c r="L114" s="24" t="s">
        <v>50</v>
      </c>
      <c r="M114" s="19" t="s">
        <v>959</v>
      </c>
      <c r="N114" s="36">
        <v>44601</v>
      </c>
      <c r="O114" s="37">
        <v>254545</v>
      </c>
      <c r="P114" s="19">
        <v>9</v>
      </c>
      <c r="Q114" s="40">
        <f t="shared" si="6"/>
        <v>2290905</v>
      </c>
      <c r="R114" s="40">
        <v>275000</v>
      </c>
      <c r="S114" s="40">
        <f t="shared" si="7"/>
        <v>2475000</v>
      </c>
    </row>
    <row r="115" spans="1:19">
      <c r="A115" s="17"/>
      <c r="B115" s="18">
        <v>237</v>
      </c>
      <c r="C115" s="19" t="s">
        <v>960</v>
      </c>
      <c r="D115" s="20" t="s">
        <v>949</v>
      </c>
      <c r="E115" s="21" t="s">
        <v>9</v>
      </c>
      <c r="F115" s="22" t="s">
        <v>1692</v>
      </c>
      <c r="G115" s="23" t="s">
        <v>1693</v>
      </c>
      <c r="H115" s="24" t="s">
        <v>961</v>
      </c>
      <c r="I115" s="19"/>
      <c r="J115" s="19" t="s">
        <v>951</v>
      </c>
      <c r="K115" s="19"/>
      <c r="L115" s="24" t="s">
        <v>50</v>
      </c>
      <c r="M115" s="19" t="s">
        <v>962</v>
      </c>
      <c r="N115" s="36">
        <v>44601</v>
      </c>
      <c r="O115" s="37">
        <v>254545</v>
      </c>
      <c r="P115" s="19">
        <v>2</v>
      </c>
      <c r="Q115" s="40">
        <f t="shared" si="6"/>
        <v>509090</v>
      </c>
      <c r="R115" s="40">
        <v>275000</v>
      </c>
      <c r="S115" s="40">
        <f t="shared" si="7"/>
        <v>550000</v>
      </c>
    </row>
    <row r="116" spans="1:19">
      <c r="A116" s="17"/>
      <c r="B116" s="18">
        <v>239</v>
      </c>
      <c r="C116" s="19" t="s">
        <v>966</v>
      </c>
      <c r="D116" s="20" t="s">
        <v>967</v>
      </c>
      <c r="E116" s="21" t="s">
        <v>11</v>
      </c>
      <c r="F116" s="22" t="s">
        <v>1696</v>
      </c>
      <c r="G116" s="32" t="s">
        <v>1697</v>
      </c>
      <c r="H116" s="24" t="s">
        <v>880</v>
      </c>
      <c r="I116" s="19"/>
      <c r="J116" s="19" t="s">
        <v>968</v>
      </c>
      <c r="K116" s="19"/>
      <c r="L116" s="24" t="s">
        <v>886</v>
      </c>
      <c r="M116" s="19" t="s">
        <v>969</v>
      </c>
      <c r="N116" s="36">
        <v>44607</v>
      </c>
      <c r="O116" s="37">
        <v>184875</v>
      </c>
      <c r="P116" s="19">
        <v>25</v>
      </c>
      <c r="Q116" s="40">
        <f t="shared" si="6"/>
        <v>4621875</v>
      </c>
      <c r="R116" s="40">
        <v>201682</v>
      </c>
      <c r="S116" s="40">
        <f t="shared" si="7"/>
        <v>5042050</v>
      </c>
    </row>
    <row r="117" spans="1:19">
      <c r="A117" s="17"/>
      <c r="B117" s="18">
        <v>240</v>
      </c>
      <c r="C117" s="19" t="s">
        <v>970</v>
      </c>
      <c r="D117" s="20" t="s">
        <v>971</v>
      </c>
      <c r="E117" s="21" t="s">
        <v>10</v>
      </c>
      <c r="F117" s="22" t="s">
        <v>1702</v>
      </c>
      <c r="G117" s="31" t="s">
        <v>1703</v>
      </c>
      <c r="H117" s="24" t="s">
        <v>814</v>
      </c>
      <c r="I117" s="19" t="s">
        <v>972</v>
      </c>
      <c r="J117" s="19" t="s">
        <v>2</v>
      </c>
      <c r="K117" s="19"/>
      <c r="L117" s="24" t="s">
        <v>816</v>
      </c>
      <c r="M117" s="19" t="s">
        <v>973</v>
      </c>
      <c r="N117" s="36">
        <v>44607</v>
      </c>
      <c r="O117" s="37">
        <v>22727</v>
      </c>
      <c r="P117" s="19">
        <v>120</v>
      </c>
      <c r="Q117" s="40">
        <f t="shared" si="6"/>
        <v>2727240</v>
      </c>
      <c r="R117" s="40">
        <v>29090.91</v>
      </c>
      <c r="S117" s="40">
        <f t="shared" si="7"/>
        <v>3490909.2</v>
      </c>
    </row>
    <row r="118" spans="1:19">
      <c r="A118" s="17"/>
      <c r="B118" s="18">
        <v>243</v>
      </c>
      <c r="C118" s="19" t="s">
        <v>977</v>
      </c>
      <c r="D118" s="20" t="s">
        <v>978</v>
      </c>
      <c r="E118" s="21" t="s">
        <v>9</v>
      </c>
      <c r="F118" s="22" t="s">
        <v>1692</v>
      </c>
      <c r="G118" s="23" t="s">
        <v>1693</v>
      </c>
      <c r="H118" s="24" t="s">
        <v>979</v>
      </c>
      <c r="I118" s="19"/>
      <c r="J118" s="19" t="s">
        <v>801</v>
      </c>
      <c r="K118" s="19"/>
      <c r="L118" s="24" t="s">
        <v>50</v>
      </c>
      <c r="M118" s="19" t="s">
        <v>980</v>
      </c>
      <c r="N118" s="36">
        <v>44609</v>
      </c>
      <c r="O118" s="37">
        <v>254545</v>
      </c>
      <c r="P118" s="19">
        <v>1</v>
      </c>
      <c r="Q118" s="40">
        <f t="shared" si="6"/>
        <v>254545</v>
      </c>
      <c r="R118" s="40">
        <v>275000</v>
      </c>
      <c r="S118" s="40">
        <f t="shared" si="7"/>
        <v>275000</v>
      </c>
    </row>
    <row r="119" spans="1:19">
      <c r="A119" s="17"/>
      <c r="B119" s="18">
        <v>244</v>
      </c>
      <c r="C119" s="19" t="s">
        <v>981</v>
      </c>
      <c r="D119" s="20" t="s">
        <v>978</v>
      </c>
      <c r="E119" s="21" t="s">
        <v>9</v>
      </c>
      <c r="F119" s="22" t="s">
        <v>1692</v>
      </c>
      <c r="G119" s="23" t="s">
        <v>1693</v>
      </c>
      <c r="H119" s="24" t="s">
        <v>982</v>
      </c>
      <c r="I119" s="19"/>
      <c r="J119" s="19" t="s">
        <v>983</v>
      </c>
      <c r="K119" s="19"/>
      <c r="L119" s="24" t="s">
        <v>50</v>
      </c>
      <c r="M119" s="19" t="s">
        <v>984</v>
      </c>
      <c r="N119" s="36">
        <v>44609</v>
      </c>
      <c r="O119" s="37">
        <v>254545</v>
      </c>
      <c r="P119" s="19">
        <v>1</v>
      </c>
      <c r="Q119" s="40">
        <f t="shared" si="6"/>
        <v>254545</v>
      </c>
      <c r="R119" s="40">
        <v>275000</v>
      </c>
      <c r="S119" s="40">
        <f t="shared" si="7"/>
        <v>275000</v>
      </c>
    </row>
    <row r="120" spans="1:19">
      <c r="A120" s="17"/>
      <c r="B120" s="18">
        <v>245</v>
      </c>
      <c r="C120" s="19" t="s">
        <v>985</v>
      </c>
      <c r="D120" s="20" t="s">
        <v>978</v>
      </c>
      <c r="E120" s="21" t="s">
        <v>9</v>
      </c>
      <c r="F120" s="22" t="s">
        <v>1692</v>
      </c>
      <c r="G120" s="23" t="s">
        <v>1693</v>
      </c>
      <c r="H120" s="24" t="s">
        <v>986</v>
      </c>
      <c r="I120" s="19"/>
      <c r="J120" s="19" t="s">
        <v>983</v>
      </c>
      <c r="K120" s="19"/>
      <c r="L120" s="24" t="s">
        <v>50</v>
      </c>
      <c r="M120" s="19" t="s">
        <v>987</v>
      </c>
      <c r="N120" s="36">
        <v>44609</v>
      </c>
      <c r="O120" s="37">
        <v>254545</v>
      </c>
      <c r="P120" s="19">
        <v>4</v>
      </c>
      <c r="Q120" s="40">
        <f t="shared" si="6"/>
        <v>1018180</v>
      </c>
      <c r="R120" s="40">
        <v>275000</v>
      </c>
      <c r="S120" s="40">
        <f t="shared" si="7"/>
        <v>1100000</v>
      </c>
    </row>
    <row r="121" spans="1:19">
      <c r="A121" s="17"/>
      <c r="B121" s="18">
        <v>246</v>
      </c>
      <c r="C121" s="19" t="s">
        <v>988</v>
      </c>
      <c r="D121" s="20" t="s">
        <v>989</v>
      </c>
      <c r="E121" s="21" t="s">
        <v>16</v>
      </c>
      <c r="F121" s="22" t="s">
        <v>1706</v>
      </c>
      <c r="G121" s="32" t="s">
        <v>1707</v>
      </c>
      <c r="H121" s="24" t="s">
        <v>165</v>
      </c>
      <c r="I121" s="19"/>
      <c r="J121" s="19" t="s">
        <v>990</v>
      </c>
      <c r="K121" s="19"/>
      <c r="L121" s="24" t="s">
        <v>85</v>
      </c>
      <c r="M121" s="19" t="s">
        <v>991</v>
      </c>
      <c r="N121" s="36">
        <v>44613</v>
      </c>
      <c r="O121" s="37">
        <v>222727</v>
      </c>
      <c r="P121" s="19">
        <v>160</v>
      </c>
      <c r="Q121" s="40">
        <f t="shared" si="6"/>
        <v>35636320</v>
      </c>
      <c r="R121" s="40">
        <v>279090.90999999997</v>
      </c>
      <c r="S121" s="40">
        <f t="shared" si="7"/>
        <v>44654545.599999994</v>
      </c>
    </row>
    <row r="122" spans="1:19">
      <c r="A122" s="17"/>
      <c r="B122" s="18">
        <v>247</v>
      </c>
      <c r="C122" s="19" t="s">
        <v>992</v>
      </c>
      <c r="D122" s="20" t="s">
        <v>978</v>
      </c>
      <c r="E122" s="21" t="s">
        <v>9</v>
      </c>
      <c r="F122" s="22" t="s">
        <v>1692</v>
      </c>
      <c r="G122" s="23" t="s">
        <v>1693</v>
      </c>
      <c r="H122" s="24" t="s">
        <v>445</v>
      </c>
      <c r="I122" s="19"/>
      <c r="J122" s="19" t="s">
        <v>993</v>
      </c>
      <c r="K122" s="19"/>
      <c r="L122" s="24" t="s">
        <v>50</v>
      </c>
      <c r="M122" s="19" t="s">
        <v>994</v>
      </c>
      <c r="N122" s="36">
        <v>44613</v>
      </c>
      <c r="O122" s="37">
        <v>254545</v>
      </c>
      <c r="P122" s="19">
        <v>3</v>
      </c>
      <c r="Q122" s="40">
        <f t="shared" si="6"/>
        <v>763635</v>
      </c>
      <c r="R122" s="40">
        <v>275000</v>
      </c>
      <c r="S122" s="40">
        <f t="shared" si="7"/>
        <v>825000</v>
      </c>
    </row>
    <row r="123" spans="1:19">
      <c r="A123" s="17"/>
      <c r="B123" s="18">
        <v>248</v>
      </c>
      <c r="C123" s="19" t="s">
        <v>995</v>
      </c>
      <c r="D123" s="20" t="s">
        <v>978</v>
      </c>
      <c r="E123" s="21" t="s">
        <v>9</v>
      </c>
      <c r="F123" s="22" t="s">
        <v>1692</v>
      </c>
      <c r="G123" s="23" t="s">
        <v>1693</v>
      </c>
      <c r="H123" s="24" t="s">
        <v>445</v>
      </c>
      <c r="I123" s="19"/>
      <c r="J123" s="19" t="s">
        <v>996</v>
      </c>
      <c r="K123" s="19"/>
      <c r="L123" s="24" t="s">
        <v>50</v>
      </c>
      <c r="M123" s="19" t="s">
        <v>997</v>
      </c>
      <c r="N123" s="36">
        <v>44613</v>
      </c>
      <c r="O123" s="37">
        <v>254545</v>
      </c>
      <c r="P123" s="19">
        <v>3</v>
      </c>
      <c r="Q123" s="40">
        <f t="shared" si="6"/>
        <v>763635</v>
      </c>
      <c r="R123" s="40">
        <v>275000</v>
      </c>
      <c r="S123" s="40">
        <f t="shared" si="7"/>
        <v>825000</v>
      </c>
    </row>
    <row r="124" spans="1:19">
      <c r="A124" s="17"/>
      <c r="B124" s="18">
        <v>249</v>
      </c>
      <c r="C124" s="19" t="s">
        <v>998</v>
      </c>
      <c r="D124" s="20" t="s">
        <v>978</v>
      </c>
      <c r="E124" s="21" t="s">
        <v>9</v>
      </c>
      <c r="F124" s="22" t="s">
        <v>1692</v>
      </c>
      <c r="G124" s="23" t="s">
        <v>1693</v>
      </c>
      <c r="H124" s="24" t="s">
        <v>999</v>
      </c>
      <c r="I124" s="19"/>
      <c r="J124" s="19" t="s">
        <v>1000</v>
      </c>
      <c r="K124" s="19"/>
      <c r="L124" s="24" t="s">
        <v>50</v>
      </c>
      <c r="M124" s="19" t="s">
        <v>1001</v>
      </c>
      <c r="N124" s="36">
        <v>44613</v>
      </c>
      <c r="O124" s="37">
        <v>254545</v>
      </c>
      <c r="P124" s="19">
        <v>2</v>
      </c>
      <c r="Q124" s="40">
        <f t="shared" si="6"/>
        <v>509090</v>
      </c>
      <c r="R124" s="40">
        <v>275000</v>
      </c>
      <c r="S124" s="40">
        <f t="shared" si="7"/>
        <v>550000</v>
      </c>
    </row>
    <row r="125" spans="1:19">
      <c r="A125" s="17"/>
      <c r="B125" s="18">
        <v>250</v>
      </c>
      <c r="C125" s="19" t="s">
        <v>1002</v>
      </c>
      <c r="D125" s="20" t="s">
        <v>978</v>
      </c>
      <c r="E125" s="21" t="s">
        <v>9</v>
      </c>
      <c r="F125" s="22" t="s">
        <v>1692</v>
      </c>
      <c r="G125" s="23" t="s">
        <v>1693</v>
      </c>
      <c r="H125" s="24" t="s">
        <v>1003</v>
      </c>
      <c r="I125" s="19"/>
      <c r="J125" s="19" t="s">
        <v>996</v>
      </c>
      <c r="K125" s="19"/>
      <c r="L125" s="24" t="s">
        <v>50</v>
      </c>
      <c r="M125" s="19" t="s">
        <v>1004</v>
      </c>
      <c r="N125" s="36">
        <v>44613</v>
      </c>
      <c r="O125" s="37">
        <v>254545</v>
      </c>
      <c r="P125" s="19">
        <v>8</v>
      </c>
      <c r="Q125" s="40">
        <f t="shared" si="6"/>
        <v>2036360</v>
      </c>
      <c r="R125" s="40">
        <v>275000</v>
      </c>
      <c r="S125" s="40">
        <f t="shared" si="7"/>
        <v>2200000</v>
      </c>
    </row>
    <row r="126" spans="1:19">
      <c r="A126" s="17"/>
      <c r="B126" s="18">
        <v>251</v>
      </c>
      <c r="C126" s="19" t="s">
        <v>1005</v>
      </c>
      <c r="D126" s="20" t="s">
        <v>978</v>
      </c>
      <c r="E126" s="21" t="s">
        <v>9</v>
      </c>
      <c r="F126" s="22" t="s">
        <v>1692</v>
      </c>
      <c r="G126" s="23" t="s">
        <v>1693</v>
      </c>
      <c r="H126" s="24" t="s">
        <v>1006</v>
      </c>
      <c r="I126" s="19"/>
      <c r="J126" s="19" t="s">
        <v>1000</v>
      </c>
      <c r="K126" s="19"/>
      <c r="L126" s="24" t="s">
        <v>50</v>
      </c>
      <c r="M126" s="19" t="s">
        <v>1007</v>
      </c>
      <c r="N126" s="36">
        <v>44613</v>
      </c>
      <c r="O126" s="37">
        <v>254545</v>
      </c>
      <c r="P126" s="19">
        <v>1</v>
      </c>
      <c r="Q126" s="40">
        <f t="shared" si="6"/>
        <v>254545</v>
      </c>
      <c r="R126" s="40">
        <v>275000</v>
      </c>
      <c r="S126" s="40">
        <f t="shared" si="7"/>
        <v>275000</v>
      </c>
    </row>
    <row r="127" spans="1:19">
      <c r="A127" s="17"/>
      <c r="B127" s="18">
        <v>252</v>
      </c>
      <c r="C127" s="19" t="s">
        <v>1008</v>
      </c>
      <c r="D127" s="20" t="s">
        <v>1009</v>
      </c>
      <c r="E127" s="21" t="s">
        <v>9</v>
      </c>
      <c r="F127" s="22" t="s">
        <v>1692</v>
      </c>
      <c r="G127" s="23" t="s">
        <v>1693</v>
      </c>
      <c r="H127" s="24" t="s">
        <v>925</v>
      </c>
      <c r="I127" s="19"/>
      <c r="J127" s="19" t="s">
        <v>1010</v>
      </c>
      <c r="K127" s="19"/>
      <c r="L127" s="24" t="s">
        <v>50</v>
      </c>
      <c r="M127" s="19" t="s">
        <v>1011</v>
      </c>
      <c r="N127" s="36">
        <v>44617</v>
      </c>
      <c r="O127" s="37">
        <v>254545</v>
      </c>
      <c r="P127" s="19">
        <v>3</v>
      </c>
      <c r="Q127" s="40">
        <f t="shared" si="6"/>
        <v>763635</v>
      </c>
      <c r="R127" s="40">
        <v>275000</v>
      </c>
      <c r="S127" s="40">
        <f t="shared" si="7"/>
        <v>825000</v>
      </c>
    </row>
    <row r="128" spans="1:19">
      <c r="A128" s="17"/>
      <c r="B128" s="18">
        <v>253</v>
      </c>
      <c r="C128" s="19" t="s">
        <v>1012</v>
      </c>
      <c r="D128" s="20" t="s">
        <v>1009</v>
      </c>
      <c r="E128" s="21" t="s">
        <v>9</v>
      </c>
      <c r="F128" s="22" t="s">
        <v>1692</v>
      </c>
      <c r="G128" s="23" t="s">
        <v>1693</v>
      </c>
      <c r="H128" s="24" t="s">
        <v>1013</v>
      </c>
      <c r="I128" s="19"/>
      <c r="J128" s="19" t="s">
        <v>1010</v>
      </c>
      <c r="K128" s="19"/>
      <c r="L128" s="24" t="s">
        <v>50</v>
      </c>
      <c r="M128" s="19" t="s">
        <v>1014</v>
      </c>
      <c r="N128" s="36">
        <v>44617</v>
      </c>
      <c r="O128" s="37">
        <v>254545</v>
      </c>
      <c r="P128" s="19">
        <v>2</v>
      </c>
      <c r="Q128" s="40">
        <f t="shared" si="6"/>
        <v>509090</v>
      </c>
      <c r="R128" s="40">
        <v>275000</v>
      </c>
      <c r="S128" s="40">
        <f t="shared" si="7"/>
        <v>550000</v>
      </c>
    </row>
    <row r="129" spans="1:19">
      <c r="A129" s="17"/>
      <c r="B129" s="18">
        <v>255</v>
      </c>
      <c r="C129" s="25" t="s">
        <v>1019</v>
      </c>
      <c r="D129" s="26" t="s">
        <v>1020</v>
      </c>
      <c r="E129" s="27" t="s">
        <v>9</v>
      </c>
      <c r="F129" s="28" t="s">
        <v>1692</v>
      </c>
      <c r="G129" s="29" t="s">
        <v>1693</v>
      </c>
      <c r="H129" s="30" t="s">
        <v>1021</v>
      </c>
      <c r="I129" s="25"/>
      <c r="J129" s="25" t="s">
        <v>1022</v>
      </c>
      <c r="K129" s="25"/>
      <c r="L129" s="30" t="s">
        <v>50</v>
      </c>
      <c r="M129" s="25" t="s">
        <v>1023</v>
      </c>
      <c r="N129" s="38">
        <v>44628</v>
      </c>
      <c r="O129" s="39">
        <v>254545</v>
      </c>
      <c r="P129" s="25">
        <v>1</v>
      </c>
      <c r="Q129" s="41">
        <f t="shared" si="6"/>
        <v>254545</v>
      </c>
      <c r="R129" s="41">
        <v>275000</v>
      </c>
      <c r="S129" s="41">
        <f t="shared" si="7"/>
        <v>275000</v>
      </c>
    </row>
    <row r="130" spans="1:19">
      <c r="A130" s="17"/>
      <c r="B130" s="18">
        <v>256</v>
      </c>
      <c r="C130" s="25" t="s">
        <v>1024</v>
      </c>
      <c r="D130" s="26" t="s">
        <v>1020</v>
      </c>
      <c r="E130" s="27" t="s">
        <v>9</v>
      </c>
      <c r="F130" s="28" t="s">
        <v>1692</v>
      </c>
      <c r="G130" s="29" t="s">
        <v>1693</v>
      </c>
      <c r="H130" s="30" t="s">
        <v>1025</v>
      </c>
      <c r="I130" s="25"/>
      <c r="J130" s="25" t="s">
        <v>1026</v>
      </c>
      <c r="K130" s="25"/>
      <c r="L130" s="30" t="s">
        <v>50</v>
      </c>
      <c r="M130" s="25" t="s">
        <v>1027</v>
      </c>
      <c r="N130" s="38">
        <v>44628</v>
      </c>
      <c r="O130" s="39">
        <v>254545</v>
      </c>
      <c r="P130" s="25">
        <v>1</v>
      </c>
      <c r="Q130" s="41">
        <f t="shared" si="6"/>
        <v>254545</v>
      </c>
      <c r="R130" s="41">
        <v>275000</v>
      </c>
      <c r="S130" s="41">
        <f t="shared" si="7"/>
        <v>275000</v>
      </c>
    </row>
    <row r="131" spans="1:19">
      <c r="A131" s="17"/>
      <c r="B131" s="18">
        <v>257</v>
      </c>
      <c r="C131" s="25" t="s">
        <v>1028</v>
      </c>
      <c r="D131" s="26" t="s">
        <v>1020</v>
      </c>
      <c r="E131" s="27" t="s">
        <v>9</v>
      </c>
      <c r="F131" s="28" t="s">
        <v>1692</v>
      </c>
      <c r="G131" s="29" t="s">
        <v>1693</v>
      </c>
      <c r="H131" s="30" t="s">
        <v>1029</v>
      </c>
      <c r="I131" s="25"/>
      <c r="J131" s="25" t="s">
        <v>1030</v>
      </c>
      <c r="K131" s="25"/>
      <c r="L131" s="30" t="s">
        <v>50</v>
      </c>
      <c r="M131" s="25" t="s">
        <v>1031</v>
      </c>
      <c r="N131" s="38">
        <v>44628</v>
      </c>
      <c r="O131" s="39">
        <v>254545</v>
      </c>
      <c r="P131" s="25">
        <v>2</v>
      </c>
      <c r="Q131" s="41">
        <f t="shared" si="6"/>
        <v>509090</v>
      </c>
      <c r="R131" s="41">
        <v>275000</v>
      </c>
      <c r="S131" s="41">
        <f t="shared" si="7"/>
        <v>550000</v>
      </c>
    </row>
    <row r="132" spans="1:19">
      <c r="A132" s="17"/>
      <c r="B132" s="18">
        <v>258</v>
      </c>
      <c r="C132" s="25" t="s">
        <v>1032</v>
      </c>
      <c r="D132" s="26" t="s">
        <v>1020</v>
      </c>
      <c r="E132" s="27" t="s">
        <v>9</v>
      </c>
      <c r="F132" s="28" t="s">
        <v>1692</v>
      </c>
      <c r="G132" s="29" t="s">
        <v>1693</v>
      </c>
      <c r="H132" s="30" t="s">
        <v>1033</v>
      </c>
      <c r="I132" s="25"/>
      <c r="J132" s="25" t="s">
        <v>1030</v>
      </c>
      <c r="K132" s="25"/>
      <c r="L132" s="30" t="s">
        <v>50</v>
      </c>
      <c r="M132" s="25" t="s">
        <v>1034</v>
      </c>
      <c r="N132" s="38">
        <v>44628</v>
      </c>
      <c r="O132" s="39">
        <v>254545</v>
      </c>
      <c r="P132" s="25">
        <v>1</v>
      </c>
      <c r="Q132" s="41">
        <f t="shared" si="6"/>
        <v>254545</v>
      </c>
      <c r="R132" s="41">
        <v>275000</v>
      </c>
      <c r="S132" s="41">
        <f t="shared" si="7"/>
        <v>275000</v>
      </c>
    </row>
    <row r="133" spans="1:19">
      <c r="A133" s="17"/>
      <c r="B133" s="18">
        <v>259</v>
      </c>
      <c r="C133" s="25" t="s">
        <v>1035</v>
      </c>
      <c r="D133" s="26" t="s">
        <v>1036</v>
      </c>
      <c r="E133" s="27" t="s">
        <v>11</v>
      </c>
      <c r="F133" s="28" t="s">
        <v>1696</v>
      </c>
      <c r="G133" s="31" t="s">
        <v>1697</v>
      </c>
      <c r="H133" s="30" t="s">
        <v>880</v>
      </c>
      <c r="I133" s="25"/>
      <c r="J133" s="25" t="s">
        <v>1037</v>
      </c>
      <c r="K133" s="25"/>
      <c r="L133" s="30" t="s">
        <v>1038</v>
      </c>
      <c r="M133" s="25" t="s">
        <v>1039</v>
      </c>
      <c r="N133" s="38">
        <v>44629</v>
      </c>
      <c r="O133" s="39">
        <v>184875</v>
      </c>
      <c r="P133" s="25">
        <v>15</v>
      </c>
      <c r="Q133" s="41">
        <f t="shared" si="6"/>
        <v>2773125</v>
      </c>
      <c r="R133" s="41">
        <v>201682</v>
      </c>
      <c r="S133" s="41">
        <f t="shared" si="7"/>
        <v>3025230</v>
      </c>
    </row>
    <row r="134" spans="1:19">
      <c r="A134" s="17"/>
      <c r="B134" s="18">
        <v>260</v>
      </c>
      <c r="C134" s="25" t="s">
        <v>1040</v>
      </c>
      <c r="D134" s="26" t="s">
        <v>1041</v>
      </c>
      <c r="E134" s="27" t="s">
        <v>9</v>
      </c>
      <c r="F134" s="28" t="s">
        <v>1692</v>
      </c>
      <c r="G134" s="29" t="s">
        <v>1693</v>
      </c>
      <c r="H134" s="30" t="s">
        <v>1042</v>
      </c>
      <c r="I134" s="25"/>
      <c r="J134" s="25" t="s">
        <v>1043</v>
      </c>
      <c r="K134" s="25"/>
      <c r="L134" s="30" t="s">
        <v>50</v>
      </c>
      <c r="M134" s="25" t="s">
        <v>1044</v>
      </c>
      <c r="N134" s="38">
        <v>44631</v>
      </c>
      <c r="O134" s="39">
        <v>254545</v>
      </c>
      <c r="P134" s="25">
        <v>1</v>
      </c>
      <c r="Q134" s="41">
        <f t="shared" si="6"/>
        <v>254545</v>
      </c>
      <c r="R134" s="41">
        <v>275000</v>
      </c>
      <c r="S134" s="41">
        <f t="shared" si="7"/>
        <v>275000</v>
      </c>
    </row>
    <row r="135" spans="1:19">
      <c r="A135" s="17"/>
      <c r="B135" s="18">
        <v>261</v>
      </c>
      <c r="C135" s="25" t="s">
        <v>1045</v>
      </c>
      <c r="D135" s="26" t="s">
        <v>1046</v>
      </c>
      <c r="E135" s="27" t="s">
        <v>9</v>
      </c>
      <c r="F135" s="28" t="s">
        <v>1692</v>
      </c>
      <c r="G135" s="29" t="s">
        <v>1693</v>
      </c>
      <c r="H135" s="30" t="s">
        <v>1047</v>
      </c>
      <c r="I135" s="25"/>
      <c r="J135" s="25" t="s">
        <v>1048</v>
      </c>
      <c r="K135" s="25"/>
      <c r="L135" s="30" t="s">
        <v>50</v>
      </c>
      <c r="M135" s="25" t="s">
        <v>1049</v>
      </c>
      <c r="N135" s="38">
        <v>44635</v>
      </c>
      <c r="O135" s="39">
        <v>254545</v>
      </c>
      <c r="P135" s="25">
        <v>1</v>
      </c>
      <c r="Q135" s="41">
        <f t="shared" si="6"/>
        <v>254545</v>
      </c>
      <c r="R135" s="41">
        <v>275000</v>
      </c>
      <c r="S135" s="41">
        <f t="shared" si="7"/>
        <v>275000</v>
      </c>
    </row>
    <row r="136" spans="1:19">
      <c r="A136" s="17"/>
      <c r="B136" s="18">
        <v>262</v>
      </c>
      <c r="C136" s="25" t="s">
        <v>1050</v>
      </c>
      <c r="D136" s="26" t="s">
        <v>1046</v>
      </c>
      <c r="E136" s="27" t="s">
        <v>9</v>
      </c>
      <c r="F136" s="28" t="s">
        <v>1692</v>
      </c>
      <c r="G136" s="29" t="s">
        <v>1693</v>
      </c>
      <c r="H136" s="30" t="s">
        <v>1051</v>
      </c>
      <c r="I136" s="25"/>
      <c r="J136" s="25" t="s">
        <v>1048</v>
      </c>
      <c r="K136" s="25"/>
      <c r="L136" s="30" t="s">
        <v>50</v>
      </c>
      <c r="M136" s="25" t="s">
        <v>1052</v>
      </c>
      <c r="N136" s="38">
        <v>44635</v>
      </c>
      <c r="O136" s="39">
        <v>254545</v>
      </c>
      <c r="P136" s="25">
        <v>1</v>
      </c>
      <c r="Q136" s="41">
        <f t="shared" si="6"/>
        <v>254545</v>
      </c>
      <c r="R136" s="41">
        <v>275000</v>
      </c>
      <c r="S136" s="41">
        <f t="shared" si="7"/>
        <v>275000</v>
      </c>
    </row>
    <row r="137" spans="1:19">
      <c r="A137" s="17"/>
      <c r="B137" s="18">
        <v>263</v>
      </c>
      <c r="C137" s="25" t="s">
        <v>1053</v>
      </c>
      <c r="D137" s="26" t="s">
        <v>1054</v>
      </c>
      <c r="E137" s="27" t="s">
        <v>6</v>
      </c>
      <c r="F137" s="28" t="s">
        <v>1694</v>
      </c>
      <c r="G137" s="31" t="s">
        <v>1695</v>
      </c>
      <c r="H137" s="30" t="s">
        <v>509</v>
      </c>
      <c r="I137" s="25"/>
      <c r="J137" s="25" t="s">
        <v>1055</v>
      </c>
      <c r="K137" s="25"/>
      <c r="L137" s="30" t="s">
        <v>50</v>
      </c>
      <c r="M137" s="25" t="s">
        <v>1056</v>
      </c>
      <c r="N137" s="38">
        <v>44637</v>
      </c>
      <c r="O137" s="39">
        <v>444545</v>
      </c>
      <c r="P137" s="25">
        <v>116</v>
      </c>
      <c r="Q137" s="41">
        <f t="shared" si="6"/>
        <v>51567220</v>
      </c>
      <c r="R137" s="41">
        <v>556363.64</v>
      </c>
      <c r="S137" s="41">
        <f t="shared" si="7"/>
        <v>64538182.240000002</v>
      </c>
    </row>
    <row r="138" spans="1:19">
      <c r="A138" s="17"/>
      <c r="B138" s="18">
        <v>264</v>
      </c>
      <c r="C138" s="25" t="s">
        <v>1057</v>
      </c>
      <c r="D138" s="26" t="s">
        <v>1058</v>
      </c>
      <c r="E138" s="27" t="s">
        <v>9</v>
      </c>
      <c r="F138" s="28" t="s">
        <v>1692</v>
      </c>
      <c r="G138" s="29" t="s">
        <v>1693</v>
      </c>
      <c r="H138" s="30" t="s">
        <v>1059</v>
      </c>
      <c r="I138" s="25"/>
      <c r="J138" s="25" t="s">
        <v>1060</v>
      </c>
      <c r="K138" s="25"/>
      <c r="L138" s="30" t="s">
        <v>50</v>
      </c>
      <c r="M138" s="25" t="s">
        <v>1061</v>
      </c>
      <c r="N138" s="38">
        <v>44641</v>
      </c>
      <c r="O138" s="39">
        <v>254545</v>
      </c>
      <c r="P138" s="25">
        <v>7</v>
      </c>
      <c r="Q138" s="41">
        <f t="shared" si="6"/>
        <v>1781815</v>
      </c>
      <c r="R138" s="41">
        <v>275000</v>
      </c>
      <c r="S138" s="41">
        <f t="shared" si="7"/>
        <v>1925000</v>
      </c>
    </row>
    <row r="139" spans="1:19">
      <c r="A139" s="17"/>
      <c r="B139" s="18">
        <v>265</v>
      </c>
      <c r="C139" s="25" t="s">
        <v>1062</v>
      </c>
      <c r="D139" s="26" t="s">
        <v>1058</v>
      </c>
      <c r="E139" s="27" t="s">
        <v>9</v>
      </c>
      <c r="F139" s="28" t="s">
        <v>1692</v>
      </c>
      <c r="G139" s="29" t="s">
        <v>1693</v>
      </c>
      <c r="H139" s="30" t="s">
        <v>1063</v>
      </c>
      <c r="I139" s="25"/>
      <c r="J139" s="25" t="s">
        <v>1060</v>
      </c>
      <c r="K139" s="25"/>
      <c r="L139" s="30" t="s">
        <v>50</v>
      </c>
      <c r="M139" s="25" t="s">
        <v>1064</v>
      </c>
      <c r="N139" s="38">
        <v>44641</v>
      </c>
      <c r="O139" s="39">
        <v>254545</v>
      </c>
      <c r="P139" s="25">
        <v>2</v>
      </c>
      <c r="Q139" s="41">
        <f t="shared" si="6"/>
        <v>509090</v>
      </c>
      <c r="R139" s="41">
        <v>275000</v>
      </c>
      <c r="S139" s="41">
        <f t="shared" si="7"/>
        <v>550000</v>
      </c>
    </row>
    <row r="140" spans="1:19">
      <c r="A140" s="17"/>
      <c r="B140" s="18">
        <v>266</v>
      </c>
      <c r="C140" s="25" t="s">
        <v>1065</v>
      </c>
      <c r="D140" s="26" t="s">
        <v>1058</v>
      </c>
      <c r="E140" s="27" t="s">
        <v>9</v>
      </c>
      <c r="F140" s="28" t="s">
        <v>1692</v>
      </c>
      <c r="G140" s="29" t="s">
        <v>1693</v>
      </c>
      <c r="H140" s="30" t="s">
        <v>832</v>
      </c>
      <c r="I140" s="25"/>
      <c r="J140" s="25" t="s">
        <v>1060</v>
      </c>
      <c r="K140" s="25"/>
      <c r="L140" s="30" t="s">
        <v>50</v>
      </c>
      <c r="M140" s="25" t="s">
        <v>1066</v>
      </c>
      <c r="N140" s="38">
        <v>44641</v>
      </c>
      <c r="O140" s="39">
        <v>254545</v>
      </c>
      <c r="P140" s="25">
        <v>3</v>
      </c>
      <c r="Q140" s="41">
        <f t="shared" si="6"/>
        <v>763635</v>
      </c>
      <c r="R140" s="41">
        <v>275000</v>
      </c>
      <c r="S140" s="41">
        <f t="shared" si="7"/>
        <v>825000</v>
      </c>
    </row>
    <row r="141" spans="1:19">
      <c r="A141" s="17"/>
      <c r="B141" s="18">
        <v>267</v>
      </c>
      <c r="C141" s="25" t="s">
        <v>1067</v>
      </c>
      <c r="D141" s="26" t="s">
        <v>1068</v>
      </c>
      <c r="E141" s="27" t="s">
        <v>9</v>
      </c>
      <c r="F141" s="28" t="s">
        <v>1692</v>
      </c>
      <c r="G141" s="29" t="s">
        <v>1693</v>
      </c>
      <c r="H141" s="30" t="s">
        <v>1069</v>
      </c>
      <c r="I141" s="25"/>
      <c r="J141" s="25" t="s">
        <v>1070</v>
      </c>
      <c r="K141" s="25"/>
      <c r="L141" s="30" t="s">
        <v>50</v>
      </c>
      <c r="M141" s="25" t="s">
        <v>1071</v>
      </c>
      <c r="N141" s="38">
        <v>44644</v>
      </c>
      <c r="O141" s="39">
        <v>254545</v>
      </c>
      <c r="P141" s="25">
        <v>1</v>
      </c>
      <c r="Q141" s="41">
        <f t="shared" si="6"/>
        <v>254545</v>
      </c>
      <c r="R141" s="41">
        <v>275000</v>
      </c>
      <c r="S141" s="41">
        <f t="shared" si="7"/>
        <v>275000</v>
      </c>
    </row>
    <row r="142" spans="1:19">
      <c r="A142" s="17"/>
      <c r="B142" s="18">
        <v>268</v>
      </c>
      <c r="C142" s="25" t="s">
        <v>1072</v>
      </c>
      <c r="D142" s="26" t="s">
        <v>1068</v>
      </c>
      <c r="E142" s="27" t="s">
        <v>9</v>
      </c>
      <c r="F142" s="28" t="s">
        <v>1692</v>
      </c>
      <c r="G142" s="29" t="s">
        <v>1693</v>
      </c>
      <c r="H142" s="30" t="s">
        <v>1073</v>
      </c>
      <c r="I142" s="25"/>
      <c r="J142" s="25" t="s">
        <v>1070</v>
      </c>
      <c r="K142" s="25"/>
      <c r="L142" s="30" t="s">
        <v>50</v>
      </c>
      <c r="M142" s="25" t="s">
        <v>1074</v>
      </c>
      <c r="N142" s="38">
        <v>44644</v>
      </c>
      <c r="O142" s="39">
        <v>254545</v>
      </c>
      <c r="P142" s="25">
        <v>1</v>
      </c>
      <c r="Q142" s="41">
        <f t="shared" si="6"/>
        <v>254545</v>
      </c>
      <c r="R142" s="41">
        <v>275000</v>
      </c>
      <c r="S142" s="41">
        <f t="shared" si="7"/>
        <v>275000</v>
      </c>
    </row>
    <row r="143" spans="1:19">
      <c r="A143" s="17"/>
      <c r="B143" s="18">
        <v>269</v>
      </c>
      <c r="C143" s="25" t="s">
        <v>1075</v>
      </c>
      <c r="D143" s="26" t="s">
        <v>1068</v>
      </c>
      <c r="E143" s="27" t="s">
        <v>9</v>
      </c>
      <c r="F143" s="28" t="s">
        <v>1692</v>
      </c>
      <c r="G143" s="29" t="s">
        <v>1693</v>
      </c>
      <c r="H143" s="30" t="s">
        <v>206</v>
      </c>
      <c r="I143" s="25"/>
      <c r="J143" s="25" t="s">
        <v>1070</v>
      </c>
      <c r="K143" s="25"/>
      <c r="L143" s="30" t="s">
        <v>50</v>
      </c>
      <c r="M143" s="25" t="s">
        <v>1076</v>
      </c>
      <c r="N143" s="38">
        <v>44644</v>
      </c>
      <c r="O143" s="39">
        <v>254545</v>
      </c>
      <c r="P143" s="25">
        <v>2</v>
      </c>
      <c r="Q143" s="41">
        <f t="shared" si="6"/>
        <v>509090</v>
      </c>
      <c r="R143" s="41">
        <v>275000</v>
      </c>
      <c r="S143" s="41">
        <f t="shared" si="7"/>
        <v>550000</v>
      </c>
    </row>
    <row r="144" spans="1:19">
      <c r="A144" s="17"/>
      <c r="B144" s="18">
        <v>270</v>
      </c>
      <c r="C144" s="25" t="s">
        <v>1077</v>
      </c>
      <c r="D144" s="26" t="s">
        <v>1078</v>
      </c>
      <c r="E144" s="27" t="s">
        <v>9</v>
      </c>
      <c r="F144" s="28" t="s">
        <v>1692</v>
      </c>
      <c r="G144" s="29" t="s">
        <v>1693</v>
      </c>
      <c r="H144" s="30" t="s">
        <v>645</v>
      </c>
      <c r="I144" s="25"/>
      <c r="J144" s="25" t="s">
        <v>1079</v>
      </c>
      <c r="K144" s="25"/>
      <c r="L144" s="30" t="s">
        <v>50</v>
      </c>
      <c r="M144" s="25" t="s">
        <v>1080</v>
      </c>
      <c r="N144" s="38">
        <v>44645</v>
      </c>
      <c r="O144" s="39">
        <v>254545</v>
      </c>
      <c r="P144" s="25">
        <v>2</v>
      </c>
      <c r="Q144" s="41">
        <f t="shared" si="6"/>
        <v>509090</v>
      </c>
      <c r="R144" s="41">
        <v>275000</v>
      </c>
      <c r="S144" s="41">
        <f t="shared" si="7"/>
        <v>550000</v>
      </c>
    </row>
    <row r="145" spans="1:19">
      <c r="A145" s="17"/>
      <c r="B145" s="18">
        <v>271</v>
      </c>
      <c r="C145" s="25" t="s">
        <v>1081</v>
      </c>
      <c r="D145" s="26" t="s">
        <v>1078</v>
      </c>
      <c r="E145" s="27" t="s">
        <v>9</v>
      </c>
      <c r="F145" s="28" t="s">
        <v>1692</v>
      </c>
      <c r="G145" s="29" t="s">
        <v>1693</v>
      </c>
      <c r="H145" s="30" t="s">
        <v>1082</v>
      </c>
      <c r="I145" s="25"/>
      <c r="J145" s="25" t="s">
        <v>1070</v>
      </c>
      <c r="K145" s="25"/>
      <c r="L145" s="30" t="s">
        <v>50</v>
      </c>
      <c r="M145" s="25" t="s">
        <v>1083</v>
      </c>
      <c r="N145" s="38">
        <v>44645</v>
      </c>
      <c r="O145" s="39">
        <v>254545</v>
      </c>
      <c r="P145" s="25">
        <v>3</v>
      </c>
      <c r="Q145" s="41">
        <f t="shared" si="6"/>
        <v>763635</v>
      </c>
      <c r="R145" s="41">
        <v>275000</v>
      </c>
      <c r="S145" s="41">
        <f t="shared" si="7"/>
        <v>825000</v>
      </c>
    </row>
    <row r="146" spans="1:19">
      <c r="A146" s="17"/>
      <c r="B146" s="18">
        <v>272</v>
      </c>
      <c r="C146" s="25" t="s">
        <v>1084</v>
      </c>
      <c r="D146" s="26" t="s">
        <v>1078</v>
      </c>
      <c r="E146" s="27" t="s">
        <v>9</v>
      </c>
      <c r="F146" s="28" t="s">
        <v>1692</v>
      </c>
      <c r="G146" s="29" t="s">
        <v>1693</v>
      </c>
      <c r="H146" s="30" t="s">
        <v>1082</v>
      </c>
      <c r="I146" s="25"/>
      <c r="J146" s="25" t="s">
        <v>1070</v>
      </c>
      <c r="K146" s="25"/>
      <c r="L146" s="30" t="s">
        <v>50</v>
      </c>
      <c r="M146" s="25" t="s">
        <v>1085</v>
      </c>
      <c r="N146" s="38">
        <v>44645</v>
      </c>
      <c r="O146" s="39">
        <v>254545</v>
      </c>
      <c r="P146" s="25">
        <v>1</v>
      </c>
      <c r="Q146" s="41">
        <f t="shared" si="6"/>
        <v>254545</v>
      </c>
      <c r="R146" s="41">
        <v>275000</v>
      </c>
      <c r="S146" s="41">
        <f t="shared" si="7"/>
        <v>275000</v>
      </c>
    </row>
    <row r="147" spans="1:19">
      <c r="A147" s="17"/>
      <c r="B147" s="18">
        <v>273</v>
      </c>
      <c r="C147" s="25" t="s">
        <v>1086</v>
      </c>
      <c r="D147" s="26" t="s">
        <v>1087</v>
      </c>
      <c r="E147" s="27" t="s">
        <v>9</v>
      </c>
      <c r="F147" s="28" t="s">
        <v>1692</v>
      </c>
      <c r="G147" s="29" t="s">
        <v>1693</v>
      </c>
      <c r="H147" s="30" t="s">
        <v>1003</v>
      </c>
      <c r="I147" s="25"/>
      <c r="J147" s="25" t="s">
        <v>1088</v>
      </c>
      <c r="K147" s="25"/>
      <c r="L147" s="30" t="s">
        <v>50</v>
      </c>
      <c r="M147" s="25" t="s">
        <v>1089</v>
      </c>
      <c r="N147" s="38">
        <v>44649</v>
      </c>
      <c r="O147" s="39">
        <v>254545</v>
      </c>
      <c r="P147" s="25">
        <v>5</v>
      </c>
      <c r="Q147" s="41">
        <f t="shared" si="6"/>
        <v>1272725</v>
      </c>
      <c r="R147" s="41">
        <v>275000</v>
      </c>
      <c r="S147" s="41">
        <f t="shared" si="7"/>
        <v>1375000</v>
      </c>
    </row>
    <row r="148" spans="1:19">
      <c r="A148" s="17"/>
      <c r="B148" s="18">
        <v>274</v>
      </c>
      <c r="C148" s="25" t="s">
        <v>1090</v>
      </c>
      <c r="D148" s="26" t="s">
        <v>1087</v>
      </c>
      <c r="E148" s="27" t="s">
        <v>9</v>
      </c>
      <c r="F148" s="28" t="s">
        <v>1692</v>
      </c>
      <c r="G148" s="29" t="s">
        <v>1693</v>
      </c>
      <c r="H148" s="30" t="s">
        <v>1091</v>
      </c>
      <c r="I148" s="25"/>
      <c r="J148" s="25" t="s">
        <v>1088</v>
      </c>
      <c r="K148" s="25"/>
      <c r="L148" s="30" t="s">
        <v>50</v>
      </c>
      <c r="M148" s="25" t="s">
        <v>1092</v>
      </c>
      <c r="N148" s="38">
        <v>44649</v>
      </c>
      <c r="O148" s="39">
        <v>254545</v>
      </c>
      <c r="P148" s="25">
        <v>1</v>
      </c>
      <c r="Q148" s="41">
        <f t="shared" si="6"/>
        <v>254545</v>
      </c>
      <c r="R148" s="41">
        <v>275000</v>
      </c>
      <c r="S148" s="41">
        <f t="shared" si="7"/>
        <v>275000</v>
      </c>
    </row>
    <row r="149" spans="1:19">
      <c r="A149" s="17"/>
      <c r="B149" s="18">
        <v>275</v>
      </c>
      <c r="C149" s="25" t="s">
        <v>1093</v>
      </c>
      <c r="D149" s="26" t="s">
        <v>1087</v>
      </c>
      <c r="E149" s="27" t="s">
        <v>9</v>
      </c>
      <c r="F149" s="28" t="s">
        <v>1692</v>
      </c>
      <c r="G149" s="29" t="s">
        <v>1693</v>
      </c>
      <c r="H149" s="30" t="s">
        <v>1094</v>
      </c>
      <c r="I149" s="25"/>
      <c r="J149" s="25" t="s">
        <v>1088</v>
      </c>
      <c r="K149" s="25"/>
      <c r="L149" s="30" t="s">
        <v>50</v>
      </c>
      <c r="M149" s="25" t="s">
        <v>1095</v>
      </c>
      <c r="N149" s="38">
        <v>44649</v>
      </c>
      <c r="O149" s="39">
        <v>254545</v>
      </c>
      <c r="P149" s="25">
        <v>1</v>
      </c>
      <c r="Q149" s="41">
        <f t="shared" si="6"/>
        <v>254545</v>
      </c>
      <c r="R149" s="41">
        <v>275000</v>
      </c>
      <c r="S149" s="41">
        <f t="shared" si="7"/>
        <v>275000</v>
      </c>
    </row>
    <row r="150" spans="1:19">
      <c r="A150" s="17"/>
      <c r="B150" s="18">
        <v>276</v>
      </c>
      <c r="C150" s="25" t="s">
        <v>1096</v>
      </c>
      <c r="D150" s="26" t="s">
        <v>1087</v>
      </c>
      <c r="E150" s="27" t="s">
        <v>9</v>
      </c>
      <c r="F150" s="28" t="s">
        <v>1692</v>
      </c>
      <c r="G150" s="29" t="s">
        <v>1693</v>
      </c>
      <c r="H150" s="30" t="s">
        <v>1091</v>
      </c>
      <c r="I150" s="25"/>
      <c r="J150" s="25" t="s">
        <v>1088</v>
      </c>
      <c r="K150" s="25"/>
      <c r="L150" s="30" t="s">
        <v>50</v>
      </c>
      <c r="M150" s="25" t="s">
        <v>1097</v>
      </c>
      <c r="N150" s="38">
        <v>44649</v>
      </c>
      <c r="O150" s="39">
        <v>254545</v>
      </c>
      <c r="P150" s="25">
        <v>1</v>
      </c>
      <c r="Q150" s="41">
        <f t="shared" si="6"/>
        <v>254545</v>
      </c>
      <c r="R150" s="41">
        <v>275000</v>
      </c>
      <c r="S150" s="41">
        <f t="shared" si="7"/>
        <v>275000</v>
      </c>
    </row>
    <row r="151" spans="1:19">
      <c r="A151" s="17"/>
      <c r="B151" s="18">
        <v>277</v>
      </c>
      <c r="C151" s="25" t="s">
        <v>1098</v>
      </c>
      <c r="D151" s="26" t="s">
        <v>1087</v>
      </c>
      <c r="E151" s="27" t="s">
        <v>9</v>
      </c>
      <c r="F151" s="28" t="s">
        <v>1692</v>
      </c>
      <c r="G151" s="29" t="s">
        <v>1693</v>
      </c>
      <c r="H151" s="30" t="s">
        <v>1094</v>
      </c>
      <c r="I151" s="25"/>
      <c r="J151" s="25" t="s">
        <v>1088</v>
      </c>
      <c r="K151" s="25"/>
      <c r="L151" s="30" t="s">
        <v>50</v>
      </c>
      <c r="M151" s="25" t="s">
        <v>1099</v>
      </c>
      <c r="N151" s="38">
        <v>44649</v>
      </c>
      <c r="O151" s="39">
        <v>254545</v>
      </c>
      <c r="P151" s="25">
        <v>2</v>
      </c>
      <c r="Q151" s="41">
        <f t="shared" si="6"/>
        <v>509090</v>
      </c>
      <c r="R151" s="41">
        <v>275000</v>
      </c>
      <c r="S151" s="41">
        <f t="shared" si="7"/>
        <v>550000</v>
      </c>
    </row>
    <row r="152" spans="1:19">
      <c r="A152" s="17"/>
      <c r="B152" s="18">
        <v>278</v>
      </c>
      <c r="C152" s="25" t="s">
        <v>1100</v>
      </c>
      <c r="D152" s="26" t="s">
        <v>1087</v>
      </c>
      <c r="E152" s="27" t="s">
        <v>9</v>
      </c>
      <c r="F152" s="28" t="s">
        <v>1692</v>
      </c>
      <c r="G152" s="29" t="s">
        <v>1693</v>
      </c>
      <c r="H152" s="30" t="s">
        <v>1101</v>
      </c>
      <c r="I152" s="25"/>
      <c r="J152" s="25" t="s">
        <v>1088</v>
      </c>
      <c r="K152" s="25"/>
      <c r="L152" s="30" t="s">
        <v>50</v>
      </c>
      <c r="M152" s="25" t="s">
        <v>1102</v>
      </c>
      <c r="N152" s="38">
        <v>44649</v>
      </c>
      <c r="O152" s="39">
        <v>254545</v>
      </c>
      <c r="P152" s="25">
        <v>1</v>
      </c>
      <c r="Q152" s="41">
        <f t="shared" si="6"/>
        <v>254545</v>
      </c>
      <c r="R152" s="41">
        <v>275000</v>
      </c>
      <c r="S152" s="41">
        <f t="shared" si="7"/>
        <v>275000</v>
      </c>
    </row>
    <row r="153" spans="1:19">
      <c r="A153" s="17"/>
      <c r="B153" s="18">
        <v>279</v>
      </c>
      <c r="C153" s="25" t="s">
        <v>1103</v>
      </c>
      <c r="D153" s="26" t="s">
        <v>1087</v>
      </c>
      <c r="E153" s="27" t="s">
        <v>9</v>
      </c>
      <c r="F153" s="28" t="s">
        <v>1692</v>
      </c>
      <c r="G153" s="29" t="s">
        <v>1693</v>
      </c>
      <c r="H153" s="30" t="s">
        <v>1104</v>
      </c>
      <c r="I153" s="25"/>
      <c r="J153" s="25" t="s">
        <v>1088</v>
      </c>
      <c r="K153" s="25"/>
      <c r="L153" s="30" t="s">
        <v>50</v>
      </c>
      <c r="M153" s="25" t="s">
        <v>1105</v>
      </c>
      <c r="N153" s="38">
        <v>44649</v>
      </c>
      <c r="O153" s="39">
        <v>254545</v>
      </c>
      <c r="P153" s="25">
        <v>6</v>
      </c>
      <c r="Q153" s="41">
        <f t="shared" si="6"/>
        <v>1527270</v>
      </c>
      <c r="R153" s="41">
        <v>275000</v>
      </c>
      <c r="S153" s="41">
        <f t="shared" si="7"/>
        <v>1650000</v>
      </c>
    </row>
    <row r="154" spans="1:19">
      <c r="A154" s="17"/>
      <c r="B154" s="18">
        <v>280</v>
      </c>
      <c r="C154" s="25" t="s">
        <v>1106</v>
      </c>
      <c r="D154" s="26" t="s">
        <v>1087</v>
      </c>
      <c r="E154" s="27" t="s">
        <v>9</v>
      </c>
      <c r="F154" s="28" t="s">
        <v>1692</v>
      </c>
      <c r="G154" s="29" t="s">
        <v>1693</v>
      </c>
      <c r="H154" s="30" t="s">
        <v>1107</v>
      </c>
      <c r="I154" s="25"/>
      <c r="J154" s="25" t="s">
        <v>1088</v>
      </c>
      <c r="K154" s="25"/>
      <c r="L154" s="30" t="s">
        <v>50</v>
      </c>
      <c r="M154" s="25" t="s">
        <v>1108</v>
      </c>
      <c r="N154" s="38">
        <v>44649</v>
      </c>
      <c r="O154" s="39">
        <v>254545</v>
      </c>
      <c r="P154" s="25">
        <v>1</v>
      </c>
      <c r="Q154" s="41">
        <f t="shared" si="6"/>
        <v>254545</v>
      </c>
      <c r="R154" s="41">
        <v>275000</v>
      </c>
      <c r="S154" s="41">
        <f t="shared" si="7"/>
        <v>275000</v>
      </c>
    </row>
    <row r="155" spans="1:19">
      <c r="A155" s="17"/>
      <c r="B155" s="18">
        <v>281</v>
      </c>
      <c r="C155" s="25" t="s">
        <v>1109</v>
      </c>
      <c r="D155" s="26" t="s">
        <v>1087</v>
      </c>
      <c r="E155" s="27" t="s">
        <v>9</v>
      </c>
      <c r="F155" s="28" t="s">
        <v>1692</v>
      </c>
      <c r="G155" s="29" t="s">
        <v>1693</v>
      </c>
      <c r="H155" s="30" t="s">
        <v>1110</v>
      </c>
      <c r="I155" s="25"/>
      <c r="J155" s="25" t="s">
        <v>1088</v>
      </c>
      <c r="K155" s="25"/>
      <c r="L155" s="30" t="s">
        <v>50</v>
      </c>
      <c r="M155" s="25" t="s">
        <v>1111</v>
      </c>
      <c r="N155" s="38">
        <v>44649</v>
      </c>
      <c r="O155" s="39">
        <v>254545</v>
      </c>
      <c r="P155" s="25">
        <v>1</v>
      </c>
      <c r="Q155" s="41">
        <f t="shared" si="6"/>
        <v>254545</v>
      </c>
      <c r="R155" s="41">
        <v>275000</v>
      </c>
      <c r="S155" s="41">
        <f t="shared" si="7"/>
        <v>275000</v>
      </c>
    </row>
    <row r="156" spans="1:19">
      <c r="A156" s="17"/>
      <c r="B156" s="18">
        <v>282</v>
      </c>
      <c r="C156" s="25" t="s">
        <v>1112</v>
      </c>
      <c r="D156" s="26" t="s">
        <v>1113</v>
      </c>
      <c r="E156" s="27" t="s">
        <v>9</v>
      </c>
      <c r="F156" s="28" t="s">
        <v>1692</v>
      </c>
      <c r="G156" s="29" t="s">
        <v>1693</v>
      </c>
      <c r="H156" s="30" t="s">
        <v>222</v>
      </c>
      <c r="I156" s="25"/>
      <c r="J156" s="25" t="s">
        <v>1114</v>
      </c>
      <c r="K156" s="25"/>
      <c r="L156" s="30" t="s">
        <v>50</v>
      </c>
      <c r="M156" s="25" t="s">
        <v>1115</v>
      </c>
      <c r="N156" s="38">
        <v>44651</v>
      </c>
      <c r="O156" s="39">
        <v>254545</v>
      </c>
      <c r="P156" s="25">
        <v>1</v>
      </c>
      <c r="Q156" s="41">
        <f t="shared" si="6"/>
        <v>254545</v>
      </c>
      <c r="R156" s="41">
        <v>275000</v>
      </c>
      <c r="S156" s="41">
        <f t="shared" si="7"/>
        <v>275000</v>
      </c>
    </row>
    <row r="157" spans="1:19">
      <c r="A157" s="17"/>
      <c r="B157" s="18">
        <v>283</v>
      </c>
      <c r="C157" s="25" t="s">
        <v>1116</v>
      </c>
      <c r="D157" s="26" t="s">
        <v>1113</v>
      </c>
      <c r="E157" s="27" t="s">
        <v>9</v>
      </c>
      <c r="F157" s="28" t="s">
        <v>1692</v>
      </c>
      <c r="G157" s="29" t="s">
        <v>1693</v>
      </c>
      <c r="H157" s="30" t="s">
        <v>1117</v>
      </c>
      <c r="I157" s="25"/>
      <c r="J157" s="25" t="s">
        <v>1114</v>
      </c>
      <c r="K157" s="25"/>
      <c r="L157" s="30" t="s">
        <v>50</v>
      </c>
      <c r="M157" s="25" t="s">
        <v>1118</v>
      </c>
      <c r="N157" s="38">
        <v>44651</v>
      </c>
      <c r="O157" s="39">
        <v>254545</v>
      </c>
      <c r="P157" s="25">
        <v>2</v>
      </c>
      <c r="Q157" s="41">
        <f t="shared" si="6"/>
        <v>509090</v>
      </c>
      <c r="R157" s="41">
        <v>275000</v>
      </c>
      <c r="S157" s="41">
        <f t="shared" si="7"/>
        <v>550000</v>
      </c>
    </row>
    <row r="158" spans="1:19">
      <c r="A158" s="17"/>
      <c r="B158" s="18">
        <v>284</v>
      </c>
      <c r="C158" s="19" t="s">
        <v>1119</v>
      </c>
      <c r="D158" s="20" t="s">
        <v>1120</v>
      </c>
      <c r="E158" s="21" t="s">
        <v>9</v>
      </c>
      <c r="F158" s="22" t="s">
        <v>1692</v>
      </c>
      <c r="G158" s="23" t="s">
        <v>1693</v>
      </c>
      <c r="H158" s="24" t="s">
        <v>1121</v>
      </c>
      <c r="I158" s="19"/>
      <c r="J158" s="19" t="s">
        <v>1114</v>
      </c>
      <c r="K158" s="19"/>
      <c r="L158" s="24" t="s">
        <v>50</v>
      </c>
      <c r="M158" s="19" t="s">
        <v>1122</v>
      </c>
      <c r="N158" s="36">
        <v>44652</v>
      </c>
      <c r="O158" s="37">
        <v>254545</v>
      </c>
      <c r="P158" s="19">
        <v>2</v>
      </c>
      <c r="Q158" s="40">
        <f t="shared" si="6"/>
        <v>509090</v>
      </c>
      <c r="R158" s="40">
        <v>275000</v>
      </c>
      <c r="S158" s="40">
        <f t="shared" si="7"/>
        <v>550000</v>
      </c>
    </row>
    <row r="159" spans="1:19">
      <c r="A159" s="17"/>
      <c r="B159" s="18">
        <v>285</v>
      </c>
      <c r="C159" s="19" t="s">
        <v>1123</v>
      </c>
      <c r="D159" s="20" t="s">
        <v>1120</v>
      </c>
      <c r="E159" s="21" t="s">
        <v>9</v>
      </c>
      <c r="F159" s="22" t="s">
        <v>1692</v>
      </c>
      <c r="G159" s="23" t="s">
        <v>1693</v>
      </c>
      <c r="H159" s="24" t="s">
        <v>1124</v>
      </c>
      <c r="I159" s="19"/>
      <c r="J159" s="19" t="s">
        <v>1114</v>
      </c>
      <c r="K159" s="19"/>
      <c r="L159" s="24" t="s">
        <v>50</v>
      </c>
      <c r="M159" s="19" t="s">
        <v>1125</v>
      </c>
      <c r="N159" s="36">
        <v>44652</v>
      </c>
      <c r="O159" s="37">
        <v>254545</v>
      </c>
      <c r="P159" s="19">
        <v>9</v>
      </c>
      <c r="Q159" s="40">
        <f t="shared" si="6"/>
        <v>2290905</v>
      </c>
      <c r="R159" s="40">
        <v>275000</v>
      </c>
      <c r="S159" s="40">
        <f t="shared" si="7"/>
        <v>2475000</v>
      </c>
    </row>
    <row r="160" spans="1:19">
      <c r="A160" s="17"/>
      <c r="B160" s="18">
        <v>286</v>
      </c>
      <c r="C160" s="19" t="s">
        <v>1126</v>
      </c>
      <c r="D160" s="20" t="s">
        <v>1120</v>
      </c>
      <c r="E160" s="21" t="s">
        <v>9</v>
      </c>
      <c r="F160" s="22" t="s">
        <v>1692</v>
      </c>
      <c r="G160" s="23" t="s">
        <v>1693</v>
      </c>
      <c r="H160" s="24" t="s">
        <v>1127</v>
      </c>
      <c r="I160" s="19"/>
      <c r="J160" s="19" t="s">
        <v>1114</v>
      </c>
      <c r="K160" s="19"/>
      <c r="L160" s="24" t="s">
        <v>50</v>
      </c>
      <c r="M160" s="19" t="s">
        <v>1128</v>
      </c>
      <c r="N160" s="36">
        <v>44652</v>
      </c>
      <c r="O160" s="37">
        <v>254545</v>
      </c>
      <c r="P160" s="19">
        <v>3</v>
      </c>
      <c r="Q160" s="40">
        <f t="shared" si="6"/>
        <v>763635</v>
      </c>
      <c r="R160" s="40">
        <v>275000</v>
      </c>
      <c r="S160" s="40">
        <f t="shared" si="7"/>
        <v>825000</v>
      </c>
    </row>
    <row r="161" spans="1:19">
      <c r="A161" s="17"/>
      <c r="B161" s="18">
        <v>287</v>
      </c>
      <c r="C161" s="19" t="s">
        <v>1129</v>
      </c>
      <c r="D161" s="20" t="s">
        <v>1120</v>
      </c>
      <c r="E161" s="21" t="s">
        <v>9</v>
      </c>
      <c r="F161" s="22" t="s">
        <v>1692</v>
      </c>
      <c r="G161" s="23" t="s">
        <v>1693</v>
      </c>
      <c r="H161" s="24" t="s">
        <v>1130</v>
      </c>
      <c r="I161" s="19"/>
      <c r="J161" s="19" t="s">
        <v>1114</v>
      </c>
      <c r="K161" s="19"/>
      <c r="L161" s="24" t="s">
        <v>50</v>
      </c>
      <c r="M161" s="19" t="s">
        <v>1131</v>
      </c>
      <c r="N161" s="36">
        <v>44652</v>
      </c>
      <c r="O161" s="37">
        <v>254545</v>
      </c>
      <c r="P161" s="19">
        <v>2</v>
      </c>
      <c r="Q161" s="40">
        <f t="shared" si="6"/>
        <v>509090</v>
      </c>
      <c r="R161" s="40">
        <v>275000</v>
      </c>
      <c r="S161" s="40">
        <f t="shared" si="7"/>
        <v>550000</v>
      </c>
    </row>
    <row r="162" spans="1:19">
      <c r="A162" s="17"/>
      <c r="B162" s="18">
        <v>288</v>
      </c>
      <c r="C162" s="19" t="s">
        <v>1132</v>
      </c>
      <c r="D162" s="20" t="s">
        <v>1120</v>
      </c>
      <c r="E162" s="21" t="s">
        <v>9</v>
      </c>
      <c r="F162" s="22" t="s">
        <v>1692</v>
      </c>
      <c r="G162" s="23" t="s">
        <v>1693</v>
      </c>
      <c r="H162" s="24" t="s">
        <v>1133</v>
      </c>
      <c r="I162" s="19"/>
      <c r="J162" s="19" t="s">
        <v>1114</v>
      </c>
      <c r="K162" s="19"/>
      <c r="L162" s="24" t="s">
        <v>50</v>
      </c>
      <c r="M162" s="19" t="s">
        <v>1134</v>
      </c>
      <c r="N162" s="36">
        <v>44652</v>
      </c>
      <c r="O162" s="37">
        <v>254545</v>
      </c>
      <c r="P162" s="19">
        <v>4</v>
      </c>
      <c r="Q162" s="40">
        <f t="shared" si="6"/>
        <v>1018180</v>
      </c>
      <c r="R162" s="40">
        <v>275000</v>
      </c>
      <c r="S162" s="40">
        <f t="shared" si="7"/>
        <v>1100000</v>
      </c>
    </row>
    <row r="163" spans="1:19">
      <c r="A163" s="17"/>
      <c r="B163" s="18">
        <v>289</v>
      </c>
      <c r="C163" s="19" t="s">
        <v>1135</v>
      </c>
      <c r="D163" s="20" t="s">
        <v>1120</v>
      </c>
      <c r="E163" s="21" t="s">
        <v>9</v>
      </c>
      <c r="F163" s="22" t="s">
        <v>1692</v>
      </c>
      <c r="G163" s="23" t="s">
        <v>1693</v>
      </c>
      <c r="H163" s="24" t="s">
        <v>1136</v>
      </c>
      <c r="I163" s="19"/>
      <c r="J163" s="19" t="s">
        <v>1114</v>
      </c>
      <c r="K163" s="19"/>
      <c r="L163" s="24" t="s">
        <v>50</v>
      </c>
      <c r="M163" s="19" t="s">
        <v>1137</v>
      </c>
      <c r="N163" s="36">
        <v>44652</v>
      </c>
      <c r="O163" s="37">
        <v>254545</v>
      </c>
      <c r="P163" s="19">
        <v>4</v>
      </c>
      <c r="Q163" s="40">
        <f t="shared" si="6"/>
        <v>1018180</v>
      </c>
      <c r="R163" s="40">
        <v>275000</v>
      </c>
      <c r="S163" s="40">
        <f t="shared" si="7"/>
        <v>1100000</v>
      </c>
    </row>
    <row r="164" spans="1:19">
      <c r="A164" s="17"/>
      <c r="B164" s="18">
        <v>290</v>
      </c>
      <c r="C164" s="19" t="s">
        <v>1138</v>
      </c>
      <c r="D164" s="20" t="s">
        <v>1139</v>
      </c>
      <c r="E164" s="21" t="s">
        <v>9</v>
      </c>
      <c r="F164" s="22" t="s">
        <v>1692</v>
      </c>
      <c r="G164" s="23" t="s">
        <v>1693</v>
      </c>
      <c r="H164" s="24" t="s">
        <v>1140</v>
      </c>
      <c r="I164" s="19"/>
      <c r="J164" s="19" t="s">
        <v>1141</v>
      </c>
      <c r="K164" s="19"/>
      <c r="L164" s="24" t="s">
        <v>50</v>
      </c>
      <c r="M164" s="19" t="s">
        <v>1142</v>
      </c>
      <c r="N164" s="36">
        <v>44657</v>
      </c>
      <c r="O164" s="37">
        <v>254545</v>
      </c>
      <c r="P164" s="19">
        <v>4</v>
      </c>
      <c r="Q164" s="40">
        <f t="shared" si="6"/>
        <v>1018180</v>
      </c>
      <c r="R164" s="40">
        <v>275000</v>
      </c>
      <c r="S164" s="40">
        <f t="shared" si="7"/>
        <v>1100000</v>
      </c>
    </row>
    <row r="165" spans="1:19">
      <c r="A165" s="17"/>
      <c r="B165" s="18">
        <v>291</v>
      </c>
      <c r="C165" s="19" t="s">
        <v>1143</v>
      </c>
      <c r="D165" s="20" t="s">
        <v>1139</v>
      </c>
      <c r="E165" s="21" t="s">
        <v>9</v>
      </c>
      <c r="F165" s="22" t="s">
        <v>1692</v>
      </c>
      <c r="G165" s="23" t="s">
        <v>1693</v>
      </c>
      <c r="H165" s="24" t="s">
        <v>1144</v>
      </c>
      <c r="I165" s="19"/>
      <c r="J165" s="19" t="s">
        <v>1141</v>
      </c>
      <c r="K165" s="19"/>
      <c r="L165" s="24" t="s">
        <v>50</v>
      </c>
      <c r="M165" s="19" t="s">
        <v>1145</v>
      </c>
      <c r="N165" s="36">
        <v>44657</v>
      </c>
      <c r="O165" s="37">
        <v>254545</v>
      </c>
      <c r="P165" s="19">
        <v>2</v>
      </c>
      <c r="Q165" s="40">
        <f t="shared" si="6"/>
        <v>509090</v>
      </c>
      <c r="R165" s="40">
        <v>275000</v>
      </c>
      <c r="S165" s="40">
        <f t="shared" si="7"/>
        <v>550000</v>
      </c>
    </row>
    <row r="166" spans="1:19">
      <c r="A166" s="17"/>
      <c r="B166" s="18">
        <v>292</v>
      </c>
      <c r="C166" s="19" t="s">
        <v>1146</v>
      </c>
      <c r="D166" s="20" t="s">
        <v>1139</v>
      </c>
      <c r="E166" s="21" t="s">
        <v>9</v>
      </c>
      <c r="F166" s="22" t="s">
        <v>1692</v>
      </c>
      <c r="G166" s="23" t="s">
        <v>1693</v>
      </c>
      <c r="H166" s="24" t="s">
        <v>1147</v>
      </c>
      <c r="I166" s="19"/>
      <c r="J166" s="19" t="s">
        <v>1141</v>
      </c>
      <c r="K166" s="19"/>
      <c r="L166" s="24" t="s">
        <v>50</v>
      </c>
      <c r="M166" s="19" t="s">
        <v>1148</v>
      </c>
      <c r="N166" s="36">
        <v>44657</v>
      </c>
      <c r="O166" s="37">
        <v>254545</v>
      </c>
      <c r="P166" s="19">
        <v>12</v>
      </c>
      <c r="Q166" s="40">
        <f t="shared" si="6"/>
        <v>3054540</v>
      </c>
      <c r="R166" s="40">
        <v>275000</v>
      </c>
      <c r="S166" s="40">
        <f t="shared" si="7"/>
        <v>3300000</v>
      </c>
    </row>
    <row r="167" spans="1:19">
      <c r="A167" s="17"/>
      <c r="B167" s="18">
        <v>293</v>
      </c>
      <c r="C167" s="19" t="s">
        <v>1149</v>
      </c>
      <c r="D167" s="20" t="s">
        <v>1139</v>
      </c>
      <c r="E167" s="21" t="s">
        <v>9</v>
      </c>
      <c r="F167" s="22" t="s">
        <v>1692</v>
      </c>
      <c r="G167" s="23" t="s">
        <v>1693</v>
      </c>
      <c r="H167" s="24" t="s">
        <v>1150</v>
      </c>
      <c r="I167" s="19"/>
      <c r="J167" s="19" t="s">
        <v>1141</v>
      </c>
      <c r="K167" s="19"/>
      <c r="L167" s="24" t="s">
        <v>50</v>
      </c>
      <c r="M167" s="19" t="s">
        <v>1151</v>
      </c>
      <c r="N167" s="36">
        <v>44657</v>
      </c>
      <c r="O167" s="37">
        <v>254545</v>
      </c>
      <c r="P167" s="19">
        <v>3</v>
      </c>
      <c r="Q167" s="40">
        <f t="shared" si="6"/>
        <v>763635</v>
      </c>
      <c r="R167" s="40">
        <v>275000</v>
      </c>
      <c r="S167" s="40">
        <f t="shared" si="7"/>
        <v>825000</v>
      </c>
    </row>
    <row r="168" spans="1:19">
      <c r="A168" s="17"/>
      <c r="B168" s="18">
        <v>294</v>
      </c>
      <c r="C168" s="19" t="s">
        <v>1152</v>
      </c>
      <c r="D168" s="20" t="s">
        <v>1139</v>
      </c>
      <c r="E168" s="21" t="s">
        <v>9</v>
      </c>
      <c r="F168" s="22" t="s">
        <v>1692</v>
      </c>
      <c r="G168" s="23" t="s">
        <v>1693</v>
      </c>
      <c r="H168" s="24" t="s">
        <v>1153</v>
      </c>
      <c r="I168" s="19"/>
      <c r="J168" s="19" t="s">
        <v>1141</v>
      </c>
      <c r="K168" s="19"/>
      <c r="L168" s="24" t="s">
        <v>50</v>
      </c>
      <c r="M168" s="19" t="s">
        <v>1154</v>
      </c>
      <c r="N168" s="36">
        <v>44657</v>
      </c>
      <c r="O168" s="37">
        <v>254545</v>
      </c>
      <c r="P168" s="19">
        <v>8</v>
      </c>
      <c r="Q168" s="40">
        <f t="shared" si="6"/>
        <v>2036360</v>
      </c>
      <c r="R168" s="40">
        <v>275000</v>
      </c>
      <c r="S168" s="40">
        <f t="shared" si="7"/>
        <v>2200000</v>
      </c>
    </row>
    <row r="169" spans="1:19">
      <c r="A169" s="17"/>
      <c r="B169" s="18">
        <v>295</v>
      </c>
      <c r="C169" s="19" t="s">
        <v>1155</v>
      </c>
      <c r="D169" s="20" t="s">
        <v>1139</v>
      </c>
      <c r="E169" s="21" t="s">
        <v>9</v>
      </c>
      <c r="F169" s="22" t="s">
        <v>1692</v>
      </c>
      <c r="G169" s="23" t="s">
        <v>1693</v>
      </c>
      <c r="H169" s="24" t="s">
        <v>1156</v>
      </c>
      <c r="I169" s="19"/>
      <c r="J169" s="19" t="s">
        <v>1141</v>
      </c>
      <c r="K169" s="19"/>
      <c r="L169" s="24" t="s">
        <v>50</v>
      </c>
      <c r="M169" s="19" t="s">
        <v>1157</v>
      </c>
      <c r="N169" s="36">
        <v>44657</v>
      </c>
      <c r="O169" s="37">
        <v>254545</v>
      </c>
      <c r="P169" s="19">
        <v>1</v>
      </c>
      <c r="Q169" s="40">
        <f t="shared" si="6"/>
        <v>254545</v>
      </c>
      <c r="R169" s="40">
        <v>275000</v>
      </c>
      <c r="S169" s="40">
        <f t="shared" si="7"/>
        <v>275000</v>
      </c>
    </row>
    <row r="170" spans="1:19">
      <c r="A170" s="17"/>
      <c r="B170" s="18">
        <v>296</v>
      </c>
      <c r="C170" s="19" t="s">
        <v>1158</v>
      </c>
      <c r="D170" s="20" t="s">
        <v>1139</v>
      </c>
      <c r="E170" s="21" t="s">
        <v>9</v>
      </c>
      <c r="F170" s="22" t="s">
        <v>1692</v>
      </c>
      <c r="G170" s="23" t="s">
        <v>1693</v>
      </c>
      <c r="H170" s="24" t="s">
        <v>1159</v>
      </c>
      <c r="I170" s="19"/>
      <c r="J170" s="19" t="s">
        <v>1141</v>
      </c>
      <c r="K170" s="19"/>
      <c r="L170" s="24" t="s">
        <v>50</v>
      </c>
      <c r="M170" s="19" t="s">
        <v>1160</v>
      </c>
      <c r="N170" s="36">
        <v>44657</v>
      </c>
      <c r="O170" s="37">
        <v>254545</v>
      </c>
      <c r="P170" s="19">
        <v>1</v>
      </c>
      <c r="Q170" s="40">
        <f t="shared" si="6"/>
        <v>254545</v>
      </c>
      <c r="R170" s="40">
        <v>275000</v>
      </c>
      <c r="S170" s="40">
        <f t="shared" si="7"/>
        <v>275000</v>
      </c>
    </row>
    <row r="171" spans="1:19">
      <c r="A171" s="17"/>
      <c r="B171" s="18">
        <v>297</v>
      </c>
      <c r="C171" s="19" t="s">
        <v>1161</v>
      </c>
      <c r="D171" s="20" t="s">
        <v>1139</v>
      </c>
      <c r="E171" s="21" t="s">
        <v>9</v>
      </c>
      <c r="F171" s="22" t="s">
        <v>1692</v>
      </c>
      <c r="G171" s="23" t="s">
        <v>1693</v>
      </c>
      <c r="H171" s="24" t="s">
        <v>1162</v>
      </c>
      <c r="I171" s="19"/>
      <c r="J171" s="19" t="s">
        <v>1141</v>
      </c>
      <c r="K171" s="19"/>
      <c r="L171" s="24" t="s">
        <v>50</v>
      </c>
      <c r="M171" s="19" t="s">
        <v>1163</v>
      </c>
      <c r="N171" s="36">
        <v>44657</v>
      </c>
      <c r="O171" s="37">
        <v>254545</v>
      </c>
      <c r="P171" s="19">
        <v>1</v>
      </c>
      <c r="Q171" s="40">
        <f t="shared" si="6"/>
        <v>254545</v>
      </c>
      <c r="R171" s="40">
        <v>275000</v>
      </c>
      <c r="S171" s="40">
        <f t="shared" si="7"/>
        <v>275000</v>
      </c>
    </row>
    <row r="172" spans="1:19">
      <c r="A172" s="17"/>
      <c r="B172" s="18">
        <v>298</v>
      </c>
      <c r="C172" s="19" t="s">
        <v>1164</v>
      </c>
      <c r="D172" s="20" t="s">
        <v>1165</v>
      </c>
      <c r="E172" s="21" t="s">
        <v>11</v>
      </c>
      <c r="F172" s="22" t="s">
        <v>1696</v>
      </c>
      <c r="G172" s="32" t="s">
        <v>1697</v>
      </c>
      <c r="H172" s="24" t="s">
        <v>733</v>
      </c>
      <c r="I172" s="19"/>
      <c r="J172" s="19" t="s">
        <v>1166</v>
      </c>
      <c r="K172" s="19"/>
      <c r="L172" s="24" t="s">
        <v>85</v>
      </c>
      <c r="M172" s="19" t="s">
        <v>1167</v>
      </c>
      <c r="N172" s="36">
        <v>44657</v>
      </c>
      <c r="O172" s="37">
        <v>222727</v>
      </c>
      <c r="P172" s="19">
        <v>5</v>
      </c>
      <c r="Q172" s="40">
        <f t="shared" si="6"/>
        <v>1113635</v>
      </c>
      <c r="R172" s="40">
        <v>279091</v>
      </c>
      <c r="S172" s="40">
        <f t="shared" si="7"/>
        <v>1395455</v>
      </c>
    </row>
    <row r="173" spans="1:19">
      <c r="A173" s="17"/>
      <c r="B173" s="18">
        <v>299</v>
      </c>
      <c r="C173" s="19" t="s">
        <v>1168</v>
      </c>
      <c r="D173" s="20" t="s">
        <v>1169</v>
      </c>
      <c r="E173" s="21" t="s">
        <v>9</v>
      </c>
      <c r="F173" s="22" t="s">
        <v>1692</v>
      </c>
      <c r="G173" s="23" t="s">
        <v>1693</v>
      </c>
      <c r="H173" s="24" t="s">
        <v>1170</v>
      </c>
      <c r="I173" s="19"/>
      <c r="J173" s="19" t="s">
        <v>801</v>
      </c>
      <c r="K173" s="19"/>
      <c r="L173" s="24" t="s">
        <v>50</v>
      </c>
      <c r="M173" s="19" t="s">
        <v>1171</v>
      </c>
      <c r="N173" s="36">
        <v>44659</v>
      </c>
      <c r="O173" s="37">
        <v>254545</v>
      </c>
      <c r="P173" s="19">
        <v>4</v>
      </c>
      <c r="Q173" s="40">
        <f t="shared" si="6"/>
        <v>1018180</v>
      </c>
      <c r="R173" s="40">
        <v>275000</v>
      </c>
      <c r="S173" s="40">
        <f t="shared" si="7"/>
        <v>1100000</v>
      </c>
    </row>
    <row r="174" spans="1:19">
      <c r="A174" s="17"/>
      <c r="B174" s="18">
        <v>300</v>
      </c>
      <c r="C174" s="19" t="s">
        <v>1172</v>
      </c>
      <c r="D174" s="20" t="s">
        <v>1169</v>
      </c>
      <c r="E174" s="21" t="s">
        <v>9</v>
      </c>
      <c r="F174" s="22" t="s">
        <v>1692</v>
      </c>
      <c r="G174" s="23" t="s">
        <v>1693</v>
      </c>
      <c r="H174" s="24" t="s">
        <v>1173</v>
      </c>
      <c r="I174" s="19"/>
      <c r="J174" s="19" t="s">
        <v>801</v>
      </c>
      <c r="K174" s="19"/>
      <c r="L174" s="24" t="s">
        <v>50</v>
      </c>
      <c r="M174" s="19" t="s">
        <v>1174</v>
      </c>
      <c r="N174" s="36">
        <v>44659</v>
      </c>
      <c r="O174" s="37">
        <v>254545</v>
      </c>
      <c r="P174" s="19">
        <v>4</v>
      </c>
      <c r="Q174" s="40">
        <f t="shared" si="6"/>
        <v>1018180</v>
      </c>
      <c r="R174" s="40">
        <v>275000</v>
      </c>
      <c r="S174" s="40">
        <f t="shared" si="7"/>
        <v>1100000</v>
      </c>
    </row>
    <row r="175" spans="1:19">
      <c r="A175" s="17"/>
      <c r="B175" s="18">
        <v>301</v>
      </c>
      <c r="C175" s="19" t="s">
        <v>1175</v>
      </c>
      <c r="D175" s="20" t="s">
        <v>1169</v>
      </c>
      <c r="E175" s="21" t="s">
        <v>9</v>
      </c>
      <c r="F175" s="22" t="s">
        <v>1692</v>
      </c>
      <c r="G175" s="23" t="s">
        <v>1693</v>
      </c>
      <c r="H175" s="24" t="s">
        <v>1176</v>
      </c>
      <c r="I175" s="19"/>
      <c r="J175" s="19" t="s">
        <v>801</v>
      </c>
      <c r="K175" s="19"/>
      <c r="L175" s="24" t="s">
        <v>50</v>
      </c>
      <c r="M175" s="19" t="s">
        <v>1177</v>
      </c>
      <c r="N175" s="36">
        <v>44659</v>
      </c>
      <c r="O175" s="37">
        <v>254545</v>
      </c>
      <c r="P175" s="19">
        <v>8</v>
      </c>
      <c r="Q175" s="40">
        <f t="shared" si="6"/>
        <v>2036360</v>
      </c>
      <c r="R175" s="40">
        <v>275000</v>
      </c>
      <c r="S175" s="40">
        <f t="shared" si="7"/>
        <v>2200000</v>
      </c>
    </row>
    <row r="176" spans="1:19">
      <c r="A176" s="17"/>
      <c r="B176" s="18">
        <v>302</v>
      </c>
      <c r="C176" s="19" t="s">
        <v>1178</v>
      </c>
      <c r="D176" s="20" t="s">
        <v>1169</v>
      </c>
      <c r="E176" s="21" t="s">
        <v>9</v>
      </c>
      <c r="F176" s="22" t="s">
        <v>1692</v>
      </c>
      <c r="G176" s="23" t="s">
        <v>1693</v>
      </c>
      <c r="H176" s="24" t="s">
        <v>1179</v>
      </c>
      <c r="I176" s="19"/>
      <c r="J176" s="19" t="s">
        <v>801</v>
      </c>
      <c r="K176" s="19"/>
      <c r="L176" s="24" t="s">
        <v>50</v>
      </c>
      <c r="M176" s="19" t="s">
        <v>1180</v>
      </c>
      <c r="N176" s="36">
        <v>44659</v>
      </c>
      <c r="O176" s="37">
        <v>254545</v>
      </c>
      <c r="P176" s="19">
        <v>5</v>
      </c>
      <c r="Q176" s="40">
        <f t="shared" si="6"/>
        <v>1272725</v>
      </c>
      <c r="R176" s="40">
        <v>275000</v>
      </c>
      <c r="S176" s="40">
        <f t="shared" si="7"/>
        <v>1375000</v>
      </c>
    </row>
    <row r="177" spans="1:19">
      <c r="A177" s="17"/>
      <c r="B177" s="18">
        <v>303</v>
      </c>
      <c r="C177" s="19" t="s">
        <v>1181</v>
      </c>
      <c r="D177" s="20" t="s">
        <v>1169</v>
      </c>
      <c r="E177" s="21" t="s">
        <v>9</v>
      </c>
      <c r="F177" s="22" t="s">
        <v>1692</v>
      </c>
      <c r="G177" s="23" t="s">
        <v>1693</v>
      </c>
      <c r="H177" s="24" t="s">
        <v>1182</v>
      </c>
      <c r="I177" s="19"/>
      <c r="J177" s="19" t="s">
        <v>801</v>
      </c>
      <c r="K177" s="19"/>
      <c r="L177" s="24" t="s">
        <v>50</v>
      </c>
      <c r="M177" s="19" t="s">
        <v>1183</v>
      </c>
      <c r="N177" s="36">
        <v>44659</v>
      </c>
      <c r="O177" s="37">
        <v>254545</v>
      </c>
      <c r="P177" s="19">
        <v>4</v>
      </c>
      <c r="Q177" s="40">
        <f t="shared" si="6"/>
        <v>1018180</v>
      </c>
      <c r="R177" s="40">
        <v>275000</v>
      </c>
      <c r="S177" s="40">
        <f t="shared" si="7"/>
        <v>1100000</v>
      </c>
    </row>
    <row r="178" spans="1:19">
      <c r="A178" s="17"/>
      <c r="B178" s="18">
        <v>304</v>
      </c>
      <c r="C178" s="19" t="s">
        <v>1184</v>
      </c>
      <c r="D178" s="20" t="s">
        <v>1169</v>
      </c>
      <c r="E178" s="21" t="s">
        <v>9</v>
      </c>
      <c r="F178" s="22" t="s">
        <v>1692</v>
      </c>
      <c r="G178" s="23" t="s">
        <v>1693</v>
      </c>
      <c r="H178" s="24" t="s">
        <v>999</v>
      </c>
      <c r="I178" s="19"/>
      <c r="J178" s="19" t="s">
        <v>801</v>
      </c>
      <c r="K178" s="19"/>
      <c r="L178" s="24" t="s">
        <v>50</v>
      </c>
      <c r="M178" s="19" t="s">
        <v>1185</v>
      </c>
      <c r="N178" s="36">
        <v>44659</v>
      </c>
      <c r="O178" s="37">
        <v>254545</v>
      </c>
      <c r="P178" s="19">
        <v>1</v>
      </c>
      <c r="Q178" s="40">
        <f>O178*P178</f>
        <v>254545</v>
      </c>
      <c r="R178" s="40">
        <v>275000</v>
      </c>
      <c r="S178" s="40">
        <f t="shared" si="7"/>
        <v>275000</v>
      </c>
    </row>
    <row r="179" spans="1:19">
      <c r="A179" s="17"/>
      <c r="B179" s="18">
        <v>305</v>
      </c>
      <c r="C179" s="19" t="s">
        <v>1186</v>
      </c>
      <c r="D179" s="20" t="s">
        <v>1187</v>
      </c>
      <c r="E179" s="21" t="s">
        <v>11</v>
      </c>
      <c r="F179" s="22" t="s">
        <v>1696</v>
      </c>
      <c r="G179" s="32" t="s">
        <v>1697</v>
      </c>
      <c r="H179" s="24" t="s">
        <v>1188</v>
      </c>
      <c r="I179" s="19"/>
      <c r="J179" s="19" t="s">
        <v>801</v>
      </c>
      <c r="K179" s="19"/>
      <c r="L179" s="24" t="s">
        <v>50</v>
      </c>
      <c r="M179" s="19" t="s">
        <v>1189</v>
      </c>
      <c r="N179" s="36">
        <v>44662</v>
      </c>
      <c r="O179" s="37">
        <v>444545</v>
      </c>
      <c r="P179" s="19">
        <v>2</v>
      </c>
      <c r="Q179" s="40">
        <f t="shared" ref="Q179:Q205" si="8">O179*P179</f>
        <v>889090</v>
      </c>
      <c r="R179" s="40">
        <v>556363.63</v>
      </c>
      <c r="S179" s="40">
        <f t="shared" si="7"/>
        <v>1112727.26</v>
      </c>
    </row>
    <row r="180" spans="1:19">
      <c r="A180" s="17"/>
      <c r="B180" s="18">
        <v>306</v>
      </c>
      <c r="C180" s="19" t="s">
        <v>1186</v>
      </c>
      <c r="D180" s="20" t="s">
        <v>1187</v>
      </c>
      <c r="E180" s="21" t="s">
        <v>11</v>
      </c>
      <c r="F180" s="22" t="s">
        <v>1696</v>
      </c>
      <c r="G180" s="32" t="s">
        <v>1697</v>
      </c>
      <c r="H180" s="24" t="s">
        <v>1188</v>
      </c>
      <c r="I180" s="19"/>
      <c r="J180" s="19" t="s">
        <v>1190</v>
      </c>
      <c r="K180" s="19"/>
      <c r="L180" s="24" t="s">
        <v>50</v>
      </c>
      <c r="M180" s="19" t="s">
        <v>1191</v>
      </c>
      <c r="N180" s="36">
        <v>44662</v>
      </c>
      <c r="O180" s="37">
        <v>444545</v>
      </c>
      <c r="P180" s="19">
        <v>5</v>
      </c>
      <c r="Q180" s="40">
        <f t="shared" si="8"/>
        <v>2222725</v>
      </c>
      <c r="R180" s="40">
        <v>556363.63</v>
      </c>
      <c r="S180" s="40">
        <f t="shared" si="7"/>
        <v>2781818.15</v>
      </c>
    </row>
    <row r="181" spans="1:19">
      <c r="A181" s="17"/>
      <c r="B181" s="18">
        <v>307</v>
      </c>
      <c r="C181" s="19" t="s">
        <v>1186</v>
      </c>
      <c r="D181" s="20" t="s">
        <v>1187</v>
      </c>
      <c r="E181" s="21" t="s">
        <v>11</v>
      </c>
      <c r="F181" s="22" t="s">
        <v>1696</v>
      </c>
      <c r="G181" s="32" t="s">
        <v>1697</v>
      </c>
      <c r="H181" s="24" t="s">
        <v>1188</v>
      </c>
      <c r="I181" s="19"/>
      <c r="J181" s="19" t="s">
        <v>1192</v>
      </c>
      <c r="K181" s="19"/>
      <c r="L181" s="24" t="s">
        <v>50</v>
      </c>
      <c r="M181" s="19" t="s">
        <v>1193</v>
      </c>
      <c r="N181" s="36">
        <v>44662</v>
      </c>
      <c r="O181" s="37">
        <v>444545</v>
      </c>
      <c r="P181" s="19">
        <v>5</v>
      </c>
      <c r="Q181" s="40">
        <f t="shared" si="8"/>
        <v>2222725</v>
      </c>
      <c r="R181" s="40">
        <v>556363.63</v>
      </c>
      <c r="S181" s="40">
        <f t="shared" si="7"/>
        <v>2781818.15</v>
      </c>
    </row>
    <row r="182" spans="1:19">
      <c r="A182" s="17"/>
      <c r="B182" s="18">
        <v>308</v>
      </c>
      <c r="C182" s="19" t="s">
        <v>1194</v>
      </c>
      <c r="D182" s="20" t="s">
        <v>1195</v>
      </c>
      <c r="E182" s="21" t="s">
        <v>9</v>
      </c>
      <c r="F182" s="22" t="s">
        <v>1692</v>
      </c>
      <c r="G182" s="23" t="s">
        <v>1693</v>
      </c>
      <c r="H182" s="24" t="s">
        <v>1196</v>
      </c>
      <c r="I182" s="19"/>
      <c r="J182" s="19" t="s">
        <v>1197</v>
      </c>
      <c r="K182" s="19"/>
      <c r="L182" s="24" t="s">
        <v>50</v>
      </c>
      <c r="M182" s="19" t="s">
        <v>1198</v>
      </c>
      <c r="N182" s="36">
        <v>44663</v>
      </c>
      <c r="O182" s="37">
        <v>254545</v>
      </c>
      <c r="P182" s="19">
        <v>1</v>
      </c>
      <c r="Q182" s="40">
        <f t="shared" si="8"/>
        <v>254545</v>
      </c>
      <c r="R182" s="40">
        <v>275000</v>
      </c>
      <c r="S182" s="40">
        <f t="shared" si="7"/>
        <v>275000</v>
      </c>
    </row>
    <row r="183" spans="1:19">
      <c r="A183" s="17"/>
      <c r="B183" s="18">
        <v>309</v>
      </c>
      <c r="C183" s="19" t="s">
        <v>1199</v>
      </c>
      <c r="D183" s="20" t="s">
        <v>1195</v>
      </c>
      <c r="E183" s="21" t="s">
        <v>9</v>
      </c>
      <c r="F183" s="22" t="s">
        <v>1692</v>
      </c>
      <c r="G183" s="23" t="s">
        <v>1693</v>
      </c>
      <c r="H183" s="24" t="s">
        <v>1063</v>
      </c>
      <c r="I183" s="19"/>
      <c r="J183" s="19" t="s">
        <v>1197</v>
      </c>
      <c r="K183" s="19"/>
      <c r="L183" s="24" t="s">
        <v>50</v>
      </c>
      <c r="M183" s="19" t="s">
        <v>1200</v>
      </c>
      <c r="N183" s="36">
        <v>44663</v>
      </c>
      <c r="O183" s="37">
        <v>254545</v>
      </c>
      <c r="P183" s="19">
        <v>1</v>
      </c>
      <c r="Q183" s="40">
        <f t="shared" si="8"/>
        <v>254545</v>
      </c>
      <c r="R183" s="40">
        <v>275000</v>
      </c>
      <c r="S183" s="40">
        <f t="shared" si="7"/>
        <v>275000</v>
      </c>
    </row>
    <row r="184" spans="1:19">
      <c r="A184" s="17"/>
      <c r="B184" s="18">
        <v>310</v>
      </c>
      <c r="C184" s="19" t="s">
        <v>1201</v>
      </c>
      <c r="D184" s="20" t="s">
        <v>1202</v>
      </c>
      <c r="E184" s="21" t="s">
        <v>9</v>
      </c>
      <c r="F184" s="22" t="s">
        <v>1692</v>
      </c>
      <c r="G184" s="23" t="s">
        <v>1693</v>
      </c>
      <c r="H184" s="24" t="s">
        <v>1203</v>
      </c>
      <c r="I184" s="19"/>
      <c r="J184" s="19" t="s">
        <v>1204</v>
      </c>
      <c r="K184" s="19"/>
      <c r="L184" s="24" t="s">
        <v>50</v>
      </c>
      <c r="M184" s="19" t="s">
        <v>1205</v>
      </c>
      <c r="N184" s="36">
        <v>44669</v>
      </c>
      <c r="O184" s="37">
        <v>254545</v>
      </c>
      <c r="P184" s="19">
        <v>1</v>
      </c>
      <c r="Q184" s="40">
        <f t="shared" si="8"/>
        <v>254545</v>
      </c>
      <c r="R184" s="40">
        <v>275000</v>
      </c>
      <c r="S184" s="40">
        <f t="shared" si="7"/>
        <v>275000</v>
      </c>
    </row>
    <row r="185" spans="1:19">
      <c r="A185" s="17"/>
      <c r="B185" s="18">
        <v>311</v>
      </c>
      <c r="C185" s="19" t="s">
        <v>1206</v>
      </c>
      <c r="D185" s="20" t="s">
        <v>1202</v>
      </c>
      <c r="E185" s="21" t="s">
        <v>9</v>
      </c>
      <c r="F185" s="22" t="s">
        <v>1692</v>
      </c>
      <c r="G185" s="23" t="s">
        <v>1693</v>
      </c>
      <c r="H185" s="24" t="s">
        <v>1207</v>
      </c>
      <c r="I185" s="19"/>
      <c r="J185" s="19" t="s">
        <v>1204</v>
      </c>
      <c r="K185" s="19"/>
      <c r="L185" s="24" t="s">
        <v>50</v>
      </c>
      <c r="M185" s="19" t="s">
        <v>1208</v>
      </c>
      <c r="N185" s="36">
        <v>44669</v>
      </c>
      <c r="O185" s="37">
        <v>254545</v>
      </c>
      <c r="P185" s="19">
        <v>9</v>
      </c>
      <c r="Q185" s="40">
        <f t="shared" si="8"/>
        <v>2290905</v>
      </c>
      <c r="R185" s="40">
        <v>275000</v>
      </c>
      <c r="S185" s="40">
        <f t="shared" si="7"/>
        <v>2475000</v>
      </c>
    </row>
    <row r="186" spans="1:19">
      <c r="A186" s="17"/>
      <c r="B186" s="18">
        <v>312</v>
      </c>
      <c r="C186" s="19" t="s">
        <v>1209</v>
      </c>
      <c r="D186" s="20" t="s">
        <v>1202</v>
      </c>
      <c r="E186" s="21" t="s">
        <v>9</v>
      </c>
      <c r="F186" s="22" t="s">
        <v>1692</v>
      </c>
      <c r="G186" s="23" t="s">
        <v>1693</v>
      </c>
      <c r="H186" s="24" t="s">
        <v>1210</v>
      </c>
      <c r="I186" s="19"/>
      <c r="J186" s="19" t="s">
        <v>1204</v>
      </c>
      <c r="K186" s="19"/>
      <c r="L186" s="24" t="s">
        <v>50</v>
      </c>
      <c r="M186" s="19" t="s">
        <v>1211</v>
      </c>
      <c r="N186" s="36">
        <v>44669</v>
      </c>
      <c r="O186" s="37">
        <v>254545</v>
      </c>
      <c r="P186" s="19">
        <v>2</v>
      </c>
      <c r="Q186" s="40">
        <f t="shared" si="8"/>
        <v>509090</v>
      </c>
      <c r="R186" s="40">
        <v>275000</v>
      </c>
      <c r="S186" s="40">
        <f t="shared" si="7"/>
        <v>550000</v>
      </c>
    </row>
    <row r="187" spans="1:19">
      <c r="A187" s="17"/>
      <c r="B187" s="18">
        <v>313</v>
      </c>
      <c r="C187" s="19" t="s">
        <v>1212</v>
      </c>
      <c r="D187" s="20" t="s">
        <v>1213</v>
      </c>
      <c r="E187" s="21" t="s">
        <v>9</v>
      </c>
      <c r="F187" s="22" t="s">
        <v>1692</v>
      </c>
      <c r="G187" s="23" t="s">
        <v>1693</v>
      </c>
      <c r="H187" s="24" t="s">
        <v>1214</v>
      </c>
      <c r="I187" s="19"/>
      <c r="J187" s="19" t="s">
        <v>1215</v>
      </c>
      <c r="K187" s="19"/>
      <c r="L187" s="24" t="s">
        <v>50</v>
      </c>
      <c r="M187" s="19" t="s">
        <v>1216</v>
      </c>
      <c r="N187" s="36">
        <v>44676</v>
      </c>
      <c r="O187" s="37">
        <v>254545</v>
      </c>
      <c r="P187" s="19">
        <v>2</v>
      </c>
      <c r="Q187" s="40">
        <f t="shared" si="8"/>
        <v>509090</v>
      </c>
      <c r="R187" s="40">
        <v>275000</v>
      </c>
      <c r="S187" s="40">
        <f t="shared" si="7"/>
        <v>550000</v>
      </c>
    </row>
    <row r="188" spans="1:19">
      <c r="A188" s="17"/>
      <c r="B188" s="18">
        <v>314</v>
      </c>
      <c r="C188" s="19" t="s">
        <v>1217</v>
      </c>
      <c r="D188" s="20" t="s">
        <v>1213</v>
      </c>
      <c r="E188" s="21" t="s">
        <v>9</v>
      </c>
      <c r="F188" s="22" t="s">
        <v>1692</v>
      </c>
      <c r="G188" s="23" t="s">
        <v>1693</v>
      </c>
      <c r="H188" s="24" t="s">
        <v>1218</v>
      </c>
      <c r="I188" s="19"/>
      <c r="J188" s="19" t="s">
        <v>1215</v>
      </c>
      <c r="K188" s="19"/>
      <c r="L188" s="24" t="s">
        <v>50</v>
      </c>
      <c r="M188" s="19" t="s">
        <v>1219</v>
      </c>
      <c r="N188" s="36">
        <v>44676</v>
      </c>
      <c r="O188" s="37">
        <v>254545</v>
      </c>
      <c r="P188" s="19">
        <v>2</v>
      </c>
      <c r="Q188" s="40">
        <f t="shared" si="8"/>
        <v>509090</v>
      </c>
      <c r="R188" s="40">
        <v>275000</v>
      </c>
      <c r="S188" s="40">
        <f t="shared" si="7"/>
        <v>550000</v>
      </c>
    </row>
    <row r="189" spans="1:19">
      <c r="A189" s="17"/>
      <c r="B189" s="18">
        <v>315</v>
      </c>
      <c r="C189" s="19" t="s">
        <v>1220</v>
      </c>
      <c r="D189" s="20" t="s">
        <v>1213</v>
      </c>
      <c r="E189" s="21" t="s">
        <v>9</v>
      </c>
      <c r="F189" s="22" t="s">
        <v>1692</v>
      </c>
      <c r="G189" s="23" t="s">
        <v>1693</v>
      </c>
      <c r="H189" s="24" t="s">
        <v>445</v>
      </c>
      <c r="I189" s="19"/>
      <c r="J189" s="19" t="s">
        <v>1221</v>
      </c>
      <c r="K189" s="19"/>
      <c r="L189" s="24" t="s">
        <v>50</v>
      </c>
      <c r="M189" s="19" t="s">
        <v>1222</v>
      </c>
      <c r="N189" s="36">
        <v>44676</v>
      </c>
      <c r="O189" s="37">
        <v>254545</v>
      </c>
      <c r="P189" s="19">
        <v>1</v>
      </c>
      <c r="Q189" s="40">
        <f t="shared" si="8"/>
        <v>254545</v>
      </c>
      <c r="R189" s="40">
        <v>275000</v>
      </c>
      <c r="S189" s="40">
        <f t="shared" si="7"/>
        <v>275000</v>
      </c>
    </row>
    <row r="190" spans="1:19">
      <c r="A190" s="17"/>
      <c r="B190" s="18">
        <v>316</v>
      </c>
      <c r="C190" s="25" t="s">
        <v>1223</v>
      </c>
      <c r="D190" s="26" t="s">
        <v>1224</v>
      </c>
      <c r="E190" s="27" t="s">
        <v>9</v>
      </c>
      <c r="F190" s="28" t="s">
        <v>1692</v>
      </c>
      <c r="G190" s="29" t="s">
        <v>1693</v>
      </c>
      <c r="H190" s="30" t="s">
        <v>665</v>
      </c>
      <c r="I190" s="25"/>
      <c r="J190" s="25" t="s">
        <v>1225</v>
      </c>
      <c r="K190" s="25"/>
      <c r="L190" s="30" t="s">
        <v>50</v>
      </c>
      <c r="M190" s="25" t="s">
        <v>1226</v>
      </c>
      <c r="N190" s="38">
        <v>44690</v>
      </c>
      <c r="O190" s="39">
        <v>254545</v>
      </c>
      <c r="P190" s="25">
        <v>2</v>
      </c>
      <c r="Q190" s="41">
        <f t="shared" si="8"/>
        <v>509090</v>
      </c>
      <c r="R190" s="41">
        <v>275000</v>
      </c>
      <c r="S190" s="41">
        <f t="shared" si="7"/>
        <v>550000</v>
      </c>
    </row>
    <row r="191" spans="1:19">
      <c r="A191" s="17"/>
      <c r="B191" s="18">
        <v>317</v>
      </c>
      <c r="C191" s="25" t="s">
        <v>1227</v>
      </c>
      <c r="D191" s="26" t="s">
        <v>1224</v>
      </c>
      <c r="E191" s="27" t="s">
        <v>9</v>
      </c>
      <c r="F191" s="28" t="s">
        <v>1692</v>
      </c>
      <c r="G191" s="29" t="s">
        <v>1693</v>
      </c>
      <c r="H191" s="30" t="s">
        <v>1228</v>
      </c>
      <c r="I191" s="25"/>
      <c r="J191" s="25" t="s">
        <v>1225</v>
      </c>
      <c r="K191" s="25"/>
      <c r="L191" s="30" t="s">
        <v>50</v>
      </c>
      <c r="M191" s="25" t="s">
        <v>1229</v>
      </c>
      <c r="N191" s="38">
        <v>44690</v>
      </c>
      <c r="O191" s="39">
        <v>254545</v>
      </c>
      <c r="P191" s="25">
        <v>3</v>
      </c>
      <c r="Q191" s="41">
        <f t="shared" si="8"/>
        <v>763635</v>
      </c>
      <c r="R191" s="41">
        <v>275000</v>
      </c>
      <c r="S191" s="41">
        <f t="shared" si="7"/>
        <v>825000</v>
      </c>
    </row>
    <row r="192" spans="1:19">
      <c r="A192" s="17"/>
      <c r="B192" s="18">
        <v>318</v>
      </c>
      <c r="C192" s="25" t="s">
        <v>1230</v>
      </c>
      <c r="D192" s="26" t="s">
        <v>1231</v>
      </c>
      <c r="E192" s="27" t="s">
        <v>11</v>
      </c>
      <c r="F192" s="28" t="s">
        <v>1696</v>
      </c>
      <c r="G192" s="31" t="s">
        <v>1697</v>
      </c>
      <c r="H192" s="30" t="s">
        <v>6</v>
      </c>
      <c r="I192" s="25"/>
      <c r="J192" s="25" t="s">
        <v>1232</v>
      </c>
      <c r="K192" s="25"/>
      <c r="L192" s="30" t="s">
        <v>50</v>
      </c>
      <c r="M192" s="25" t="s">
        <v>1233</v>
      </c>
      <c r="N192" s="38">
        <v>44690</v>
      </c>
      <c r="O192" s="39">
        <v>184875</v>
      </c>
      <c r="P192" s="25">
        <v>3</v>
      </c>
      <c r="Q192" s="41">
        <f t="shared" si="8"/>
        <v>554625</v>
      </c>
      <c r="R192" s="41">
        <v>201682</v>
      </c>
      <c r="S192" s="41">
        <f t="shared" si="7"/>
        <v>605046</v>
      </c>
    </row>
    <row r="193" spans="1:19">
      <c r="A193" s="17"/>
      <c r="B193" s="18">
        <v>319</v>
      </c>
      <c r="C193" s="25" t="s">
        <v>1234</v>
      </c>
      <c r="D193" s="26" t="s">
        <v>1235</v>
      </c>
      <c r="E193" s="27" t="s">
        <v>9</v>
      </c>
      <c r="F193" s="28" t="s">
        <v>1692</v>
      </c>
      <c r="G193" s="29" t="s">
        <v>1693</v>
      </c>
      <c r="H193" s="30" t="s">
        <v>1047</v>
      </c>
      <c r="I193" s="25"/>
      <c r="J193" s="25" t="s">
        <v>1236</v>
      </c>
      <c r="K193" s="25"/>
      <c r="L193" s="30" t="s">
        <v>50</v>
      </c>
      <c r="M193" s="25" t="s">
        <v>1237</v>
      </c>
      <c r="N193" s="38">
        <v>44690</v>
      </c>
      <c r="O193" s="39">
        <v>254545</v>
      </c>
      <c r="P193" s="25">
        <v>1</v>
      </c>
      <c r="Q193" s="41">
        <f t="shared" si="8"/>
        <v>254545</v>
      </c>
      <c r="R193" s="41">
        <v>275000</v>
      </c>
      <c r="S193" s="41">
        <f t="shared" si="7"/>
        <v>275000</v>
      </c>
    </row>
    <row r="194" spans="1:19">
      <c r="A194" s="17"/>
      <c r="B194" s="18">
        <v>320</v>
      </c>
      <c r="C194" s="25" t="s">
        <v>1238</v>
      </c>
      <c r="D194" s="26" t="s">
        <v>1235</v>
      </c>
      <c r="E194" s="27" t="s">
        <v>9</v>
      </c>
      <c r="F194" s="28" t="s">
        <v>1692</v>
      </c>
      <c r="G194" s="29" t="s">
        <v>1693</v>
      </c>
      <c r="H194" s="30" t="s">
        <v>1173</v>
      </c>
      <c r="I194" s="25"/>
      <c r="J194" s="25" t="s">
        <v>1236</v>
      </c>
      <c r="K194" s="25"/>
      <c r="L194" s="30" t="s">
        <v>50</v>
      </c>
      <c r="M194" s="25" t="s">
        <v>1239</v>
      </c>
      <c r="N194" s="38">
        <v>44690</v>
      </c>
      <c r="O194" s="39">
        <v>254545</v>
      </c>
      <c r="P194" s="25">
        <v>2</v>
      </c>
      <c r="Q194" s="41">
        <f t="shared" si="8"/>
        <v>509090</v>
      </c>
      <c r="R194" s="41">
        <v>275000</v>
      </c>
      <c r="S194" s="41">
        <f t="shared" si="7"/>
        <v>550000</v>
      </c>
    </row>
    <row r="195" spans="1:19">
      <c r="A195" s="17"/>
      <c r="B195" s="18">
        <v>321</v>
      </c>
      <c r="C195" s="25" t="s">
        <v>1240</v>
      </c>
      <c r="D195" s="26" t="s">
        <v>1241</v>
      </c>
      <c r="E195" s="27" t="s">
        <v>9</v>
      </c>
      <c r="F195" s="28" t="s">
        <v>1692</v>
      </c>
      <c r="G195" s="29" t="s">
        <v>1693</v>
      </c>
      <c r="H195" s="30" t="s">
        <v>1242</v>
      </c>
      <c r="I195" s="25"/>
      <c r="J195" s="25" t="s">
        <v>1243</v>
      </c>
      <c r="K195" s="25"/>
      <c r="L195" s="30" t="s">
        <v>50</v>
      </c>
      <c r="M195" s="25" t="s">
        <v>1244</v>
      </c>
      <c r="N195" s="38">
        <v>44693</v>
      </c>
      <c r="O195" s="39">
        <v>254545</v>
      </c>
      <c r="P195" s="25">
        <v>1</v>
      </c>
      <c r="Q195" s="41">
        <f t="shared" si="8"/>
        <v>254545</v>
      </c>
      <c r="R195" s="41">
        <v>275000</v>
      </c>
      <c r="S195" s="41">
        <f t="shared" si="7"/>
        <v>275000</v>
      </c>
    </row>
    <row r="196" spans="1:19">
      <c r="A196" s="17"/>
      <c r="B196" s="18">
        <v>322</v>
      </c>
      <c r="C196" s="25" t="s">
        <v>1245</v>
      </c>
      <c r="D196" s="26" t="s">
        <v>1241</v>
      </c>
      <c r="E196" s="27" t="s">
        <v>9</v>
      </c>
      <c r="F196" s="28" t="s">
        <v>1692</v>
      </c>
      <c r="G196" s="29" t="s">
        <v>1693</v>
      </c>
      <c r="H196" s="30" t="s">
        <v>1246</v>
      </c>
      <c r="I196" s="25"/>
      <c r="J196" s="25" t="s">
        <v>1247</v>
      </c>
      <c r="K196" s="25"/>
      <c r="L196" s="30" t="s">
        <v>50</v>
      </c>
      <c r="M196" s="25" t="s">
        <v>1248</v>
      </c>
      <c r="N196" s="38">
        <v>44693</v>
      </c>
      <c r="O196" s="39">
        <v>254545</v>
      </c>
      <c r="P196" s="25">
        <v>1</v>
      </c>
      <c r="Q196" s="41">
        <f t="shared" si="8"/>
        <v>254545</v>
      </c>
      <c r="R196" s="41">
        <v>275000</v>
      </c>
      <c r="S196" s="41">
        <f t="shared" si="7"/>
        <v>275000</v>
      </c>
    </row>
    <row r="197" spans="1:19">
      <c r="A197" s="17"/>
      <c r="B197" s="18">
        <v>323</v>
      </c>
      <c r="C197" s="25" t="s">
        <v>1249</v>
      </c>
      <c r="D197" s="26" t="s">
        <v>1250</v>
      </c>
      <c r="E197" s="27" t="s">
        <v>9</v>
      </c>
      <c r="F197" s="28" t="s">
        <v>1692</v>
      </c>
      <c r="G197" s="29" t="s">
        <v>1693</v>
      </c>
      <c r="H197" s="30" t="s">
        <v>1251</v>
      </c>
      <c r="I197" s="25"/>
      <c r="J197" s="25" t="s">
        <v>1252</v>
      </c>
      <c r="K197" s="25"/>
      <c r="L197" s="30" t="s">
        <v>50</v>
      </c>
      <c r="M197" s="25" t="s">
        <v>1253</v>
      </c>
      <c r="N197" s="38">
        <v>44701</v>
      </c>
      <c r="O197" s="39">
        <v>254545</v>
      </c>
      <c r="P197" s="25">
        <v>1</v>
      </c>
      <c r="Q197" s="41">
        <f t="shared" si="8"/>
        <v>254545</v>
      </c>
      <c r="R197" s="41">
        <v>275000</v>
      </c>
      <c r="S197" s="41">
        <f t="shared" si="7"/>
        <v>275000</v>
      </c>
    </row>
    <row r="198" spans="1:19">
      <c r="A198" s="17"/>
      <c r="B198" s="18">
        <v>324</v>
      </c>
      <c r="C198" s="25" t="s">
        <v>1254</v>
      </c>
      <c r="D198" s="26" t="s">
        <v>1250</v>
      </c>
      <c r="E198" s="27" t="s">
        <v>9</v>
      </c>
      <c r="F198" s="28" t="s">
        <v>1692</v>
      </c>
      <c r="G198" s="29" t="s">
        <v>1693</v>
      </c>
      <c r="H198" s="30" t="s">
        <v>1255</v>
      </c>
      <c r="I198" s="25"/>
      <c r="J198" s="25" t="s">
        <v>1247</v>
      </c>
      <c r="K198" s="25"/>
      <c r="L198" s="30" t="s">
        <v>50</v>
      </c>
      <c r="M198" s="25" t="s">
        <v>1256</v>
      </c>
      <c r="N198" s="38">
        <v>44701</v>
      </c>
      <c r="O198" s="39">
        <v>254545</v>
      </c>
      <c r="P198" s="25">
        <v>3</v>
      </c>
      <c r="Q198" s="41">
        <f t="shared" si="8"/>
        <v>763635</v>
      </c>
      <c r="R198" s="41">
        <v>275000</v>
      </c>
      <c r="S198" s="41">
        <f t="shared" si="7"/>
        <v>825000</v>
      </c>
    </row>
    <row r="199" spans="1:19">
      <c r="A199" s="17"/>
      <c r="B199" s="18">
        <v>326</v>
      </c>
      <c r="C199" s="25" t="s">
        <v>1261</v>
      </c>
      <c r="D199" s="26" t="s">
        <v>1262</v>
      </c>
      <c r="E199" s="27" t="s">
        <v>9</v>
      </c>
      <c r="F199" s="28" t="s">
        <v>1692</v>
      </c>
      <c r="G199" s="29" t="s">
        <v>1693</v>
      </c>
      <c r="H199" s="30" t="s">
        <v>1263</v>
      </c>
      <c r="I199" s="25"/>
      <c r="J199" s="25" t="s">
        <v>1264</v>
      </c>
      <c r="K199" s="25"/>
      <c r="L199" s="30" t="s">
        <v>50</v>
      </c>
      <c r="M199" s="25" t="s">
        <v>1265</v>
      </c>
      <c r="N199" s="38">
        <v>44706</v>
      </c>
      <c r="O199" s="39">
        <v>254545</v>
      </c>
      <c r="P199" s="25">
        <v>6</v>
      </c>
      <c r="Q199" s="41">
        <f t="shared" si="8"/>
        <v>1527270</v>
      </c>
      <c r="R199" s="41">
        <v>275000</v>
      </c>
      <c r="S199" s="41">
        <f t="shared" si="7"/>
        <v>1650000</v>
      </c>
    </row>
    <row r="200" spans="1:19">
      <c r="A200" s="17"/>
      <c r="B200" s="18">
        <v>327</v>
      </c>
      <c r="C200" s="19" t="s">
        <v>1266</v>
      </c>
      <c r="D200" s="20" t="s">
        <v>1267</v>
      </c>
      <c r="E200" s="21" t="s">
        <v>9</v>
      </c>
      <c r="F200" s="22" t="s">
        <v>1692</v>
      </c>
      <c r="G200" s="23" t="s">
        <v>1693</v>
      </c>
      <c r="H200" s="21" t="s">
        <v>660</v>
      </c>
      <c r="I200" s="19"/>
      <c r="J200" s="19" t="s">
        <v>1268</v>
      </c>
      <c r="K200" s="19"/>
      <c r="L200" s="24" t="s">
        <v>50</v>
      </c>
      <c r="M200" s="19" t="s">
        <v>1269</v>
      </c>
      <c r="N200" s="36">
        <v>44715</v>
      </c>
      <c r="O200" s="37">
        <v>254545</v>
      </c>
      <c r="P200" s="19">
        <v>1</v>
      </c>
      <c r="Q200" s="40">
        <f t="shared" si="8"/>
        <v>254545</v>
      </c>
      <c r="R200" s="40">
        <v>275000</v>
      </c>
      <c r="S200" s="40">
        <f t="shared" si="7"/>
        <v>275000</v>
      </c>
    </row>
    <row r="201" spans="1:19">
      <c r="A201" s="17"/>
      <c r="B201" s="18">
        <v>328</v>
      </c>
      <c r="C201" s="19" t="s">
        <v>1270</v>
      </c>
      <c r="D201" s="20" t="s">
        <v>1267</v>
      </c>
      <c r="E201" s="21" t="s">
        <v>9</v>
      </c>
      <c r="F201" s="22" t="s">
        <v>1692</v>
      </c>
      <c r="G201" s="23" t="s">
        <v>1693</v>
      </c>
      <c r="H201" s="21" t="s">
        <v>1271</v>
      </c>
      <c r="I201" s="19"/>
      <c r="J201" s="19" t="s">
        <v>1272</v>
      </c>
      <c r="K201" s="19"/>
      <c r="L201" s="24" t="s">
        <v>50</v>
      </c>
      <c r="M201" s="19" t="s">
        <v>1273</v>
      </c>
      <c r="N201" s="36">
        <v>44715</v>
      </c>
      <c r="O201" s="37">
        <v>254545</v>
      </c>
      <c r="P201" s="19">
        <v>3</v>
      </c>
      <c r="Q201" s="40">
        <f t="shared" si="8"/>
        <v>763635</v>
      </c>
      <c r="R201" s="40">
        <v>275000</v>
      </c>
      <c r="S201" s="40">
        <f t="shared" si="7"/>
        <v>825000</v>
      </c>
    </row>
    <row r="202" spans="1:19">
      <c r="A202" s="17"/>
      <c r="B202" s="18">
        <v>330</v>
      </c>
      <c r="C202" s="19" t="s">
        <v>1279</v>
      </c>
      <c r="D202" s="20" t="s">
        <v>1280</v>
      </c>
      <c r="E202" s="21" t="s">
        <v>9</v>
      </c>
      <c r="F202" s="22" t="s">
        <v>1692</v>
      </c>
      <c r="G202" s="23" t="s">
        <v>1693</v>
      </c>
      <c r="H202" s="24" t="s">
        <v>1281</v>
      </c>
      <c r="I202" s="19"/>
      <c r="J202" s="19" t="s">
        <v>1282</v>
      </c>
      <c r="K202" s="19"/>
      <c r="L202" s="24" t="s">
        <v>50</v>
      </c>
      <c r="M202" s="19" t="s">
        <v>1283</v>
      </c>
      <c r="N202" s="36">
        <v>44720</v>
      </c>
      <c r="O202" s="37">
        <v>254545</v>
      </c>
      <c r="P202" s="19">
        <v>3</v>
      </c>
      <c r="Q202" s="40">
        <f t="shared" si="8"/>
        <v>763635</v>
      </c>
      <c r="R202" s="40">
        <v>275000</v>
      </c>
      <c r="S202" s="40">
        <f t="shared" si="7"/>
        <v>825000</v>
      </c>
    </row>
    <row r="203" spans="1:19">
      <c r="A203" s="17"/>
      <c r="B203" s="18">
        <v>331</v>
      </c>
      <c r="C203" s="19" t="s">
        <v>1284</v>
      </c>
      <c r="D203" s="20" t="s">
        <v>1280</v>
      </c>
      <c r="E203" s="21" t="s">
        <v>9</v>
      </c>
      <c r="F203" s="22" t="s">
        <v>1692</v>
      </c>
      <c r="G203" s="23" t="s">
        <v>1693</v>
      </c>
      <c r="H203" s="24" t="s">
        <v>1285</v>
      </c>
      <c r="I203" s="19"/>
      <c r="J203" s="19" t="s">
        <v>1286</v>
      </c>
      <c r="K203" s="19"/>
      <c r="L203" s="24" t="s">
        <v>50</v>
      </c>
      <c r="M203" s="19" t="s">
        <v>1287</v>
      </c>
      <c r="N203" s="36">
        <v>44720</v>
      </c>
      <c r="O203" s="37">
        <v>254545</v>
      </c>
      <c r="P203" s="19">
        <v>1</v>
      </c>
      <c r="Q203" s="40">
        <f t="shared" si="8"/>
        <v>254545</v>
      </c>
      <c r="R203" s="40">
        <v>275000</v>
      </c>
      <c r="S203" s="40">
        <f t="shared" si="7"/>
        <v>275000</v>
      </c>
    </row>
    <row r="204" spans="1:19">
      <c r="A204" s="17"/>
      <c r="B204" s="18">
        <v>334</v>
      </c>
      <c r="C204" s="19" t="s">
        <v>1294</v>
      </c>
      <c r="D204" s="20" t="s">
        <v>1295</v>
      </c>
      <c r="E204" s="21" t="s">
        <v>1296</v>
      </c>
      <c r="F204" s="22" t="s">
        <v>1696</v>
      </c>
      <c r="G204" s="32" t="s">
        <v>1697</v>
      </c>
      <c r="H204" s="24" t="s">
        <v>1297</v>
      </c>
      <c r="I204" s="19"/>
      <c r="J204" s="19" t="s">
        <v>1298</v>
      </c>
      <c r="K204" s="19"/>
      <c r="L204" s="24" t="s">
        <v>85</v>
      </c>
      <c r="M204" s="19" t="s">
        <v>1299</v>
      </c>
      <c r="N204" s="36">
        <v>44739</v>
      </c>
      <c r="O204" s="37">
        <v>222727</v>
      </c>
      <c r="P204" s="19">
        <v>9</v>
      </c>
      <c r="Q204" s="40">
        <f t="shared" si="8"/>
        <v>2004543</v>
      </c>
      <c r="R204" s="40">
        <v>279091</v>
      </c>
      <c r="S204" s="40">
        <f t="shared" si="7"/>
        <v>2511819</v>
      </c>
    </row>
    <row r="205" spans="1:19">
      <c r="A205" s="17"/>
      <c r="B205" s="18">
        <v>335</v>
      </c>
      <c r="C205" s="19" t="s">
        <v>1300</v>
      </c>
      <c r="D205" s="20" t="s">
        <v>1295</v>
      </c>
      <c r="E205" s="21" t="s">
        <v>1296</v>
      </c>
      <c r="F205" s="22" t="s">
        <v>1696</v>
      </c>
      <c r="G205" s="32" t="s">
        <v>1697</v>
      </c>
      <c r="H205" s="24" t="s">
        <v>733</v>
      </c>
      <c r="I205" s="19"/>
      <c r="J205" s="19" t="s">
        <v>1298</v>
      </c>
      <c r="K205" s="19"/>
      <c r="L205" s="24" t="s">
        <v>85</v>
      </c>
      <c r="M205" s="19" t="s">
        <v>1301</v>
      </c>
      <c r="N205" s="36">
        <v>44739</v>
      </c>
      <c r="O205" s="37">
        <v>222727</v>
      </c>
      <c r="P205" s="19">
        <v>6</v>
      </c>
      <c r="Q205" s="40">
        <f t="shared" si="8"/>
        <v>1336362</v>
      </c>
      <c r="R205" s="40">
        <v>279091</v>
      </c>
      <c r="S205" s="40">
        <f t="shared" si="7"/>
        <v>1674546</v>
      </c>
    </row>
    <row r="206" spans="1:19">
      <c r="A206" s="17"/>
      <c r="B206" s="18">
        <v>336</v>
      </c>
      <c r="C206" s="19" t="s">
        <v>1302</v>
      </c>
      <c r="D206" s="20" t="s">
        <v>1303</v>
      </c>
      <c r="E206" s="21" t="s">
        <v>11</v>
      </c>
      <c r="F206" s="22" t="s">
        <v>1696</v>
      </c>
      <c r="G206" s="32" t="s">
        <v>1697</v>
      </c>
      <c r="H206" s="24" t="s">
        <v>320</v>
      </c>
      <c r="I206" s="19"/>
      <c r="J206" s="19" t="s">
        <v>1304</v>
      </c>
      <c r="K206" s="19"/>
      <c r="L206" s="24" t="s">
        <v>50</v>
      </c>
      <c r="M206" s="19" t="s">
        <v>1305</v>
      </c>
      <c r="N206" s="36">
        <v>44736</v>
      </c>
      <c r="O206" s="37">
        <v>444545</v>
      </c>
      <c r="P206" s="19">
        <v>35</v>
      </c>
      <c r="Q206" s="40">
        <f t="shared" si="6"/>
        <v>15559075</v>
      </c>
      <c r="R206" s="40">
        <v>556363.63</v>
      </c>
      <c r="S206" s="40">
        <f t="shared" si="7"/>
        <v>19472727.050000001</v>
      </c>
    </row>
    <row r="207" spans="1:19">
      <c r="A207" s="17"/>
      <c r="B207" s="18">
        <v>337</v>
      </c>
      <c r="C207" s="19" t="s">
        <v>1306</v>
      </c>
      <c r="D207" s="20" t="s">
        <v>1307</v>
      </c>
      <c r="E207" s="21" t="s">
        <v>9</v>
      </c>
      <c r="F207" s="22" t="s">
        <v>1692</v>
      </c>
      <c r="G207" s="23" t="s">
        <v>1693</v>
      </c>
      <c r="H207" s="24" t="s">
        <v>1308</v>
      </c>
      <c r="I207" s="19"/>
      <c r="J207" s="19" t="s">
        <v>1309</v>
      </c>
      <c r="K207" s="19"/>
      <c r="L207" s="24" t="s">
        <v>50</v>
      </c>
      <c r="M207" s="19" t="s">
        <v>1310</v>
      </c>
      <c r="N207" s="36">
        <v>44726</v>
      </c>
      <c r="O207" s="37">
        <v>254545</v>
      </c>
      <c r="P207" s="19">
        <v>1</v>
      </c>
      <c r="Q207" s="40">
        <f t="shared" si="6"/>
        <v>254545</v>
      </c>
      <c r="R207" s="40">
        <v>275000</v>
      </c>
      <c r="S207" s="40">
        <f t="shared" si="7"/>
        <v>275000</v>
      </c>
    </row>
    <row r="208" spans="1:19">
      <c r="A208" s="17"/>
      <c r="B208" s="18">
        <v>338</v>
      </c>
      <c r="C208" s="19" t="s">
        <v>1311</v>
      </c>
      <c r="D208" s="20" t="s">
        <v>1307</v>
      </c>
      <c r="E208" s="21" t="s">
        <v>9</v>
      </c>
      <c r="F208" s="22" t="s">
        <v>1692</v>
      </c>
      <c r="G208" s="23" t="s">
        <v>1693</v>
      </c>
      <c r="H208" s="24" t="s">
        <v>1312</v>
      </c>
      <c r="I208" s="19"/>
      <c r="J208" s="19" t="s">
        <v>1309</v>
      </c>
      <c r="K208" s="19"/>
      <c r="L208" s="24" t="s">
        <v>50</v>
      </c>
      <c r="M208" s="19" t="s">
        <v>1313</v>
      </c>
      <c r="N208" s="36">
        <v>44726</v>
      </c>
      <c r="O208" s="37">
        <v>254545</v>
      </c>
      <c r="P208" s="19">
        <v>2</v>
      </c>
      <c r="Q208" s="40">
        <f t="shared" si="6"/>
        <v>509090</v>
      </c>
      <c r="R208" s="40">
        <v>275000</v>
      </c>
      <c r="S208" s="40">
        <f t="shared" si="7"/>
        <v>550000</v>
      </c>
    </row>
    <row r="209" spans="1:19">
      <c r="A209" s="17"/>
      <c r="B209" s="18">
        <v>339</v>
      </c>
      <c r="C209" s="19" t="s">
        <v>1314</v>
      </c>
      <c r="D209" s="20" t="s">
        <v>1307</v>
      </c>
      <c r="E209" s="21" t="s">
        <v>9</v>
      </c>
      <c r="F209" s="22" t="s">
        <v>1692</v>
      </c>
      <c r="G209" s="23" t="s">
        <v>1693</v>
      </c>
      <c r="H209" s="24" t="s">
        <v>1312</v>
      </c>
      <c r="I209" s="19"/>
      <c r="J209" s="19" t="s">
        <v>1309</v>
      </c>
      <c r="K209" s="19"/>
      <c r="L209" s="24" t="s">
        <v>50</v>
      </c>
      <c r="M209" s="19" t="s">
        <v>1315</v>
      </c>
      <c r="N209" s="36">
        <v>44726</v>
      </c>
      <c r="O209" s="37">
        <v>254545</v>
      </c>
      <c r="P209" s="19">
        <v>1</v>
      </c>
      <c r="Q209" s="40">
        <f t="shared" si="6"/>
        <v>254545</v>
      </c>
      <c r="R209" s="40">
        <v>275000</v>
      </c>
      <c r="S209" s="40">
        <f t="shared" si="7"/>
        <v>275000</v>
      </c>
    </row>
    <row r="210" spans="1:19">
      <c r="A210" s="17"/>
      <c r="B210" s="18">
        <v>340</v>
      </c>
      <c r="C210" s="19" t="s">
        <v>1316</v>
      </c>
      <c r="D210" s="20" t="s">
        <v>1317</v>
      </c>
      <c r="E210" s="21" t="s">
        <v>9</v>
      </c>
      <c r="F210" s="22" t="s">
        <v>1692</v>
      </c>
      <c r="G210" s="23" t="s">
        <v>1693</v>
      </c>
      <c r="H210" s="24" t="s">
        <v>1312</v>
      </c>
      <c r="I210" s="19"/>
      <c r="J210" s="19" t="s">
        <v>1318</v>
      </c>
      <c r="K210" s="19"/>
      <c r="L210" s="24" t="s">
        <v>50</v>
      </c>
      <c r="M210" s="19" t="s">
        <v>1319</v>
      </c>
      <c r="N210" s="36">
        <v>44728</v>
      </c>
      <c r="O210" s="37">
        <v>254545</v>
      </c>
      <c r="P210" s="19">
        <v>5</v>
      </c>
      <c r="Q210" s="40">
        <f t="shared" si="6"/>
        <v>1272725</v>
      </c>
      <c r="R210" s="40">
        <v>275000</v>
      </c>
      <c r="S210" s="40">
        <f t="shared" si="7"/>
        <v>1375000</v>
      </c>
    </row>
    <row r="211" spans="1:19">
      <c r="A211" s="17"/>
      <c r="B211" s="18">
        <v>341</v>
      </c>
      <c r="C211" s="19" t="s">
        <v>1320</v>
      </c>
      <c r="D211" s="20">
        <v>82472</v>
      </c>
      <c r="E211" s="21" t="s">
        <v>17</v>
      </c>
      <c r="F211" s="22" t="s">
        <v>1708</v>
      </c>
      <c r="G211" s="32" t="s">
        <v>1709</v>
      </c>
      <c r="H211" s="24" t="s">
        <v>114</v>
      </c>
      <c r="I211" s="19"/>
      <c r="J211" s="19" t="s">
        <v>1321</v>
      </c>
      <c r="K211" s="19"/>
      <c r="L211" s="24" t="s">
        <v>85</v>
      </c>
      <c r="M211" s="19" t="s">
        <v>311</v>
      </c>
      <c r="N211" s="36">
        <v>44729</v>
      </c>
      <c r="O211" s="37">
        <v>222727</v>
      </c>
      <c r="P211" s="19">
        <v>4</v>
      </c>
      <c r="Q211" s="40">
        <f t="shared" si="6"/>
        <v>890908</v>
      </c>
      <c r="R211" s="40">
        <v>278378.38</v>
      </c>
      <c r="S211" s="40">
        <f t="shared" si="7"/>
        <v>1113513.52</v>
      </c>
    </row>
    <row r="212" spans="1:19">
      <c r="A212" s="17"/>
      <c r="B212" s="18">
        <v>342</v>
      </c>
      <c r="C212" s="19" t="s">
        <v>1322</v>
      </c>
      <c r="D212" s="20">
        <v>82472</v>
      </c>
      <c r="E212" s="21" t="s">
        <v>17</v>
      </c>
      <c r="F212" s="22" t="s">
        <v>1708</v>
      </c>
      <c r="G212" s="32" t="s">
        <v>1709</v>
      </c>
      <c r="H212" s="24" t="s">
        <v>114</v>
      </c>
      <c r="I212" s="19"/>
      <c r="J212" s="19" t="s">
        <v>1321</v>
      </c>
      <c r="K212" s="19"/>
      <c r="L212" s="24" t="s">
        <v>92</v>
      </c>
      <c r="M212" s="19" t="s">
        <v>303</v>
      </c>
      <c r="N212" s="36">
        <v>44729</v>
      </c>
      <c r="O212" s="37">
        <v>46364</v>
      </c>
      <c r="P212" s="19">
        <v>4</v>
      </c>
      <c r="Q212" s="40">
        <f t="shared" si="6"/>
        <v>185456</v>
      </c>
      <c r="R212" s="40">
        <v>57657.66</v>
      </c>
      <c r="S212" s="40">
        <f t="shared" si="7"/>
        <v>230630.64</v>
      </c>
    </row>
    <row r="213" spans="1:19">
      <c r="A213" s="17"/>
      <c r="B213" s="18">
        <v>343</v>
      </c>
      <c r="C213" s="19" t="s">
        <v>1323</v>
      </c>
      <c r="D213" s="20">
        <v>82472</v>
      </c>
      <c r="E213" s="21" t="s">
        <v>17</v>
      </c>
      <c r="F213" s="22" t="s">
        <v>1708</v>
      </c>
      <c r="G213" s="32" t="s">
        <v>1709</v>
      </c>
      <c r="H213" s="24" t="s">
        <v>114</v>
      </c>
      <c r="I213" s="19"/>
      <c r="J213" s="19" t="s">
        <v>1324</v>
      </c>
      <c r="K213" s="19"/>
      <c r="L213" s="24" t="s">
        <v>85</v>
      </c>
      <c r="M213" s="19" t="s">
        <v>386</v>
      </c>
      <c r="N213" s="36">
        <v>44729</v>
      </c>
      <c r="O213" s="37">
        <v>222727</v>
      </c>
      <c r="P213" s="19">
        <v>1</v>
      </c>
      <c r="Q213" s="40">
        <f t="shared" si="6"/>
        <v>222727</v>
      </c>
      <c r="R213" s="40">
        <v>278378.38</v>
      </c>
      <c r="S213" s="40">
        <f t="shared" si="7"/>
        <v>278378.38</v>
      </c>
    </row>
    <row r="214" spans="1:19">
      <c r="A214" s="17"/>
      <c r="B214" s="18">
        <v>344</v>
      </c>
      <c r="C214" s="19" t="s">
        <v>1325</v>
      </c>
      <c r="D214" s="20">
        <v>82472</v>
      </c>
      <c r="E214" s="21" t="s">
        <v>17</v>
      </c>
      <c r="F214" s="22" t="s">
        <v>1708</v>
      </c>
      <c r="G214" s="32" t="s">
        <v>1709</v>
      </c>
      <c r="H214" s="24" t="s">
        <v>114</v>
      </c>
      <c r="I214" s="19"/>
      <c r="J214" s="19" t="s">
        <v>1324</v>
      </c>
      <c r="K214" s="19"/>
      <c r="L214" s="24" t="s">
        <v>92</v>
      </c>
      <c r="M214" s="19" t="s">
        <v>377</v>
      </c>
      <c r="N214" s="36">
        <v>44729</v>
      </c>
      <c r="O214" s="37">
        <v>46364</v>
      </c>
      <c r="P214" s="19">
        <v>1</v>
      </c>
      <c r="Q214" s="40">
        <f t="shared" si="6"/>
        <v>46364</v>
      </c>
      <c r="R214" s="40">
        <v>57657.66</v>
      </c>
      <c r="S214" s="40">
        <f t="shared" si="7"/>
        <v>57657.66</v>
      </c>
    </row>
    <row r="215" spans="1:19">
      <c r="A215" s="17"/>
      <c r="B215" s="18">
        <v>345</v>
      </c>
      <c r="C215" s="19" t="s">
        <v>1326</v>
      </c>
      <c r="D215" s="20">
        <v>82472</v>
      </c>
      <c r="E215" s="21" t="s">
        <v>17</v>
      </c>
      <c r="F215" s="22" t="s">
        <v>1708</v>
      </c>
      <c r="G215" s="32" t="s">
        <v>1709</v>
      </c>
      <c r="H215" s="24" t="s">
        <v>114</v>
      </c>
      <c r="I215" s="19"/>
      <c r="J215" s="19" t="s">
        <v>1327</v>
      </c>
      <c r="K215" s="19"/>
      <c r="L215" s="24" t="s">
        <v>85</v>
      </c>
      <c r="M215" s="19" t="s">
        <v>389</v>
      </c>
      <c r="N215" s="36">
        <v>44729</v>
      </c>
      <c r="O215" s="37">
        <v>222727</v>
      </c>
      <c r="P215" s="19">
        <v>11</v>
      </c>
      <c r="Q215" s="40">
        <f t="shared" si="6"/>
        <v>2449997</v>
      </c>
      <c r="R215" s="40">
        <v>278378.38</v>
      </c>
      <c r="S215" s="40">
        <f t="shared" si="7"/>
        <v>3062162.18</v>
      </c>
    </row>
    <row r="216" spans="1:19">
      <c r="A216" s="17"/>
      <c r="B216" s="18">
        <v>346</v>
      </c>
      <c r="C216" s="19" t="s">
        <v>1328</v>
      </c>
      <c r="D216" s="20">
        <v>82472</v>
      </c>
      <c r="E216" s="21" t="s">
        <v>17</v>
      </c>
      <c r="F216" s="22" t="s">
        <v>1708</v>
      </c>
      <c r="G216" s="32" t="s">
        <v>1709</v>
      </c>
      <c r="H216" s="24" t="s">
        <v>114</v>
      </c>
      <c r="I216" s="19"/>
      <c r="J216" s="19" t="s">
        <v>1327</v>
      </c>
      <c r="K216" s="19"/>
      <c r="L216" s="24" t="s">
        <v>92</v>
      </c>
      <c r="M216" s="19" t="s">
        <v>380</v>
      </c>
      <c r="N216" s="36">
        <v>44729</v>
      </c>
      <c r="O216" s="37">
        <v>46364</v>
      </c>
      <c r="P216" s="19">
        <v>11</v>
      </c>
      <c r="Q216" s="40">
        <f t="shared" si="6"/>
        <v>510004</v>
      </c>
      <c r="R216" s="40">
        <v>57657.66</v>
      </c>
      <c r="S216" s="40">
        <f t="shared" si="7"/>
        <v>634234.26</v>
      </c>
    </row>
    <row r="217" spans="1:19">
      <c r="A217" s="17"/>
      <c r="B217" s="18">
        <v>347</v>
      </c>
      <c r="C217" s="19" t="s">
        <v>1329</v>
      </c>
      <c r="D217" s="20" t="s">
        <v>1330</v>
      </c>
      <c r="E217" s="21" t="s">
        <v>16</v>
      </c>
      <c r="F217" s="22" t="s">
        <v>1706</v>
      </c>
      <c r="G217" s="32" t="s">
        <v>1707</v>
      </c>
      <c r="H217" s="24" t="s">
        <v>165</v>
      </c>
      <c r="I217" s="19"/>
      <c r="J217" s="19" t="s">
        <v>1331</v>
      </c>
      <c r="K217" s="19"/>
      <c r="L217" s="24" t="s">
        <v>85</v>
      </c>
      <c r="M217" s="19" t="s">
        <v>429</v>
      </c>
      <c r="N217" s="36">
        <v>44735</v>
      </c>
      <c r="O217" s="37">
        <v>222727</v>
      </c>
      <c r="P217" s="19">
        <v>310</v>
      </c>
      <c r="Q217" s="40">
        <f t="shared" si="6"/>
        <v>69045370</v>
      </c>
      <c r="R217" s="40">
        <v>279091</v>
      </c>
      <c r="S217" s="40">
        <f t="shared" si="7"/>
        <v>86518210</v>
      </c>
    </row>
    <row r="218" spans="1:19">
      <c r="A218" s="17"/>
      <c r="B218" s="18">
        <v>348</v>
      </c>
      <c r="C218" s="19" t="s">
        <v>1332</v>
      </c>
      <c r="D218" s="20" t="s">
        <v>1333</v>
      </c>
      <c r="E218" s="21" t="s">
        <v>9</v>
      </c>
      <c r="F218" s="22" t="s">
        <v>1692</v>
      </c>
      <c r="G218" s="23" t="s">
        <v>1693</v>
      </c>
      <c r="H218" s="24" t="s">
        <v>1334</v>
      </c>
      <c r="I218" s="19"/>
      <c r="J218" s="19" t="s">
        <v>1268</v>
      </c>
      <c r="K218" s="19"/>
      <c r="L218" s="24" t="s">
        <v>50</v>
      </c>
      <c r="M218" s="19" t="s">
        <v>1335</v>
      </c>
      <c r="N218" s="36">
        <v>44739</v>
      </c>
      <c r="O218" s="37">
        <v>254545</v>
      </c>
      <c r="P218" s="19">
        <v>4</v>
      </c>
      <c r="Q218" s="40">
        <f t="shared" si="6"/>
        <v>1018180</v>
      </c>
      <c r="R218" s="40">
        <v>275000</v>
      </c>
      <c r="S218" s="40">
        <f t="shared" si="7"/>
        <v>1100000</v>
      </c>
    </row>
    <row r="219" spans="1:19">
      <c r="A219" s="17"/>
      <c r="B219" s="18">
        <v>349</v>
      </c>
      <c r="C219" s="19" t="s">
        <v>1336</v>
      </c>
      <c r="D219" s="20" t="s">
        <v>1337</v>
      </c>
      <c r="E219" s="21" t="s">
        <v>6</v>
      </c>
      <c r="F219" s="22" t="s">
        <v>1694</v>
      </c>
      <c r="G219" s="32" t="s">
        <v>1695</v>
      </c>
      <c r="H219" s="24" t="s">
        <v>88</v>
      </c>
      <c r="I219" s="19"/>
      <c r="J219" s="19" t="s">
        <v>1331</v>
      </c>
      <c r="K219" s="19"/>
      <c r="L219" s="24" t="s">
        <v>63</v>
      </c>
      <c r="M219" s="19" t="s">
        <v>1338</v>
      </c>
      <c r="N219" s="36">
        <v>44740</v>
      </c>
      <c r="O219" s="37">
        <v>92727</v>
      </c>
      <c r="P219" s="19">
        <v>7</v>
      </c>
      <c r="Q219" s="40">
        <f t="shared" si="6"/>
        <v>649089</v>
      </c>
      <c r="R219" s="40">
        <v>116216.22</v>
      </c>
      <c r="S219" s="40">
        <f t="shared" si="7"/>
        <v>813513.54</v>
      </c>
    </row>
    <row r="220" spans="1:19">
      <c r="A220" s="17"/>
      <c r="B220" s="18">
        <v>350</v>
      </c>
      <c r="C220" s="19" t="s">
        <v>1339</v>
      </c>
      <c r="D220" s="20" t="s">
        <v>1340</v>
      </c>
      <c r="E220" s="21" t="s">
        <v>16</v>
      </c>
      <c r="F220" s="22" t="s">
        <v>1706</v>
      </c>
      <c r="G220" s="32" t="s">
        <v>1707</v>
      </c>
      <c r="H220" s="24" t="s">
        <v>1276</v>
      </c>
      <c r="I220" s="19"/>
      <c r="J220" s="19" t="s">
        <v>1341</v>
      </c>
      <c r="K220" s="19"/>
      <c r="L220" s="24" t="s">
        <v>85</v>
      </c>
      <c r="M220" s="19" t="s">
        <v>1278</v>
      </c>
      <c r="N220" s="36">
        <v>44742</v>
      </c>
      <c r="O220" s="37">
        <v>222727</v>
      </c>
      <c r="P220" s="19">
        <v>5</v>
      </c>
      <c r="Q220" s="40">
        <f t="shared" ref="Q220:Q229" si="9">O220*P220</f>
        <v>1113635</v>
      </c>
      <c r="R220" s="40">
        <v>279091</v>
      </c>
      <c r="S220" s="40">
        <f t="shared" si="7"/>
        <v>1395455</v>
      </c>
    </row>
    <row r="221" spans="1:19">
      <c r="A221" s="17"/>
      <c r="B221" s="18">
        <v>351</v>
      </c>
      <c r="C221" s="19" t="s">
        <v>1342</v>
      </c>
      <c r="D221" s="20" t="s">
        <v>1343</v>
      </c>
      <c r="E221" s="21" t="s">
        <v>9</v>
      </c>
      <c r="F221" s="22" t="s">
        <v>1692</v>
      </c>
      <c r="G221" s="23" t="s">
        <v>1693</v>
      </c>
      <c r="H221" s="24" t="s">
        <v>1344</v>
      </c>
      <c r="I221" s="19"/>
      <c r="J221" s="19" t="s">
        <v>1345</v>
      </c>
      <c r="K221" s="19"/>
      <c r="L221" s="24" t="s">
        <v>50</v>
      </c>
      <c r="M221" s="19" t="s">
        <v>1346</v>
      </c>
      <c r="N221" s="36">
        <v>44742</v>
      </c>
      <c r="O221" s="37">
        <v>254545</v>
      </c>
      <c r="P221" s="19">
        <v>2</v>
      </c>
      <c r="Q221" s="40">
        <f t="shared" si="9"/>
        <v>509090</v>
      </c>
      <c r="R221" s="40">
        <v>275000</v>
      </c>
      <c r="S221" s="40">
        <f t="shared" si="7"/>
        <v>550000</v>
      </c>
    </row>
    <row r="222" spans="1:19">
      <c r="A222" s="17"/>
      <c r="B222" s="18">
        <v>352</v>
      </c>
      <c r="C222" s="25" t="s">
        <v>1347</v>
      </c>
      <c r="D222" s="26" t="s">
        <v>1348</v>
      </c>
      <c r="E222" s="27" t="s">
        <v>9</v>
      </c>
      <c r="F222" s="28" t="s">
        <v>1692</v>
      </c>
      <c r="G222" s="29" t="s">
        <v>1693</v>
      </c>
      <c r="H222" s="30" t="s">
        <v>1349</v>
      </c>
      <c r="I222" s="25"/>
      <c r="J222" s="25" t="s">
        <v>1350</v>
      </c>
      <c r="K222" s="25"/>
      <c r="L222" s="30" t="s">
        <v>50</v>
      </c>
      <c r="M222" s="25" t="s">
        <v>1351</v>
      </c>
      <c r="N222" s="38">
        <v>44747</v>
      </c>
      <c r="O222" s="39">
        <v>254545</v>
      </c>
      <c r="P222" s="25">
        <v>1</v>
      </c>
      <c r="Q222" s="41">
        <f t="shared" si="9"/>
        <v>254545</v>
      </c>
      <c r="R222" s="41">
        <v>275000</v>
      </c>
      <c r="S222" s="41">
        <f t="shared" si="7"/>
        <v>275000</v>
      </c>
    </row>
    <row r="223" spans="1:19">
      <c r="A223" s="17"/>
      <c r="B223" s="18">
        <v>353</v>
      </c>
      <c r="C223" s="25" t="s">
        <v>1352</v>
      </c>
      <c r="D223" s="26">
        <v>4010013271</v>
      </c>
      <c r="E223" s="27" t="s">
        <v>2</v>
      </c>
      <c r="F223" s="28" t="s">
        <v>1710</v>
      </c>
      <c r="G223" s="31" t="s">
        <v>1711</v>
      </c>
      <c r="H223" s="27" t="s">
        <v>1353</v>
      </c>
      <c r="I223" s="25"/>
      <c r="J223" s="25" t="s">
        <v>1354</v>
      </c>
      <c r="K223" s="25"/>
      <c r="L223" s="30" t="s">
        <v>63</v>
      </c>
      <c r="M223" s="25" t="s">
        <v>424</v>
      </c>
      <c r="N223" s="38">
        <v>44749</v>
      </c>
      <c r="O223" s="39">
        <v>92727</v>
      </c>
      <c r="P223" s="25">
        <v>250</v>
      </c>
      <c r="Q223" s="41">
        <f t="shared" si="9"/>
        <v>23181750</v>
      </c>
      <c r="R223" s="41">
        <f>188700/1.11</f>
        <v>169999.99999999997</v>
      </c>
      <c r="S223" s="41">
        <f t="shared" si="7"/>
        <v>42499999.999999993</v>
      </c>
    </row>
    <row r="224" spans="1:19">
      <c r="A224" s="17"/>
      <c r="B224" s="18">
        <v>354</v>
      </c>
      <c r="C224" s="25" t="s">
        <v>1355</v>
      </c>
      <c r="D224" s="26">
        <v>4010013271</v>
      </c>
      <c r="E224" s="27" t="s">
        <v>2</v>
      </c>
      <c r="F224" s="28" t="s">
        <v>1710</v>
      </c>
      <c r="G224" s="31" t="s">
        <v>1711</v>
      </c>
      <c r="H224" s="27" t="s">
        <v>1353</v>
      </c>
      <c r="I224" s="25"/>
      <c r="J224" s="25" t="s">
        <v>1354</v>
      </c>
      <c r="K224" s="25"/>
      <c r="L224" s="30" t="s">
        <v>85</v>
      </c>
      <c r="M224" s="25" t="s">
        <v>422</v>
      </c>
      <c r="N224" s="38">
        <v>44749</v>
      </c>
      <c r="O224" s="39">
        <v>222727</v>
      </c>
      <c r="P224" s="25">
        <v>50</v>
      </c>
      <c r="Q224" s="41">
        <f t="shared" si="9"/>
        <v>11136350</v>
      </c>
      <c r="R224" s="41">
        <f>354090/1.11</f>
        <v>319000</v>
      </c>
      <c r="S224" s="41">
        <f t="shared" ref="S224:S264" si="10">R224*P224</f>
        <v>15950000</v>
      </c>
    </row>
    <row r="225" spans="1:19">
      <c r="A225" s="17"/>
      <c r="B225" s="18">
        <v>355</v>
      </c>
      <c r="C225" s="25" t="s">
        <v>1356</v>
      </c>
      <c r="D225" s="26" t="s">
        <v>1357</v>
      </c>
      <c r="E225" s="27" t="s">
        <v>6</v>
      </c>
      <c r="F225" s="28" t="s">
        <v>1694</v>
      </c>
      <c r="G225" s="31" t="s">
        <v>1695</v>
      </c>
      <c r="H225" s="30" t="s">
        <v>218</v>
      </c>
      <c r="I225" s="25"/>
      <c r="J225" s="25" t="s">
        <v>1358</v>
      </c>
      <c r="K225" s="25"/>
      <c r="L225" s="30" t="s">
        <v>63</v>
      </c>
      <c r="M225" s="25" t="s">
        <v>1359</v>
      </c>
      <c r="N225" s="38">
        <v>44750</v>
      </c>
      <c r="O225" s="39">
        <v>92727</v>
      </c>
      <c r="P225" s="25">
        <v>4</v>
      </c>
      <c r="Q225" s="41">
        <f t="shared" si="9"/>
        <v>370908</v>
      </c>
      <c r="R225" s="41">
        <v>117273</v>
      </c>
      <c r="S225" s="41">
        <f t="shared" si="10"/>
        <v>469092</v>
      </c>
    </row>
    <row r="226" spans="1:19">
      <c r="A226" s="17"/>
      <c r="B226" s="18">
        <v>356</v>
      </c>
      <c r="C226" s="25" t="s">
        <v>1356</v>
      </c>
      <c r="D226" s="26" t="s">
        <v>1360</v>
      </c>
      <c r="E226" s="27" t="s">
        <v>19</v>
      </c>
      <c r="F226" s="28" t="s">
        <v>1704</v>
      </c>
      <c r="G226" s="31" t="s">
        <v>1705</v>
      </c>
      <c r="H226" s="30" t="s">
        <v>462</v>
      </c>
      <c r="I226" s="25"/>
      <c r="J226" s="25" t="s">
        <v>1361</v>
      </c>
      <c r="K226" s="25"/>
      <c r="L226" s="30" t="s">
        <v>85</v>
      </c>
      <c r="M226" s="25" t="s">
        <v>1362</v>
      </c>
      <c r="N226" s="38">
        <v>44750</v>
      </c>
      <c r="O226" s="39">
        <v>222727</v>
      </c>
      <c r="P226" s="25">
        <v>16</v>
      </c>
      <c r="Q226" s="41">
        <f t="shared" si="9"/>
        <v>3563632</v>
      </c>
      <c r="R226" s="41">
        <v>279091</v>
      </c>
      <c r="S226" s="41">
        <f t="shared" si="10"/>
        <v>4465456</v>
      </c>
    </row>
    <row r="227" spans="1:19">
      <c r="A227" s="17"/>
      <c r="B227" s="18">
        <v>357</v>
      </c>
      <c r="C227" s="25" t="s">
        <v>1363</v>
      </c>
      <c r="D227" s="26" t="s">
        <v>1364</v>
      </c>
      <c r="E227" s="27" t="s">
        <v>9</v>
      </c>
      <c r="F227" s="28" t="s">
        <v>1692</v>
      </c>
      <c r="G227" s="29" t="s">
        <v>1693</v>
      </c>
      <c r="H227" s="30" t="s">
        <v>1365</v>
      </c>
      <c r="I227" s="25"/>
      <c r="J227" s="25" t="s">
        <v>1366</v>
      </c>
      <c r="K227" s="25"/>
      <c r="L227" s="30" t="s">
        <v>50</v>
      </c>
      <c r="M227" s="25" t="s">
        <v>1367</v>
      </c>
      <c r="N227" s="38">
        <v>44757</v>
      </c>
      <c r="O227" s="39">
        <v>254545</v>
      </c>
      <c r="P227" s="25">
        <v>7</v>
      </c>
      <c r="Q227" s="41">
        <f t="shared" si="9"/>
        <v>1781815</v>
      </c>
      <c r="R227" s="41">
        <v>275000</v>
      </c>
      <c r="S227" s="41">
        <f t="shared" si="10"/>
        <v>1925000</v>
      </c>
    </row>
    <row r="228" spans="1:19">
      <c r="A228" s="17"/>
      <c r="B228" s="18">
        <v>358</v>
      </c>
      <c r="C228" s="25" t="s">
        <v>1368</v>
      </c>
      <c r="D228" s="26" t="s">
        <v>1364</v>
      </c>
      <c r="E228" s="27" t="s">
        <v>9</v>
      </c>
      <c r="F228" s="28" t="s">
        <v>1692</v>
      </c>
      <c r="G228" s="29" t="s">
        <v>1693</v>
      </c>
      <c r="H228" s="30" t="s">
        <v>1369</v>
      </c>
      <c r="I228" s="25"/>
      <c r="J228" s="25" t="s">
        <v>1366</v>
      </c>
      <c r="K228" s="25"/>
      <c r="L228" s="30" t="s">
        <v>50</v>
      </c>
      <c r="M228" s="25" t="s">
        <v>1370</v>
      </c>
      <c r="N228" s="38">
        <v>44757</v>
      </c>
      <c r="O228" s="39">
        <v>254545</v>
      </c>
      <c r="P228" s="25">
        <v>3</v>
      </c>
      <c r="Q228" s="41">
        <f t="shared" si="9"/>
        <v>763635</v>
      </c>
      <c r="R228" s="41">
        <v>275000</v>
      </c>
      <c r="S228" s="41">
        <f t="shared" si="10"/>
        <v>825000</v>
      </c>
    </row>
    <row r="229" spans="1:19">
      <c r="A229" s="17"/>
      <c r="B229" s="18">
        <v>359</v>
      </c>
      <c r="C229" s="25" t="s">
        <v>1371</v>
      </c>
      <c r="D229" s="26" t="s">
        <v>1372</v>
      </c>
      <c r="E229" s="27" t="s">
        <v>11</v>
      </c>
      <c r="F229" s="28" t="s">
        <v>1696</v>
      </c>
      <c r="G229" s="31" t="s">
        <v>1697</v>
      </c>
      <c r="H229" s="27" t="s">
        <v>11</v>
      </c>
      <c r="I229" s="25"/>
      <c r="J229" s="25" t="s">
        <v>1373</v>
      </c>
      <c r="K229" s="25"/>
      <c r="L229" s="30" t="s">
        <v>92</v>
      </c>
      <c r="M229" s="25" t="s">
        <v>1374</v>
      </c>
      <c r="N229" s="38">
        <v>44760</v>
      </c>
      <c r="O229" s="39">
        <v>46364</v>
      </c>
      <c r="P229" s="25">
        <v>300</v>
      </c>
      <c r="Q229" s="41">
        <f t="shared" si="9"/>
        <v>13909200</v>
      </c>
      <c r="R229" s="41">
        <v>55273</v>
      </c>
      <c r="S229" s="41">
        <f t="shared" si="10"/>
        <v>16581900</v>
      </c>
    </row>
    <row r="230" spans="1:19">
      <c r="A230" s="17"/>
      <c r="B230" s="18">
        <v>360</v>
      </c>
      <c r="C230" s="25" t="s">
        <v>1375</v>
      </c>
      <c r="D230" s="26" t="s">
        <v>1376</v>
      </c>
      <c r="E230" s="27" t="s">
        <v>11</v>
      </c>
      <c r="F230" s="28" t="s">
        <v>1696</v>
      </c>
      <c r="G230" s="31" t="s">
        <v>1697</v>
      </c>
      <c r="H230" s="30" t="s">
        <v>320</v>
      </c>
      <c r="I230" s="25"/>
      <c r="J230" s="25" t="s">
        <v>1377</v>
      </c>
      <c r="K230" s="25"/>
      <c r="L230" s="30" t="s">
        <v>50</v>
      </c>
      <c r="M230" s="25" t="s">
        <v>1378</v>
      </c>
      <c r="N230" s="38">
        <v>44762</v>
      </c>
      <c r="O230" s="39">
        <v>444545</v>
      </c>
      <c r="P230" s="25">
        <v>28</v>
      </c>
      <c r="Q230" s="41">
        <f t="shared" ref="Q230:Q294" si="11">O230*P230</f>
        <v>12447260</v>
      </c>
      <c r="R230" s="41">
        <v>556363.63</v>
      </c>
      <c r="S230" s="41">
        <f t="shared" si="10"/>
        <v>15578181.640000001</v>
      </c>
    </row>
    <row r="231" spans="1:19">
      <c r="A231" s="17"/>
      <c r="B231" s="18">
        <v>361</v>
      </c>
      <c r="C231" s="25" t="s">
        <v>1379</v>
      </c>
      <c r="D231" s="26" t="s">
        <v>1376</v>
      </c>
      <c r="E231" s="27" t="s">
        <v>11</v>
      </c>
      <c r="F231" s="28" t="s">
        <v>1696</v>
      </c>
      <c r="G231" s="31" t="s">
        <v>1697</v>
      </c>
      <c r="H231" s="30" t="s">
        <v>320</v>
      </c>
      <c r="I231" s="25"/>
      <c r="J231" s="25" t="s">
        <v>1380</v>
      </c>
      <c r="K231" s="25"/>
      <c r="L231" s="30" t="s">
        <v>50</v>
      </c>
      <c r="M231" s="25" t="s">
        <v>1381</v>
      </c>
      <c r="N231" s="38">
        <v>44762</v>
      </c>
      <c r="O231" s="39">
        <v>444545</v>
      </c>
      <c r="P231" s="25">
        <v>3</v>
      </c>
      <c r="Q231" s="41">
        <f t="shared" si="11"/>
        <v>1333635</v>
      </c>
      <c r="R231" s="41">
        <v>556363.63</v>
      </c>
      <c r="S231" s="41">
        <f t="shared" si="10"/>
        <v>1669090.8900000001</v>
      </c>
    </row>
    <row r="232" spans="1:19">
      <c r="A232" s="17"/>
      <c r="B232" s="18">
        <v>362</v>
      </c>
      <c r="C232" s="25" t="s">
        <v>1382</v>
      </c>
      <c r="D232" s="26">
        <v>2500016606</v>
      </c>
      <c r="E232" s="27" t="s">
        <v>10</v>
      </c>
      <c r="F232" s="28" t="s">
        <v>1702</v>
      </c>
      <c r="G232" s="31" t="s">
        <v>1703</v>
      </c>
      <c r="H232" s="30" t="s">
        <v>814</v>
      </c>
      <c r="I232" s="25"/>
      <c r="J232" s="25" t="s">
        <v>1383</v>
      </c>
      <c r="K232" s="25"/>
      <c r="L232" s="30" t="s">
        <v>816</v>
      </c>
      <c r="M232" s="25" t="s">
        <v>1384</v>
      </c>
      <c r="N232" s="38">
        <v>44763</v>
      </c>
      <c r="O232" s="39">
        <v>22727</v>
      </c>
      <c r="P232" s="25">
        <v>5</v>
      </c>
      <c r="Q232" s="41">
        <f t="shared" si="11"/>
        <v>113635</v>
      </c>
      <c r="R232" s="41">
        <v>29091</v>
      </c>
      <c r="S232" s="41">
        <f t="shared" si="10"/>
        <v>145455</v>
      </c>
    </row>
    <row r="233" spans="1:19">
      <c r="A233" s="17"/>
      <c r="B233" s="18">
        <v>363</v>
      </c>
      <c r="C233" s="25" t="s">
        <v>1385</v>
      </c>
      <c r="D233" s="26" t="s">
        <v>1386</v>
      </c>
      <c r="E233" s="27" t="s">
        <v>9</v>
      </c>
      <c r="F233" s="28" t="s">
        <v>1692</v>
      </c>
      <c r="G233" s="29" t="s">
        <v>1693</v>
      </c>
      <c r="H233" s="30" t="s">
        <v>1387</v>
      </c>
      <c r="I233" s="25"/>
      <c r="J233" s="25" t="s">
        <v>1388</v>
      </c>
      <c r="K233" s="25"/>
      <c r="L233" s="30" t="s">
        <v>50</v>
      </c>
      <c r="M233" s="25" t="s">
        <v>1389</v>
      </c>
      <c r="N233" s="38">
        <v>44767</v>
      </c>
      <c r="O233" s="39">
        <v>254545</v>
      </c>
      <c r="P233" s="25">
        <v>6</v>
      </c>
      <c r="Q233" s="41">
        <f t="shared" si="11"/>
        <v>1527270</v>
      </c>
      <c r="R233" s="41">
        <v>275000</v>
      </c>
      <c r="S233" s="41">
        <f t="shared" si="10"/>
        <v>1650000</v>
      </c>
    </row>
    <row r="234" spans="1:19">
      <c r="A234" s="17"/>
      <c r="B234" s="18">
        <v>364</v>
      </c>
      <c r="C234" s="25" t="s">
        <v>1390</v>
      </c>
      <c r="D234" s="26" t="s">
        <v>1386</v>
      </c>
      <c r="E234" s="27" t="s">
        <v>9</v>
      </c>
      <c r="F234" s="28" t="s">
        <v>1692</v>
      </c>
      <c r="G234" s="29" t="s">
        <v>1693</v>
      </c>
      <c r="H234" s="30" t="s">
        <v>1391</v>
      </c>
      <c r="I234" s="25"/>
      <c r="J234" s="25" t="s">
        <v>1388</v>
      </c>
      <c r="K234" s="25"/>
      <c r="L234" s="30" t="s">
        <v>50</v>
      </c>
      <c r="M234" s="25" t="s">
        <v>1392</v>
      </c>
      <c r="N234" s="38">
        <v>44767</v>
      </c>
      <c r="O234" s="39">
        <v>254545</v>
      </c>
      <c r="P234" s="25">
        <v>6</v>
      </c>
      <c r="Q234" s="41">
        <f t="shared" si="11"/>
        <v>1527270</v>
      </c>
      <c r="R234" s="41">
        <v>275000</v>
      </c>
      <c r="S234" s="41">
        <f t="shared" si="10"/>
        <v>1650000</v>
      </c>
    </row>
    <row r="235" spans="1:19">
      <c r="A235" s="17"/>
      <c r="B235" s="18">
        <v>365</v>
      </c>
      <c r="C235" s="25" t="s">
        <v>1393</v>
      </c>
      <c r="D235" s="26" t="s">
        <v>1386</v>
      </c>
      <c r="E235" s="27" t="s">
        <v>9</v>
      </c>
      <c r="F235" s="28" t="s">
        <v>1692</v>
      </c>
      <c r="G235" s="29" t="s">
        <v>1693</v>
      </c>
      <c r="H235" s="30" t="s">
        <v>1394</v>
      </c>
      <c r="I235" s="25"/>
      <c r="J235" s="25" t="s">
        <v>1395</v>
      </c>
      <c r="K235" s="25"/>
      <c r="L235" s="30" t="s">
        <v>50</v>
      </c>
      <c r="M235" s="25" t="s">
        <v>1396</v>
      </c>
      <c r="N235" s="38">
        <v>44767</v>
      </c>
      <c r="O235" s="39">
        <v>254545</v>
      </c>
      <c r="P235" s="25">
        <v>3</v>
      </c>
      <c r="Q235" s="41">
        <f t="shared" si="11"/>
        <v>763635</v>
      </c>
      <c r="R235" s="41">
        <v>275000</v>
      </c>
      <c r="S235" s="41">
        <f t="shared" si="10"/>
        <v>825000</v>
      </c>
    </row>
    <row r="236" spans="1:19">
      <c r="A236" s="17"/>
      <c r="B236" s="18">
        <v>366</v>
      </c>
      <c r="C236" s="25" t="s">
        <v>1397</v>
      </c>
      <c r="D236" s="26" t="s">
        <v>1398</v>
      </c>
      <c r="E236" s="27" t="s">
        <v>11</v>
      </c>
      <c r="F236" s="28" t="s">
        <v>1696</v>
      </c>
      <c r="G236" s="31" t="s">
        <v>1697</v>
      </c>
      <c r="H236" s="30" t="s">
        <v>733</v>
      </c>
      <c r="I236" s="25"/>
      <c r="J236" s="25" t="s">
        <v>1399</v>
      </c>
      <c r="K236" s="25"/>
      <c r="L236" s="30" t="s">
        <v>85</v>
      </c>
      <c r="M236" s="25" t="s">
        <v>1400</v>
      </c>
      <c r="N236" s="38">
        <v>44767</v>
      </c>
      <c r="O236" s="39">
        <v>222727</v>
      </c>
      <c r="P236" s="25">
        <v>1</v>
      </c>
      <c r="Q236" s="41">
        <f t="shared" si="11"/>
        <v>222727</v>
      </c>
      <c r="R236" s="41">
        <v>279091</v>
      </c>
      <c r="S236" s="41">
        <f t="shared" si="10"/>
        <v>279091</v>
      </c>
    </row>
    <row r="237" spans="1:19">
      <c r="A237" s="17"/>
      <c r="B237" s="18">
        <v>367</v>
      </c>
      <c r="C237" s="25" t="s">
        <v>1401</v>
      </c>
      <c r="D237" s="26" t="s">
        <v>1402</v>
      </c>
      <c r="E237" s="27" t="s">
        <v>9</v>
      </c>
      <c r="F237" s="28" t="s">
        <v>1692</v>
      </c>
      <c r="G237" s="29" t="s">
        <v>1693</v>
      </c>
      <c r="H237" s="30" t="s">
        <v>1403</v>
      </c>
      <c r="I237" s="25"/>
      <c r="J237" s="25" t="s">
        <v>1404</v>
      </c>
      <c r="K237" s="25"/>
      <c r="L237" s="30" t="s">
        <v>50</v>
      </c>
      <c r="M237" s="25" t="s">
        <v>1405</v>
      </c>
      <c r="N237" s="38">
        <v>44769</v>
      </c>
      <c r="O237" s="39">
        <v>254545</v>
      </c>
      <c r="P237" s="25">
        <v>1</v>
      </c>
      <c r="Q237" s="41">
        <f t="shared" si="11"/>
        <v>254545</v>
      </c>
      <c r="R237" s="41">
        <v>275000</v>
      </c>
      <c r="S237" s="41">
        <f t="shared" si="10"/>
        <v>275000</v>
      </c>
    </row>
    <row r="238" spans="1:19">
      <c r="A238" s="17"/>
      <c r="B238" s="18">
        <v>368</v>
      </c>
      <c r="C238" s="25" t="s">
        <v>1406</v>
      </c>
      <c r="D238" s="26" t="s">
        <v>1402</v>
      </c>
      <c r="E238" s="27" t="s">
        <v>9</v>
      </c>
      <c r="F238" s="28" t="s">
        <v>1692</v>
      </c>
      <c r="G238" s="29" t="s">
        <v>1693</v>
      </c>
      <c r="H238" s="27" t="s">
        <v>1407</v>
      </c>
      <c r="I238" s="25"/>
      <c r="J238" s="25" t="s">
        <v>1408</v>
      </c>
      <c r="K238" s="25"/>
      <c r="L238" s="30" t="s">
        <v>50</v>
      </c>
      <c r="M238" s="25" t="s">
        <v>1409</v>
      </c>
      <c r="N238" s="38">
        <v>44769</v>
      </c>
      <c r="O238" s="39">
        <v>254545</v>
      </c>
      <c r="P238" s="25">
        <v>1</v>
      </c>
      <c r="Q238" s="41">
        <f t="shared" si="11"/>
        <v>254545</v>
      </c>
      <c r="R238" s="41">
        <v>275000</v>
      </c>
      <c r="S238" s="41">
        <f t="shared" si="10"/>
        <v>275000</v>
      </c>
    </row>
    <row r="239" spans="1:19">
      <c r="A239" s="17"/>
      <c r="B239" s="18">
        <v>369</v>
      </c>
      <c r="C239" s="25" t="s">
        <v>1410</v>
      </c>
      <c r="D239" s="26" t="s">
        <v>1411</v>
      </c>
      <c r="E239" s="27" t="s">
        <v>11</v>
      </c>
      <c r="F239" s="28" t="s">
        <v>1696</v>
      </c>
      <c r="G239" s="31" t="s">
        <v>1697</v>
      </c>
      <c r="H239" s="30" t="s">
        <v>1412</v>
      </c>
      <c r="I239" s="25"/>
      <c r="J239" s="25" t="s">
        <v>1361</v>
      </c>
      <c r="K239" s="25"/>
      <c r="L239" s="30" t="s">
        <v>1413</v>
      </c>
      <c r="M239" s="25" t="s">
        <v>1414</v>
      </c>
      <c r="N239" s="38">
        <v>44770</v>
      </c>
      <c r="O239" s="39">
        <v>106575</v>
      </c>
      <c r="P239" s="25">
        <v>2</v>
      </c>
      <c r="Q239" s="41">
        <f t="shared" si="11"/>
        <v>213150</v>
      </c>
      <c r="R239" s="41">
        <v>116264</v>
      </c>
      <c r="S239" s="41">
        <f t="shared" si="10"/>
        <v>232528</v>
      </c>
    </row>
    <row r="240" spans="1:19">
      <c r="A240" s="17"/>
      <c r="B240" s="18">
        <v>370</v>
      </c>
      <c r="C240" s="19" t="s">
        <v>1415</v>
      </c>
      <c r="D240" s="20" t="s">
        <v>1416</v>
      </c>
      <c r="E240" s="21" t="s">
        <v>9</v>
      </c>
      <c r="F240" s="22" t="s">
        <v>1692</v>
      </c>
      <c r="G240" s="23" t="s">
        <v>1693</v>
      </c>
      <c r="H240" s="21" t="s">
        <v>1417</v>
      </c>
      <c r="I240" s="19"/>
      <c r="J240" s="19" t="s">
        <v>1418</v>
      </c>
      <c r="K240" s="19"/>
      <c r="L240" s="24" t="s">
        <v>50</v>
      </c>
      <c r="M240" s="19" t="s">
        <v>1419</v>
      </c>
      <c r="N240" s="36">
        <v>44776</v>
      </c>
      <c r="O240" s="37">
        <v>254545</v>
      </c>
      <c r="P240" s="19">
        <v>3</v>
      </c>
      <c r="Q240" s="40">
        <f t="shared" si="11"/>
        <v>763635</v>
      </c>
      <c r="R240" s="40">
        <v>275000</v>
      </c>
      <c r="S240" s="40">
        <f t="shared" si="10"/>
        <v>825000</v>
      </c>
    </row>
    <row r="241" spans="1:19">
      <c r="A241" s="17"/>
      <c r="B241" s="18">
        <v>371</v>
      </c>
      <c r="C241" s="19" t="s">
        <v>1420</v>
      </c>
      <c r="D241" s="20" t="s">
        <v>1421</v>
      </c>
      <c r="E241" s="21" t="s">
        <v>2</v>
      </c>
      <c r="F241" s="22" t="s">
        <v>1712</v>
      </c>
      <c r="G241" s="32" t="s">
        <v>1713</v>
      </c>
      <c r="H241" s="21" t="s">
        <v>462</v>
      </c>
      <c r="I241" s="19"/>
      <c r="J241" s="19" t="s">
        <v>1422</v>
      </c>
      <c r="K241" s="19"/>
      <c r="L241" s="24" t="s">
        <v>85</v>
      </c>
      <c r="M241" s="19" t="s">
        <v>1423</v>
      </c>
      <c r="N241" s="36">
        <v>44789</v>
      </c>
      <c r="O241" s="37">
        <v>222727</v>
      </c>
      <c r="P241" s="19">
        <v>53</v>
      </c>
      <c r="Q241" s="40">
        <f t="shared" si="11"/>
        <v>11804531</v>
      </c>
      <c r="R241" s="40">
        <f>410000/1.11</f>
        <v>369369.36936936935</v>
      </c>
      <c r="S241" s="40">
        <f t="shared" si="10"/>
        <v>19576576.576576576</v>
      </c>
    </row>
    <row r="242" spans="1:19">
      <c r="A242" s="17"/>
      <c r="B242" s="18">
        <v>372</v>
      </c>
      <c r="C242" s="19" t="s">
        <v>1424</v>
      </c>
      <c r="D242" s="20" t="s">
        <v>1425</v>
      </c>
      <c r="E242" s="21" t="s">
        <v>2</v>
      </c>
      <c r="F242" s="22" t="s">
        <v>1714</v>
      </c>
      <c r="G242" s="32" t="s">
        <v>1715</v>
      </c>
      <c r="H242" s="21" t="s">
        <v>556</v>
      </c>
      <c r="I242" s="19"/>
      <c r="J242" s="19" t="s">
        <v>1426</v>
      </c>
      <c r="K242" s="19"/>
      <c r="L242" s="24" t="s">
        <v>85</v>
      </c>
      <c r="M242" s="19" t="s">
        <v>1427</v>
      </c>
      <c r="N242" s="36">
        <v>44792</v>
      </c>
      <c r="O242" s="37">
        <v>222727</v>
      </c>
      <c r="P242" s="19">
        <v>350</v>
      </c>
      <c r="Q242" s="40">
        <f t="shared" si="11"/>
        <v>77954450</v>
      </c>
      <c r="R242" s="40">
        <v>357000</v>
      </c>
      <c r="S242" s="40">
        <f t="shared" si="10"/>
        <v>124950000</v>
      </c>
    </row>
    <row r="243" spans="1:19">
      <c r="A243" s="17"/>
      <c r="B243" s="18">
        <v>373</v>
      </c>
      <c r="C243" s="19" t="s">
        <v>1428</v>
      </c>
      <c r="D243" s="20" t="s">
        <v>1429</v>
      </c>
      <c r="E243" s="21" t="s">
        <v>11</v>
      </c>
      <c r="F243" s="22" t="s">
        <v>1696</v>
      </c>
      <c r="G243" s="32" t="s">
        <v>1697</v>
      </c>
      <c r="H243" s="24" t="s">
        <v>1188</v>
      </c>
      <c r="I243" s="19"/>
      <c r="J243" s="19" t="s">
        <v>1422</v>
      </c>
      <c r="K243" s="19"/>
      <c r="L243" s="24" t="s">
        <v>50</v>
      </c>
      <c r="M243" s="19" t="s">
        <v>1430</v>
      </c>
      <c r="N243" s="36">
        <v>44795</v>
      </c>
      <c r="O243" s="37">
        <v>444545</v>
      </c>
      <c r="P243" s="19">
        <v>1</v>
      </c>
      <c r="Q243" s="40">
        <f t="shared" si="11"/>
        <v>444545</v>
      </c>
      <c r="R243" s="40">
        <v>556363.63</v>
      </c>
      <c r="S243" s="40">
        <f t="shared" si="10"/>
        <v>556363.63</v>
      </c>
    </row>
    <row r="244" spans="1:19">
      <c r="A244" s="17"/>
      <c r="B244" s="18">
        <v>374</v>
      </c>
      <c r="C244" s="19" t="s">
        <v>1431</v>
      </c>
      <c r="D244" s="20" t="s">
        <v>1432</v>
      </c>
      <c r="E244" s="21" t="s">
        <v>1296</v>
      </c>
      <c r="F244" s="22" t="s">
        <v>1696</v>
      </c>
      <c r="G244" s="32" t="s">
        <v>1697</v>
      </c>
      <c r="H244" s="24" t="s">
        <v>733</v>
      </c>
      <c r="I244" s="19"/>
      <c r="J244" s="19" t="s">
        <v>1433</v>
      </c>
      <c r="K244" s="19"/>
      <c r="L244" s="24" t="s">
        <v>85</v>
      </c>
      <c r="M244" s="19" t="s">
        <v>1434</v>
      </c>
      <c r="N244" s="36">
        <v>44799</v>
      </c>
      <c r="O244" s="37">
        <v>222727</v>
      </c>
      <c r="P244" s="19">
        <v>1</v>
      </c>
      <c r="Q244" s="40">
        <f t="shared" si="11"/>
        <v>222727</v>
      </c>
      <c r="R244" s="40">
        <v>279091</v>
      </c>
      <c r="S244" s="40">
        <f t="shared" si="10"/>
        <v>279091</v>
      </c>
    </row>
    <row r="245" spans="1:19">
      <c r="A245" s="17"/>
      <c r="B245" s="18">
        <v>375</v>
      </c>
      <c r="C245" s="19" t="s">
        <v>1435</v>
      </c>
      <c r="D245" s="20" t="s">
        <v>1436</v>
      </c>
      <c r="E245" s="21" t="s">
        <v>1437</v>
      </c>
      <c r="F245" s="22" t="s">
        <v>1716</v>
      </c>
      <c r="G245" s="32" t="s">
        <v>1717</v>
      </c>
      <c r="H245" s="24" t="s">
        <v>1438</v>
      </c>
      <c r="I245" s="19"/>
      <c r="J245" s="19" t="s">
        <v>1439</v>
      </c>
      <c r="K245" s="19"/>
      <c r="L245" s="24" t="s">
        <v>63</v>
      </c>
      <c r="M245" s="19" t="s">
        <v>1440</v>
      </c>
      <c r="N245" s="36">
        <v>44804</v>
      </c>
      <c r="O245" s="37">
        <v>74181.600000000006</v>
      </c>
      <c r="P245" s="19">
        <v>150</v>
      </c>
      <c r="Q245" s="40">
        <f t="shared" si="11"/>
        <v>11127240</v>
      </c>
      <c r="R245" s="40">
        <f>145815/1.11</f>
        <v>131364.86486486485</v>
      </c>
      <c r="S245" s="40">
        <f t="shared" si="10"/>
        <v>19704729.729729727</v>
      </c>
    </row>
    <row r="246" spans="1:19">
      <c r="A246" s="17"/>
      <c r="B246" s="18">
        <v>376</v>
      </c>
      <c r="C246" s="19" t="s">
        <v>1441</v>
      </c>
      <c r="D246" s="20">
        <v>2500018879</v>
      </c>
      <c r="E246" s="21" t="s">
        <v>10</v>
      </c>
      <c r="F246" s="22" t="s">
        <v>1702</v>
      </c>
      <c r="G246" s="32" t="s">
        <v>1703</v>
      </c>
      <c r="H246" s="24" t="s">
        <v>814</v>
      </c>
      <c r="I246" s="19"/>
      <c r="J246" s="19" t="s">
        <v>1442</v>
      </c>
      <c r="K246" s="19"/>
      <c r="L246" s="24" t="s">
        <v>816</v>
      </c>
      <c r="M246" s="19" t="s">
        <v>1384</v>
      </c>
      <c r="N246" s="36">
        <v>44783</v>
      </c>
      <c r="O246" s="37">
        <v>22727</v>
      </c>
      <c r="P246" s="19">
        <v>5</v>
      </c>
      <c r="Q246" s="40">
        <f t="shared" si="11"/>
        <v>113635</v>
      </c>
      <c r="R246" s="40">
        <v>29091</v>
      </c>
      <c r="S246" s="40">
        <f t="shared" si="10"/>
        <v>145455</v>
      </c>
    </row>
    <row r="247" spans="1:19">
      <c r="A247" s="17"/>
      <c r="B247" s="18">
        <v>377</v>
      </c>
      <c r="C247" s="25" t="s">
        <v>1443</v>
      </c>
      <c r="D247" s="26" t="s">
        <v>1444</v>
      </c>
      <c r="E247" s="27" t="s">
        <v>82</v>
      </c>
      <c r="F247" s="28" t="s">
        <v>1698</v>
      </c>
      <c r="G247" s="31" t="s">
        <v>1699</v>
      </c>
      <c r="H247" s="30" t="s">
        <v>83</v>
      </c>
      <c r="I247" s="25"/>
      <c r="J247" s="25" t="s">
        <v>1445</v>
      </c>
      <c r="K247" s="25"/>
      <c r="L247" s="30" t="s">
        <v>85</v>
      </c>
      <c r="M247" s="25" t="s">
        <v>1446</v>
      </c>
      <c r="N247" s="38">
        <v>44809</v>
      </c>
      <c r="O247" s="39">
        <v>222727</v>
      </c>
      <c r="P247" s="25">
        <v>84</v>
      </c>
      <c r="Q247" s="41">
        <f t="shared" si="11"/>
        <v>18709068</v>
      </c>
      <c r="R247" s="41">
        <v>279090.90999999997</v>
      </c>
      <c r="S247" s="41">
        <f t="shared" si="10"/>
        <v>23443636.439999998</v>
      </c>
    </row>
    <row r="248" spans="1:19">
      <c r="A248" s="17"/>
      <c r="B248" s="18">
        <v>378</v>
      </c>
      <c r="C248" s="25" t="s">
        <v>1447</v>
      </c>
      <c r="D248" s="26">
        <v>83338</v>
      </c>
      <c r="E248" s="27" t="s">
        <v>17</v>
      </c>
      <c r="F248" s="28" t="s">
        <v>1708</v>
      </c>
      <c r="G248" s="31" t="s">
        <v>1709</v>
      </c>
      <c r="H248" s="27" t="s">
        <v>88</v>
      </c>
      <c r="I248" s="25"/>
      <c r="J248" s="25" t="s">
        <v>1448</v>
      </c>
      <c r="K248" s="25"/>
      <c r="L248" s="30" t="s">
        <v>85</v>
      </c>
      <c r="M248" s="25" t="s">
        <v>1449</v>
      </c>
      <c r="N248" s="38">
        <v>44811</v>
      </c>
      <c r="O248" s="39">
        <v>222727</v>
      </c>
      <c r="P248" s="25">
        <v>5</v>
      </c>
      <c r="Q248" s="41">
        <f t="shared" si="11"/>
        <v>1113635</v>
      </c>
      <c r="R248" s="41">
        <v>275000</v>
      </c>
      <c r="S248" s="41">
        <f t="shared" si="10"/>
        <v>1375000</v>
      </c>
    </row>
    <row r="249" spans="1:19">
      <c r="A249" s="17"/>
      <c r="B249" s="18">
        <v>379</v>
      </c>
      <c r="C249" s="25" t="s">
        <v>1450</v>
      </c>
      <c r="D249" s="26">
        <v>83338</v>
      </c>
      <c r="E249" s="27" t="s">
        <v>17</v>
      </c>
      <c r="F249" s="28" t="s">
        <v>1708</v>
      </c>
      <c r="G249" s="31" t="s">
        <v>1709</v>
      </c>
      <c r="H249" s="27" t="s">
        <v>88</v>
      </c>
      <c r="I249" s="25"/>
      <c r="J249" s="25" t="s">
        <v>1451</v>
      </c>
      <c r="K249" s="25"/>
      <c r="L249" s="30" t="s">
        <v>85</v>
      </c>
      <c r="M249" s="25" t="s">
        <v>90</v>
      </c>
      <c r="N249" s="38">
        <v>44811</v>
      </c>
      <c r="O249" s="39">
        <v>222727</v>
      </c>
      <c r="P249" s="25">
        <v>24</v>
      </c>
      <c r="Q249" s="41">
        <f t="shared" si="11"/>
        <v>5345448</v>
      </c>
      <c r="R249" s="41">
        <v>275000</v>
      </c>
      <c r="S249" s="41">
        <f t="shared" si="10"/>
        <v>6600000</v>
      </c>
    </row>
    <row r="250" spans="1:19">
      <c r="A250" s="17"/>
      <c r="B250" s="18">
        <v>380</v>
      </c>
      <c r="C250" s="25" t="s">
        <v>1452</v>
      </c>
      <c r="D250" s="26">
        <v>83338</v>
      </c>
      <c r="E250" s="27" t="s">
        <v>17</v>
      </c>
      <c r="F250" s="28" t="s">
        <v>1708</v>
      </c>
      <c r="G250" s="31" t="s">
        <v>1709</v>
      </c>
      <c r="H250" s="27" t="s">
        <v>88</v>
      </c>
      <c r="I250" s="25"/>
      <c r="J250" s="25" t="s">
        <v>1448</v>
      </c>
      <c r="K250" s="25"/>
      <c r="L250" s="30" t="s">
        <v>92</v>
      </c>
      <c r="M250" s="25" t="s">
        <v>1453</v>
      </c>
      <c r="N250" s="38">
        <v>44811</v>
      </c>
      <c r="O250" s="39">
        <v>46364</v>
      </c>
      <c r="P250" s="25">
        <v>5</v>
      </c>
      <c r="Q250" s="41">
        <f t="shared" si="11"/>
        <v>231820</v>
      </c>
      <c r="R250" s="41">
        <v>57000</v>
      </c>
      <c r="S250" s="41">
        <f t="shared" si="10"/>
        <v>285000</v>
      </c>
    </row>
    <row r="251" spans="1:19">
      <c r="A251" s="17"/>
      <c r="B251" s="18">
        <v>381</v>
      </c>
      <c r="C251" s="25" t="s">
        <v>1454</v>
      </c>
      <c r="D251" s="26">
        <v>83338</v>
      </c>
      <c r="E251" s="27" t="s">
        <v>17</v>
      </c>
      <c r="F251" s="28" t="s">
        <v>1708</v>
      </c>
      <c r="G251" s="31" t="s">
        <v>1709</v>
      </c>
      <c r="H251" s="27" t="s">
        <v>88</v>
      </c>
      <c r="I251" s="25"/>
      <c r="J251" s="25" t="s">
        <v>1451</v>
      </c>
      <c r="K251" s="25"/>
      <c r="L251" s="30" t="s">
        <v>92</v>
      </c>
      <c r="M251" s="25" t="s">
        <v>93</v>
      </c>
      <c r="N251" s="38">
        <v>44811</v>
      </c>
      <c r="O251" s="39">
        <v>46364</v>
      </c>
      <c r="P251" s="25">
        <v>24</v>
      </c>
      <c r="Q251" s="41">
        <f t="shared" si="11"/>
        <v>1112736</v>
      </c>
      <c r="R251" s="41">
        <v>57000</v>
      </c>
      <c r="S251" s="41">
        <f t="shared" si="10"/>
        <v>1368000</v>
      </c>
    </row>
    <row r="252" spans="1:19">
      <c r="A252" s="17"/>
      <c r="B252" s="18">
        <v>382</v>
      </c>
      <c r="C252" s="25" t="s">
        <v>1455</v>
      </c>
      <c r="D252" s="26">
        <v>83338</v>
      </c>
      <c r="E252" s="27" t="s">
        <v>17</v>
      </c>
      <c r="F252" s="28" t="s">
        <v>1708</v>
      </c>
      <c r="G252" s="31" t="s">
        <v>1709</v>
      </c>
      <c r="H252" s="27" t="s">
        <v>88</v>
      </c>
      <c r="I252" s="25"/>
      <c r="J252" s="25" t="s">
        <v>1456</v>
      </c>
      <c r="K252" s="25"/>
      <c r="L252" s="30" t="s">
        <v>1457</v>
      </c>
      <c r="M252" s="25" t="s">
        <v>1458</v>
      </c>
      <c r="N252" s="38">
        <v>44811</v>
      </c>
      <c r="O252" s="39">
        <v>216480.5</v>
      </c>
      <c r="P252" s="25">
        <v>3</v>
      </c>
      <c r="Q252" s="41">
        <f t="shared" si="11"/>
        <v>649441.5</v>
      </c>
      <c r="R252" s="41">
        <v>533408</v>
      </c>
      <c r="S252" s="41">
        <f t="shared" si="10"/>
        <v>1600224</v>
      </c>
    </row>
    <row r="253" spans="1:19">
      <c r="A253" s="17"/>
      <c r="B253" s="18">
        <v>383</v>
      </c>
      <c r="C253" s="25" t="s">
        <v>1459</v>
      </c>
      <c r="D253" s="26">
        <v>4800465039</v>
      </c>
      <c r="E253" s="27" t="s">
        <v>12</v>
      </c>
      <c r="F253" s="28" t="s">
        <v>1700</v>
      </c>
      <c r="G253" s="31" t="s">
        <v>1701</v>
      </c>
      <c r="H253" s="27" t="s">
        <v>742</v>
      </c>
      <c r="I253" s="25"/>
      <c r="J253" s="25" t="s">
        <v>1460</v>
      </c>
      <c r="K253" s="25"/>
      <c r="L253" s="30" t="s">
        <v>92</v>
      </c>
      <c r="M253" s="25" t="s">
        <v>1461</v>
      </c>
      <c r="N253" s="38">
        <v>44812</v>
      </c>
      <c r="O253" s="39">
        <v>32273</v>
      </c>
      <c r="P253" s="25">
        <v>906</v>
      </c>
      <c r="Q253" s="41">
        <f t="shared" si="11"/>
        <v>29239338</v>
      </c>
      <c r="R253" s="41">
        <v>35500</v>
      </c>
      <c r="S253" s="41">
        <f t="shared" si="10"/>
        <v>32163000</v>
      </c>
    </row>
    <row r="254" spans="1:19">
      <c r="A254" s="17"/>
      <c r="B254" s="18">
        <v>384</v>
      </c>
      <c r="C254" s="25" t="s">
        <v>1462</v>
      </c>
      <c r="D254" s="26" t="s">
        <v>1463</v>
      </c>
      <c r="E254" s="27" t="s">
        <v>11</v>
      </c>
      <c r="F254" s="28" t="s">
        <v>1696</v>
      </c>
      <c r="G254" s="31" t="s">
        <v>1697</v>
      </c>
      <c r="H254" s="27" t="s">
        <v>1412</v>
      </c>
      <c r="I254" s="25"/>
      <c r="J254" s="25" t="s">
        <v>1464</v>
      </c>
      <c r="K254" s="25"/>
      <c r="L254" s="30" t="s">
        <v>1413</v>
      </c>
      <c r="M254" s="25" t="s">
        <v>1465</v>
      </c>
      <c r="N254" s="38">
        <v>44812</v>
      </c>
      <c r="O254" s="39">
        <v>106575</v>
      </c>
      <c r="P254" s="25">
        <v>1</v>
      </c>
      <c r="Q254" s="41">
        <f t="shared" si="11"/>
        <v>106575</v>
      </c>
      <c r="R254" s="41">
        <v>116264</v>
      </c>
      <c r="S254" s="41">
        <f t="shared" si="10"/>
        <v>116264</v>
      </c>
    </row>
    <row r="255" spans="1:19">
      <c r="A255" s="17"/>
      <c r="B255" s="18">
        <v>385</v>
      </c>
      <c r="C255" s="25" t="s">
        <v>1466</v>
      </c>
      <c r="D255" s="26" t="s">
        <v>1467</v>
      </c>
      <c r="E255" s="27" t="s">
        <v>1468</v>
      </c>
      <c r="F255" s="28" t="s">
        <v>1706</v>
      </c>
      <c r="G255" s="31" t="s">
        <v>1707</v>
      </c>
      <c r="H255" s="30" t="s">
        <v>1276</v>
      </c>
      <c r="I255" s="25"/>
      <c r="J255" s="25" t="s">
        <v>1469</v>
      </c>
      <c r="K255" s="25"/>
      <c r="L255" s="30" t="s">
        <v>85</v>
      </c>
      <c r="M255" s="25" t="s">
        <v>1470</v>
      </c>
      <c r="N255" s="38">
        <v>44812</v>
      </c>
      <c r="O255" s="39">
        <v>222727</v>
      </c>
      <c r="P255" s="25">
        <v>60</v>
      </c>
      <c r="Q255" s="41">
        <f t="shared" si="11"/>
        <v>13363620</v>
      </c>
      <c r="R255" s="41">
        <v>367702</v>
      </c>
      <c r="S255" s="41">
        <f t="shared" si="10"/>
        <v>22062120</v>
      </c>
    </row>
    <row r="256" spans="1:19">
      <c r="A256" s="17"/>
      <c r="B256" s="18">
        <v>386</v>
      </c>
      <c r="C256" s="25" t="s">
        <v>1471</v>
      </c>
      <c r="D256" s="26" t="s">
        <v>2</v>
      </c>
      <c r="E256" s="27" t="s">
        <v>1472</v>
      </c>
      <c r="F256" s="28" t="s">
        <v>1718</v>
      </c>
      <c r="G256" s="31" t="s">
        <v>1719</v>
      </c>
      <c r="H256" s="30" t="s">
        <v>131</v>
      </c>
      <c r="I256" s="25"/>
      <c r="J256" s="25" t="s">
        <v>1473</v>
      </c>
      <c r="K256" s="25"/>
      <c r="L256" s="30" t="s">
        <v>50</v>
      </c>
      <c r="M256" s="25" t="s">
        <v>1474</v>
      </c>
      <c r="N256" s="38">
        <v>44824</v>
      </c>
      <c r="O256" s="39">
        <v>351191</v>
      </c>
      <c r="P256" s="25">
        <v>305</v>
      </c>
      <c r="Q256" s="41">
        <f t="shared" si="11"/>
        <v>107113255</v>
      </c>
      <c r="R256" s="41">
        <v>449549</v>
      </c>
      <c r="S256" s="41">
        <f t="shared" si="10"/>
        <v>137112445</v>
      </c>
    </row>
    <row r="257" spans="1:19">
      <c r="A257" s="17"/>
      <c r="B257" s="18">
        <v>387</v>
      </c>
      <c r="C257" s="25" t="s">
        <v>1475</v>
      </c>
      <c r="D257" s="26" t="s">
        <v>1476</v>
      </c>
      <c r="E257" s="27" t="s">
        <v>9</v>
      </c>
      <c r="F257" s="28" t="s">
        <v>1692</v>
      </c>
      <c r="G257" s="29" t="s">
        <v>1693</v>
      </c>
      <c r="H257" s="30" t="s">
        <v>1365</v>
      </c>
      <c r="I257" s="25"/>
      <c r="J257" s="25" t="s">
        <v>1477</v>
      </c>
      <c r="K257" s="25"/>
      <c r="L257" s="30" t="s">
        <v>50</v>
      </c>
      <c r="M257" s="25" t="s">
        <v>1478</v>
      </c>
      <c r="N257" s="38">
        <v>44831</v>
      </c>
      <c r="O257" s="39">
        <v>254545</v>
      </c>
      <c r="P257" s="25">
        <v>2</v>
      </c>
      <c r="Q257" s="41">
        <f t="shared" si="11"/>
        <v>509090</v>
      </c>
      <c r="R257" s="41">
        <v>275000</v>
      </c>
      <c r="S257" s="41">
        <f t="shared" si="10"/>
        <v>550000</v>
      </c>
    </row>
    <row r="258" spans="1:19">
      <c r="A258" s="17"/>
      <c r="B258" s="18">
        <v>388</v>
      </c>
      <c r="C258" s="25" t="s">
        <v>1479</v>
      </c>
      <c r="D258" s="26" t="s">
        <v>1480</v>
      </c>
      <c r="E258" s="27" t="s">
        <v>82</v>
      </c>
      <c r="F258" s="28" t="s">
        <v>1698</v>
      </c>
      <c r="G258" s="31" t="s">
        <v>1699</v>
      </c>
      <c r="H258" s="27" t="s">
        <v>83</v>
      </c>
      <c r="I258" s="25"/>
      <c r="J258" s="25" t="s">
        <v>1481</v>
      </c>
      <c r="K258" s="25"/>
      <c r="L258" s="30" t="s">
        <v>85</v>
      </c>
      <c r="M258" s="25" t="s">
        <v>1482</v>
      </c>
      <c r="N258" s="38">
        <v>44832</v>
      </c>
      <c r="O258" s="39">
        <v>222727</v>
      </c>
      <c r="P258" s="25">
        <v>165</v>
      </c>
      <c r="Q258" s="41">
        <f t="shared" si="11"/>
        <v>36749955</v>
      </c>
      <c r="R258" s="41">
        <v>279090.90999999997</v>
      </c>
      <c r="S258" s="41">
        <f t="shared" si="10"/>
        <v>46050000.149999999</v>
      </c>
    </row>
    <row r="259" spans="1:19">
      <c r="A259" s="17"/>
      <c r="B259" s="18">
        <v>389</v>
      </c>
      <c r="C259" s="25" t="s">
        <v>1483</v>
      </c>
      <c r="D259" s="26">
        <v>2500024113</v>
      </c>
      <c r="E259" s="27" t="s">
        <v>10</v>
      </c>
      <c r="F259" s="28" t="s">
        <v>1702</v>
      </c>
      <c r="G259" s="31" t="s">
        <v>1703</v>
      </c>
      <c r="H259" s="27" t="s">
        <v>814</v>
      </c>
      <c r="I259" s="25"/>
      <c r="J259" s="25" t="s">
        <v>1484</v>
      </c>
      <c r="K259" s="25"/>
      <c r="L259" s="30" t="s">
        <v>816</v>
      </c>
      <c r="M259" s="25" t="s">
        <v>1384</v>
      </c>
      <c r="N259" s="38">
        <v>44783</v>
      </c>
      <c r="O259" s="39">
        <v>22727</v>
      </c>
      <c r="P259" s="25">
        <v>5</v>
      </c>
      <c r="Q259" s="41">
        <f t="shared" si="11"/>
        <v>113635</v>
      </c>
      <c r="R259" s="41">
        <v>29091</v>
      </c>
      <c r="S259" s="41">
        <f t="shared" si="10"/>
        <v>145455</v>
      </c>
    </row>
    <row r="260" spans="1:19">
      <c r="A260" s="17"/>
      <c r="B260" s="18">
        <v>390</v>
      </c>
      <c r="C260" s="19" t="s">
        <v>1485</v>
      </c>
      <c r="D260" s="20">
        <v>4800470092</v>
      </c>
      <c r="E260" s="21" t="s">
        <v>12</v>
      </c>
      <c r="F260" s="22" t="s">
        <v>1700</v>
      </c>
      <c r="G260" s="32" t="s">
        <v>1701</v>
      </c>
      <c r="H260" s="21" t="s">
        <v>466</v>
      </c>
      <c r="I260" s="19"/>
      <c r="J260" s="19" t="s">
        <v>1486</v>
      </c>
      <c r="K260" s="19"/>
      <c r="L260" s="24" t="s">
        <v>85</v>
      </c>
      <c r="M260" s="19" t="s">
        <v>1487</v>
      </c>
      <c r="N260" s="36">
        <v>44859</v>
      </c>
      <c r="O260" s="37">
        <v>222727</v>
      </c>
      <c r="P260" s="19">
        <v>95</v>
      </c>
      <c r="Q260" s="40">
        <f t="shared" si="11"/>
        <v>21159065</v>
      </c>
      <c r="R260" s="40">
        <v>257182</v>
      </c>
      <c r="S260" s="40">
        <f t="shared" si="10"/>
        <v>24432290</v>
      </c>
    </row>
    <row r="261" spans="1:19" s="1" customFormat="1" ht="12.75">
      <c r="A261" s="17"/>
      <c r="B261" s="18">
        <v>391</v>
      </c>
      <c r="C261" s="19" t="s">
        <v>1488</v>
      </c>
      <c r="D261" s="20">
        <v>2500026864</v>
      </c>
      <c r="E261" s="21" t="s">
        <v>11</v>
      </c>
      <c r="F261" s="22" t="s">
        <v>1696</v>
      </c>
      <c r="G261" s="32" t="s">
        <v>1697</v>
      </c>
      <c r="H261" s="24" t="s">
        <v>814</v>
      </c>
      <c r="I261" s="19"/>
      <c r="J261" s="19" t="s">
        <v>1489</v>
      </c>
      <c r="K261" s="19"/>
      <c r="L261" s="24" t="s">
        <v>816</v>
      </c>
      <c r="M261" s="19" t="s">
        <v>1384</v>
      </c>
      <c r="N261" s="36">
        <v>44848</v>
      </c>
      <c r="O261" s="37">
        <v>22727</v>
      </c>
      <c r="P261" s="19">
        <v>5</v>
      </c>
      <c r="Q261" s="40">
        <f t="shared" si="11"/>
        <v>113635</v>
      </c>
      <c r="R261" s="40">
        <v>29091</v>
      </c>
      <c r="S261" s="40">
        <f t="shared" si="10"/>
        <v>145455</v>
      </c>
    </row>
    <row r="262" spans="1:19" s="1" customFormat="1" ht="12.75">
      <c r="A262" s="17"/>
      <c r="B262" s="18">
        <v>392</v>
      </c>
      <c r="C262" s="19" t="s">
        <v>1490</v>
      </c>
      <c r="D262" s="20">
        <v>2500026864</v>
      </c>
      <c r="E262" s="21" t="s">
        <v>11</v>
      </c>
      <c r="F262" s="22" t="s">
        <v>1696</v>
      </c>
      <c r="G262" s="32" t="s">
        <v>1697</v>
      </c>
      <c r="H262" s="24" t="s">
        <v>814</v>
      </c>
      <c r="I262" s="19"/>
      <c r="J262" s="19" t="s">
        <v>1491</v>
      </c>
      <c r="K262" s="19"/>
      <c r="L262" s="24" t="s">
        <v>816</v>
      </c>
      <c r="M262" s="19" t="s">
        <v>1492</v>
      </c>
      <c r="N262" s="36">
        <v>44848</v>
      </c>
      <c r="O262" s="37">
        <v>22727</v>
      </c>
      <c r="P262" s="19">
        <v>10</v>
      </c>
      <c r="Q262" s="40">
        <f t="shared" si="11"/>
        <v>227270</v>
      </c>
      <c r="R262" s="40">
        <v>29091</v>
      </c>
      <c r="S262" s="40">
        <f t="shared" si="10"/>
        <v>290910</v>
      </c>
    </row>
    <row r="263" spans="1:19">
      <c r="A263" s="17"/>
      <c r="B263" s="18">
        <v>393</v>
      </c>
      <c r="C263" s="25" t="s">
        <v>1493</v>
      </c>
      <c r="D263" s="26" t="s">
        <v>1494</v>
      </c>
      <c r="E263" s="27" t="s">
        <v>1495</v>
      </c>
      <c r="F263" s="28" t="s">
        <v>1716</v>
      </c>
      <c r="G263" s="31" t="s">
        <v>1717</v>
      </c>
      <c r="H263" s="30" t="s">
        <v>1438</v>
      </c>
      <c r="I263" s="25"/>
      <c r="J263" s="25" t="s">
        <v>1496</v>
      </c>
      <c r="K263" s="25"/>
      <c r="L263" s="30" t="s">
        <v>63</v>
      </c>
      <c r="M263" s="25" t="s">
        <v>1497</v>
      </c>
      <c r="N263" s="38">
        <v>44881</v>
      </c>
      <c r="O263" s="39">
        <v>74181.600000000006</v>
      </c>
      <c r="P263" s="25">
        <v>113</v>
      </c>
      <c r="Q263" s="41">
        <f t="shared" si="11"/>
        <v>8382520.8000000007</v>
      </c>
      <c r="R263" s="41">
        <f>149000/1.11</f>
        <v>134234.23423423423</v>
      </c>
      <c r="S263" s="41">
        <f t="shared" si="10"/>
        <v>15168468.468468469</v>
      </c>
    </row>
    <row r="264" spans="1:19">
      <c r="A264" s="17"/>
      <c r="B264" s="18">
        <v>394</v>
      </c>
      <c r="C264" s="25" t="s">
        <v>1498</v>
      </c>
      <c r="D264" s="26" t="s">
        <v>1499</v>
      </c>
      <c r="E264" s="27" t="s">
        <v>7</v>
      </c>
      <c r="F264" s="28" t="s">
        <v>1698</v>
      </c>
      <c r="G264" s="31" t="s">
        <v>1699</v>
      </c>
      <c r="H264" s="27" t="s">
        <v>83</v>
      </c>
      <c r="I264" s="25"/>
      <c r="J264" s="25" t="s">
        <v>1500</v>
      </c>
      <c r="K264" s="25"/>
      <c r="L264" s="30" t="s">
        <v>85</v>
      </c>
      <c r="M264" s="25" t="s">
        <v>1501</v>
      </c>
      <c r="N264" s="38">
        <v>44886</v>
      </c>
      <c r="O264" s="39">
        <v>222727</v>
      </c>
      <c r="P264" s="25">
        <v>154</v>
      </c>
      <c r="Q264" s="41">
        <f t="shared" si="11"/>
        <v>34299958</v>
      </c>
      <c r="R264" s="41">
        <v>279090.90999999997</v>
      </c>
      <c r="S264" s="41">
        <f t="shared" si="10"/>
        <v>42980000.139999993</v>
      </c>
    </row>
    <row r="265" spans="1:19">
      <c r="A265" s="17"/>
      <c r="B265" s="18">
        <v>395</v>
      </c>
      <c r="C265" s="25" t="s">
        <v>1502</v>
      </c>
      <c r="D265" s="26">
        <v>2500030158</v>
      </c>
      <c r="E265" s="27" t="s">
        <v>10</v>
      </c>
      <c r="F265" s="28" t="s">
        <v>1702</v>
      </c>
      <c r="G265" s="31" t="s">
        <v>1703</v>
      </c>
      <c r="H265" s="27" t="s">
        <v>1503</v>
      </c>
      <c r="I265" s="25"/>
      <c r="J265" s="25" t="s">
        <v>1504</v>
      </c>
      <c r="K265" s="25"/>
      <c r="L265" s="30" t="s">
        <v>816</v>
      </c>
      <c r="M265" s="25" t="s">
        <v>1505</v>
      </c>
      <c r="N265" s="38">
        <v>44874</v>
      </c>
      <c r="O265" s="39">
        <v>22727</v>
      </c>
      <c r="P265" s="25">
        <v>15</v>
      </c>
      <c r="Q265" s="41">
        <f t="shared" si="11"/>
        <v>340905</v>
      </c>
      <c r="R265" s="41">
        <v>29091</v>
      </c>
      <c r="S265" s="41">
        <f t="shared" ref="S265:S320" si="12">R265*P265</f>
        <v>436365</v>
      </c>
    </row>
    <row r="266" spans="1:19">
      <c r="A266" s="17"/>
      <c r="B266" s="18">
        <v>396</v>
      </c>
      <c r="C266" s="25" t="s">
        <v>1506</v>
      </c>
      <c r="D266" s="26" t="s">
        <v>1507</v>
      </c>
      <c r="E266" s="27" t="s">
        <v>11</v>
      </c>
      <c r="F266" s="28" t="s">
        <v>1696</v>
      </c>
      <c r="G266" s="31" t="s">
        <v>1697</v>
      </c>
      <c r="H266" s="27" t="s">
        <v>1188</v>
      </c>
      <c r="I266" s="25"/>
      <c r="J266" s="25" t="s">
        <v>1508</v>
      </c>
      <c r="K266" s="25"/>
      <c r="L266" s="30" t="s">
        <v>50</v>
      </c>
      <c r="M266" s="25" t="s">
        <v>1509</v>
      </c>
      <c r="N266" s="38">
        <v>44888</v>
      </c>
      <c r="O266" s="39">
        <v>444545</v>
      </c>
      <c r="P266" s="25">
        <v>28</v>
      </c>
      <c r="Q266" s="41">
        <f t="shared" si="11"/>
        <v>12447260</v>
      </c>
      <c r="R266" s="41">
        <v>556364</v>
      </c>
      <c r="S266" s="41">
        <f t="shared" si="12"/>
        <v>15578192</v>
      </c>
    </row>
    <row r="267" spans="1:19">
      <c r="A267" s="17"/>
      <c r="B267" s="18">
        <v>397</v>
      </c>
      <c r="C267" s="25" t="s">
        <v>1510</v>
      </c>
      <c r="D267" s="26" t="s">
        <v>1511</v>
      </c>
      <c r="E267" s="27" t="s">
        <v>1437</v>
      </c>
      <c r="F267" s="28" t="s">
        <v>1716</v>
      </c>
      <c r="G267" s="31" t="s">
        <v>1717</v>
      </c>
      <c r="H267" s="27" t="s">
        <v>1512</v>
      </c>
      <c r="I267" s="25"/>
      <c r="J267" s="25" t="s">
        <v>1513</v>
      </c>
      <c r="K267" s="25"/>
      <c r="L267" s="30" t="s">
        <v>85</v>
      </c>
      <c r="M267" s="25" t="s">
        <v>1514</v>
      </c>
      <c r="N267" s="38">
        <v>44888</v>
      </c>
      <c r="O267" s="39">
        <v>222727</v>
      </c>
      <c r="P267" s="25">
        <v>11</v>
      </c>
      <c r="Q267" s="41">
        <f t="shared" si="11"/>
        <v>2449997</v>
      </c>
      <c r="R267" s="41">
        <v>281184</v>
      </c>
      <c r="S267" s="41">
        <f t="shared" si="12"/>
        <v>3093024</v>
      </c>
    </row>
    <row r="268" spans="1:19">
      <c r="A268" s="17"/>
      <c r="B268" s="18">
        <v>398</v>
      </c>
      <c r="C268" s="19" t="s">
        <v>1515</v>
      </c>
      <c r="D268" s="20" t="s">
        <v>1516</v>
      </c>
      <c r="E268" s="21" t="s">
        <v>11</v>
      </c>
      <c r="F268" s="22" t="s">
        <v>1696</v>
      </c>
      <c r="G268" s="32" t="s">
        <v>1697</v>
      </c>
      <c r="H268" s="21" t="s">
        <v>1517</v>
      </c>
      <c r="I268" s="19"/>
      <c r="J268" s="19" t="s">
        <v>1518</v>
      </c>
      <c r="K268" s="19"/>
      <c r="L268" s="24" t="s">
        <v>1519</v>
      </c>
      <c r="M268" s="19" t="s">
        <v>1520</v>
      </c>
      <c r="N268" s="36">
        <v>44896</v>
      </c>
      <c r="O268" s="37">
        <v>43636</v>
      </c>
      <c r="P268" s="19">
        <v>40</v>
      </c>
      <c r="Q268" s="40">
        <f t="shared" si="11"/>
        <v>1745440</v>
      </c>
      <c r="R268" s="40">
        <v>57300</v>
      </c>
      <c r="S268" s="40">
        <f t="shared" si="12"/>
        <v>2292000</v>
      </c>
    </row>
    <row r="269" spans="1:19">
      <c r="A269" s="17"/>
      <c r="B269" s="18">
        <v>399</v>
      </c>
      <c r="C269" s="19" t="s">
        <v>1521</v>
      </c>
      <c r="D269" s="20" t="s">
        <v>1522</v>
      </c>
      <c r="E269" s="21" t="s">
        <v>11</v>
      </c>
      <c r="F269" s="22" t="s">
        <v>1696</v>
      </c>
      <c r="G269" s="32" t="s">
        <v>1697</v>
      </c>
      <c r="H269" s="21" t="s">
        <v>1517</v>
      </c>
      <c r="I269" s="19"/>
      <c r="J269" s="19" t="s">
        <v>1523</v>
      </c>
      <c r="K269" s="19"/>
      <c r="L269" s="24" t="s">
        <v>1519</v>
      </c>
      <c r="M269" s="19" t="s">
        <v>1524</v>
      </c>
      <c r="N269" s="36">
        <v>44900</v>
      </c>
      <c r="O269" s="37">
        <v>43636</v>
      </c>
      <c r="P269" s="19">
        <v>60</v>
      </c>
      <c r="Q269" s="40">
        <f t="shared" si="11"/>
        <v>2618160</v>
      </c>
      <c r="R269" s="40">
        <v>57300</v>
      </c>
      <c r="S269" s="40">
        <f t="shared" si="12"/>
        <v>3438000</v>
      </c>
    </row>
    <row r="270" spans="1:19" s="1" customFormat="1" ht="12.75">
      <c r="A270" s="17"/>
      <c r="B270" s="18">
        <v>400</v>
      </c>
      <c r="C270" s="19" t="s">
        <v>1525</v>
      </c>
      <c r="D270" s="20" t="s">
        <v>2</v>
      </c>
      <c r="E270" s="21" t="s">
        <v>2</v>
      </c>
      <c r="F270" s="21"/>
      <c r="G270" s="43"/>
      <c r="H270" s="24" t="s">
        <v>1526</v>
      </c>
      <c r="I270" s="19"/>
      <c r="J270" s="19" t="s">
        <v>1527</v>
      </c>
      <c r="K270" s="19"/>
      <c r="L270" s="24" t="s">
        <v>1528</v>
      </c>
      <c r="M270" s="19" t="s">
        <v>1529</v>
      </c>
      <c r="N270" s="36">
        <v>44903</v>
      </c>
      <c r="O270" s="37">
        <v>36081</v>
      </c>
      <c r="P270" s="19">
        <v>3</v>
      </c>
      <c r="Q270" s="40">
        <f t="shared" si="11"/>
        <v>108243</v>
      </c>
      <c r="R270" s="40">
        <f>49950/1.11</f>
        <v>44999.999999999993</v>
      </c>
      <c r="S270" s="40">
        <f t="shared" si="12"/>
        <v>134999.99999999997</v>
      </c>
    </row>
    <row r="271" spans="1:19" s="1" customFormat="1" ht="12.75">
      <c r="A271" s="17"/>
      <c r="B271" s="18">
        <v>401</v>
      </c>
      <c r="C271" s="19" t="s">
        <v>1530</v>
      </c>
      <c r="D271" s="20" t="s">
        <v>2</v>
      </c>
      <c r="E271" s="21" t="s">
        <v>2</v>
      </c>
      <c r="F271" s="21"/>
      <c r="G271" s="43"/>
      <c r="H271" s="24" t="s">
        <v>1526</v>
      </c>
      <c r="I271" s="19"/>
      <c r="J271" s="19" t="s">
        <v>1527</v>
      </c>
      <c r="K271" s="19"/>
      <c r="L271" s="24" t="s">
        <v>1528</v>
      </c>
      <c r="M271" s="19" t="s">
        <v>1531</v>
      </c>
      <c r="N271" s="36">
        <v>44903</v>
      </c>
      <c r="O271" s="37">
        <v>36081</v>
      </c>
      <c r="P271" s="19">
        <v>3</v>
      </c>
      <c r="Q271" s="40">
        <f t="shared" si="11"/>
        <v>108243</v>
      </c>
      <c r="R271" s="40">
        <f>49950/1.11</f>
        <v>44999.999999999993</v>
      </c>
      <c r="S271" s="40">
        <f t="shared" si="12"/>
        <v>134999.99999999997</v>
      </c>
    </row>
    <row r="272" spans="1:19">
      <c r="A272" s="17"/>
      <c r="B272" s="18">
        <v>402</v>
      </c>
      <c r="C272" s="19" t="s">
        <v>1532</v>
      </c>
      <c r="D272" s="20" t="s">
        <v>1533</v>
      </c>
      <c r="E272" s="21" t="s">
        <v>11</v>
      </c>
      <c r="F272" s="22" t="s">
        <v>1696</v>
      </c>
      <c r="G272" s="32" t="s">
        <v>1697</v>
      </c>
      <c r="H272" s="21" t="s">
        <v>1517</v>
      </c>
      <c r="I272" s="19"/>
      <c r="J272" s="19" t="s">
        <v>1534</v>
      </c>
      <c r="K272" s="19"/>
      <c r="L272" s="24" t="s">
        <v>1519</v>
      </c>
      <c r="M272" s="19" t="s">
        <v>1535</v>
      </c>
      <c r="N272" s="36">
        <v>44905</v>
      </c>
      <c r="O272" s="37">
        <v>43636</v>
      </c>
      <c r="P272" s="19">
        <v>700</v>
      </c>
      <c r="Q272" s="40">
        <f t="shared" si="11"/>
        <v>30545200</v>
      </c>
      <c r="R272" s="40">
        <v>57300</v>
      </c>
      <c r="S272" s="40">
        <f t="shared" si="12"/>
        <v>40110000</v>
      </c>
    </row>
    <row r="273" spans="1:19" s="1" customFormat="1" ht="12.75">
      <c r="A273" s="17"/>
      <c r="B273" s="18">
        <v>403</v>
      </c>
      <c r="C273" s="19" t="s">
        <v>1536</v>
      </c>
      <c r="D273" s="20">
        <v>84404</v>
      </c>
      <c r="E273" s="21" t="s">
        <v>17</v>
      </c>
      <c r="F273" s="22" t="s">
        <v>1708</v>
      </c>
      <c r="G273" s="32" t="s">
        <v>1709</v>
      </c>
      <c r="H273" s="24" t="s">
        <v>114</v>
      </c>
      <c r="I273" s="19"/>
      <c r="J273" s="19" t="s">
        <v>1537</v>
      </c>
      <c r="K273" s="19"/>
      <c r="L273" s="24" t="s">
        <v>85</v>
      </c>
      <c r="M273" s="19" t="s">
        <v>1538</v>
      </c>
      <c r="N273" s="36">
        <v>44907</v>
      </c>
      <c r="O273" s="37">
        <v>222727</v>
      </c>
      <c r="P273" s="19">
        <v>49</v>
      </c>
      <c r="Q273" s="40">
        <f t="shared" si="11"/>
        <v>10913623</v>
      </c>
      <c r="R273" s="40">
        <v>279091</v>
      </c>
      <c r="S273" s="40">
        <f t="shared" si="12"/>
        <v>13675459</v>
      </c>
    </row>
    <row r="274" spans="1:19">
      <c r="A274" s="17"/>
      <c r="B274" s="18">
        <v>404</v>
      </c>
      <c r="C274" s="19" t="s">
        <v>1539</v>
      </c>
      <c r="D274" s="20">
        <v>84404</v>
      </c>
      <c r="E274" s="21" t="s">
        <v>17</v>
      </c>
      <c r="F274" s="22" t="s">
        <v>1708</v>
      </c>
      <c r="G274" s="32" t="s">
        <v>1709</v>
      </c>
      <c r="H274" s="24" t="s">
        <v>114</v>
      </c>
      <c r="I274" s="19"/>
      <c r="J274" s="19" t="s">
        <v>1537</v>
      </c>
      <c r="K274" s="19"/>
      <c r="L274" s="24" t="s">
        <v>92</v>
      </c>
      <c r="M274" s="19" t="s">
        <v>116</v>
      </c>
      <c r="N274" s="36">
        <v>44907</v>
      </c>
      <c r="O274" s="37">
        <v>46364</v>
      </c>
      <c r="P274" s="19">
        <v>49</v>
      </c>
      <c r="Q274" s="40">
        <f t="shared" si="11"/>
        <v>2271836</v>
      </c>
      <c r="R274" s="40">
        <v>58182</v>
      </c>
      <c r="S274" s="40">
        <f t="shared" si="12"/>
        <v>2850918</v>
      </c>
    </row>
    <row r="275" spans="1:19" s="1" customFormat="1" ht="12.75">
      <c r="A275" s="17"/>
      <c r="B275" s="18">
        <v>405</v>
      </c>
      <c r="C275" s="19" t="s">
        <v>1540</v>
      </c>
      <c r="D275" s="20">
        <v>84404</v>
      </c>
      <c r="E275" s="21" t="s">
        <v>17</v>
      </c>
      <c r="F275" s="22" t="s">
        <v>1708</v>
      </c>
      <c r="G275" s="32" t="s">
        <v>1709</v>
      </c>
      <c r="H275" s="24" t="s">
        <v>114</v>
      </c>
      <c r="I275" s="19"/>
      <c r="J275" s="19" t="s">
        <v>1541</v>
      </c>
      <c r="K275" s="19"/>
      <c r="L275" s="24" t="s">
        <v>85</v>
      </c>
      <c r="M275" s="19" t="s">
        <v>1542</v>
      </c>
      <c r="N275" s="36">
        <v>44907</v>
      </c>
      <c r="O275" s="37">
        <v>171818</v>
      </c>
      <c r="P275" s="19">
        <v>20</v>
      </c>
      <c r="Q275" s="40">
        <f t="shared" si="11"/>
        <v>3436360</v>
      </c>
      <c r="R275" s="40">
        <v>279091</v>
      </c>
      <c r="S275" s="40">
        <f t="shared" si="12"/>
        <v>5581820</v>
      </c>
    </row>
    <row r="276" spans="1:19" s="1" customFormat="1" ht="12.75">
      <c r="A276" s="17"/>
      <c r="B276" s="18">
        <v>406</v>
      </c>
      <c r="C276" s="19" t="s">
        <v>1543</v>
      </c>
      <c r="D276" s="20">
        <v>84404</v>
      </c>
      <c r="E276" s="21" t="s">
        <v>17</v>
      </c>
      <c r="F276" s="22" t="s">
        <v>1708</v>
      </c>
      <c r="G276" s="32" t="s">
        <v>1709</v>
      </c>
      <c r="H276" s="24" t="s">
        <v>114</v>
      </c>
      <c r="I276" s="19"/>
      <c r="J276" s="19" t="s">
        <v>1541</v>
      </c>
      <c r="K276" s="19"/>
      <c r="L276" s="24" t="s">
        <v>92</v>
      </c>
      <c r="M276" s="19" t="s">
        <v>118</v>
      </c>
      <c r="N276" s="36">
        <v>44907</v>
      </c>
      <c r="O276" s="37">
        <v>40909</v>
      </c>
      <c r="P276" s="19">
        <v>20</v>
      </c>
      <c r="Q276" s="40">
        <f t="shared" si="11"/>
        <v>818180</v>
      </c>
      <c r="R276" s="40">
        <v>58182</v>
      </c>
      <c r="S276" s="40">
        <f t="shared" si="12"/>
        <v>1163640</v>
      </c>
    </row>
    <row r="277" spans="1:19" s="1" customFormat="1" ht="12.75">
      <c r="A277" s="17"/>
      <c r="B277" s="18">
        <v>407</v>
      </c>
      <c r="C277" s="19" t="s">
        <v>1544</v>
      </c>
      <c r="D277" s="20">
        <v>84404</v>
      </c>
      <c r="E277" s="21" t="s">
        <v>17</v>
      </c>
      <c r="F277" s="22" t="s">
        <v>1708</v>
      </c>
      <c r="G277" s="32" t="s">
        <v>1709</v>
      </c>
      <c r="H277" s="24" t="s">
        <v>114</v>
      </c>
      <c r="I277" s="19"/>
      <c r="J277" s="19" t="s">
        <v>1545</v>
      </c>
      <c r="K277" s="19"/>
      <c r="L277" s="24" t="s">
        <v>1457</v>
      </c>
      <c r="M277" s="19" t="s">
        <v>1546</v>
      </c>
      <c r="N277" s="36">
        <v>44907</v>
      </c>
      <c r="O277" s="37">
        <v>216480.5</v>
      </c>
      <c r="P277" s="19">
        <v>1</v>
      </c>
      <c r="Q277" s="40">
        <f t="shared" si="11"/>
        <v>216480.5</v>
      </c>
      <c r="R277" s="40">
        <v>533408</v>
      </c>
      <c r="S277" s="40">
        <f t="shared" si="12"/>
        <v>533408</v>
      </c>
    </row>
    <row r="278" spans="1:19">
      <c r="A278" s="17"/>
      <c r="B278" s="18">
        <v>408</v>
      </c>
      <c r="C278" s="19" t="s">
        <v>1547</v>
      </c>
      <c r="D278" s="20" t="s">
        <v>1548</v>
      </c>
      <c r="E278" s="21" t="s">
        <v>11</v>
      </c>
      <c r="F278" s="22" t="s">
        <v>1696</v>
      </c>
      <c r="G278" s="32" t="s">
        <v>1697</v>
      </c>
      <c r="H278" s="21" t="s">
        <v>1517</v>
      </c>
      <c r="I278" s="19"/>
      <c r="J278" s="19" t="s">
        <v>1549</v>
      </c>
      <c r="K278" s="19"/>
      <c r="L278" s="24" t="s">
        <v>1519</v>
      </c>
      <c r="M278" s="19" t="s">
        <v>1550</v>
      </c>
      <c r="N278" s="36">
        <v>44907</v>
      </c>
      <c r="O278" s="37">
        <v>43636</v>
      </c>
      <c r="P278" s="19">
        <v>300</v>
      </c>
      <c r="Q278" s="40">
        <f t="shared" si="11"/>
        <v>13090800</v>
      </c>
      <c r="R278" s="40">
        <v>57300</v>
      </c>
      <c r="S278" s="40">
        <f t="shared" si="12"/>
        <v>17190000</v>
      </c>
    </row>
    <row r="279" spans="1:19">
      <c r="A279" s="17"/>
      <c r="B279" s="18">
        <v>409</v>
      </c>
      <c r="C279" s="19" t="s">
        <v>1551</v>
      </c>
      <c r="D279" s="20" t="s">
        <v>1552</v>
      </c>
      <c r="E279" s="21" t="s">
        <v>11</v>
      </c>
      <c r="F279" s="22" t="s">
        <v>1696</v>
      </c>
      <c r="G279" s="32" t="s">
        <v>1697</v>
      </c>
      <c r="H279" s="24" t="s">
        <v>733</v>
      </c>
      <c r="I279" s="19"/>
      <c r="J279" s="19" t="s">
        <v>1553</v>
      </c>
      <c r="K279" s="19"/>
      <c r="L279" s="24" t="s">
        <v>85</v>
      </c>
      <c r="M279" s="19" t="s">
        <v>1554</v>
      </c>
      <c r="N279" s="36">
        <v>44910</v>
      </c>
      <c r="O279" s="37">
        <v>222727</v>
      </c>
      <c r="P279" s="19">
        <v>105</v>
      </c>
      <c r="Q279" s="40">
        <f t="shared" si="11"/>
        <v>23386335</v>
      </c>
      <c r="R279" s="40">
        <v>279091</v>
      </c>
      <c r="S279" s="40">
        <f t="shared" si="12"/>
        <v>29304555</v>
      </c>
    </row>
    <row r="280" spans="1:19" s="1" customFormat="1" ht="12.75">
      <c r="A280" s="17"/>
      <c r="B280" s="18">
        <v>410</v>
      </c>
      <c r="C280" s="19" t="s">
        <v>1555</v>
      </c>
      <c r="D280" s="20" t="s">
        <v>2</v>
      </c>
      <c r="E280" s="21" t="s">
        <v>2</v>
      </c>
      <c r="F280" s="21"/>
      <c r="G280" s="43"/>
      <c r="H280" s="24" t="s">
        <v>1526</v>
      </c>
      <c r="I280" s="19"/>
      <c r="J280" s="19" t="s">
        <v>1556</v>
      </c>
      <c r="K280" s="19"/>
      <c r="L280" s="24" t="s">
        <v>1457</v>
      </c>
      <c r="M280" s="19" t="s">
        <v>1557</v>
      </c>
      <c r="N280" s="36">
        <v>44911</v>
      </c>
      <c r="O280" s="37">
        <v>432961</v>
      </c>
      <c r="P280" s="19">
        <v>1</v>
      </c>
      <c r="Q280" s="40">
        <f t="shared" si="11"/>
        <v>432961</v>
      </c>
      <c r="R280" s="40">
        <f>592083/1.11</f>
        <v>533408.10810810805</v>
      </c>
      <c r="S280" s="40">
        <f t="shared" si="12"/>
        <v>533408.10810810805</v>
      </c>
    </row>
    <row r="281" spans="1:19" s="1" customFormat="1" ht="12.75">
      <c r="A281" s="17"/>
      <c r="B281" s="44">
        <v>411</v>
      </c>
      <c r="C281" s="45" t="s">
        <v>1558</v>
      </c>
      <c r="D281" s="46" t="s">
        <v>2</v>
      </c>
      <c r="E281" s="47" t="s">
        <v>2</v>
      </c>
      <c r="F281" s="47"/>
      <c r="G281" s="48"/>
      <c r="H281" s="49" t="s">
        <v>1526</v>
      </c>
      <c r="I281" s="45"/>
      <c r="J281" s="45" t="s">
        <v>1556</v>
      </c>
      <c r="K281" s="45"/>
      <c r="L281" s="49" t="s">
        <v>1457</v>
      </c>
      <c r="M281" s="45" t="s">
        <v>1559</v>
      </c>
      <c r="N281" s="102">
        <v>44911</v>
      </c>
      <c r="O281" s="103">
        <v>432961</v>
      </c>
      <c r="P281" s="45">
        <v>2</v>
      </c>
      <c r="Q281" s="120">
        <f t="shared" si="11"/>
        <v>865922</v>
      </c>
      <c r="R281" s="120">
        <f>592083/1.11</f>
        <v>533408.10810810805</v>
      </c>
      <c r="S281" s="40">
        <f t="shared" si="12"/>
        <v>1066816.2162162161</v>
      </c>
    </row>
    <row r="282" spans="1:19" s="1" customFormat="1" ht="12.75">
      <c r="A282" s="17"/>
      <c r="B282" s="44">
        <v>412</v>
      </c>
      <c r="C282" s="45" t="s">
        <v>1560</v>
      </c>
      <c r="D282" s="46" t="s">
        <v>1561</v>
      </c>
      <c r="E282" s="47" t="s">
        <v>9</v>
      </c>
      <c r="F282" s="50" t="s">
        <v>1692</v>
      </c>
      <c r="G282" s="51" t="s">
        <v>1693</v>
      </c>
      <c r="H282" s="49" t="s">
        <v>1562</v>
      </c>
      <c r="I282" s="45"/>
      <c r="J282" s="45" t="s">
        <v>1563</v>
      </c>
      <c r="K282" s="45"/>
      <c r="L282" s="49" t="s">
        <v>50</v>
      </c>
      <c r="M282" s="45" t="s">
        <v>1564</v>
      </c>
      <c r="N282" s="102">
        <v>44915</v>
      </c>
      <c r="O282" s="103">
        <v>254545</v>
      </c>
      <c r="P282" s="45">
        <v>5</v>
      </c>
      <c r="Q282" s="120">
        <f t="shared" si="11"/>
        <v>1272725</v>
      </c>
      <c r="R282" s="120">
        <v>275000</v>
      </c>
      <c r="S282" s="40">
        <f t="shared" si="12"/>
        <v>1375000</v>
      </c>
    </row>
    <row r="283" spans="1:19" s="1" customFormat="1" ht="12.75">
      <c r="A283" s="17"/>
      <c r="B283" s="52">
        <v>413</v>
      </c>
      <c r="C283" s="45" t="s">
        <v>1565</v>
      </c>
      <c r="D283" s="46" t="s">
        <v>1515</v>
      </c>
      <c r="E283" s="47" t="s">
        <v>1468</v>
      </c>
      <c r="F283" s="50" t="s">
        <v>1720</v>
      </c>
      <c r="G283" s="53" t="s">
        <v>1721</v>
      </c>
      <c r="H283" s="49" t="s">
        <v>1566</v>
      </c>
      <c r="I283" s="45"/>
      <c r="J283" s="45" t="s">
        <v>1567</v>
      </c>
      <c r="K283" s="45"/>
      <c r="L283" s="49" t="s">
        <v>85</v>
      </c>
      <c r="M283" s="45" t="s">
        <v>1568</v>
      </c>
      <c r="N283" s="102">
        <v>44916</v>
      </c>
      <c r="O283" s="103">
        <v>222727</v>
      </c>
      <c r="P283" s="45">
        <v>105</v>
      </c>
      <c r="Q283" s="120">
        <f t="shared" si="11"/>
        <v>23386335</v>
      </c>
      <c r="R283" s="120">
        <v>273292</v>
      </c>
      <c r="S283" s="40">
        <f t="shared" si="12"/>
        <v>28695660</v>
      </c>
    </row>
    <row r="284" spans="1:19">
      <c r="A284" s="17"/>
      <c r="B284" s="44">
        <v>414</v>
      </c>
      <c r="C284" s="54" t="s">
        <v>1569</v>
      </c>
      <c r="D284" s="55" t="s">
        <v>1570</v>
      </c>
      <c r="E284" s="56" t="s">
        <v>10</v>
      </c>
      <c r="F284" s="57" t="s">
        <v>1702</v>
      </c>
      <c r="G284" s="58" t="s">
        <v>1703</v>
      </c>
      <c r="H284" s="59" t="s">
        <v>814</v>
      </c>
      <c r="I284" s="55"/>
      <c r="J284" s="104" t="s">
        <v>1571</v>
      </c>
      <c r="K284" s="55"/>
      <c r="L284" s="105" t="s">
        <v>816</v>
      </c>
      <c r="M284" s="106" t="s">
        <v>1572</v>
      </c>
      <c r="N284" s="107">
        <v>44931</v>
      </c>
      <c r="O284" s="108">
        <v>22727</v>
      </c>
      <c r="P284" s="70">
        <v>2</v>
      </c>
      <c r="Q284" s="121">
        <f t="shared" si="11"/>
        <v>45454</v>
      </c>
      <c r="R284" s="121">
        <v>29091</v>
      </c>
      <c r="S284" s="121">
        <f t="shared" si="12"/>
        <v>58182</v>
      </c>
    </row>
    <row r="285" spans="1:19" ht="15.75" customHeight="1">
      <c r="A285" s="17"/>
      <c r="B285" s="44">
        <v>415</v>
      </c>
      <c r="C285" s="60" t="s">
        <v>1573</v>
      </c>
      <c r="D285" s="61" t="s">
        <v>1574</v>
      </c>
      <c r="E285" s="62" t="s">
        <v>10</v>
      </c>
      <c r="F285" s="57" t="s">
        <v>1702</v>
      </c>
      <c r="G285" s="58" t="s">
        <v>1703</v>
      </c>
      <c r="H285" s="63" t="s">
        <v>814</v>
      </c>
      <c r="I285" s="61"/>
      <c r="J285" s="109" t="s">
        <v>1575</v>
      </c>
      <c r="K285" s="110"/>
      <c r="L285" s="105" t="s">
        <v>816</v>
      </c>
      <c r="M285" s="70" t="s">
        <v>1576</v>
      </c>
      <c r="N285" s="111">
        <v>44936</v>
      </c>
      <c r="O285" s="108">
        <v>22727</v>
      </c>
      <c r="P285" s="70">
        <v>4</v>
      </c>
      <c r="Q285" s="121">
        <f t="shared" si="11"/>
        <v>90908</v>
      </c>
      <c r="R285" s="121">
        <v>29091</v>
      </c>
      <c r="S285" s="121">
        <f t="shared" si="12"/>
        <v>116364</v>
      </c>
    </row>
    <row r="286" spans="1:19">
      <c r="A286" s="17"/>
      <c r="B286" s="52">
        <v>416</v>
      </c>
      <c r="C286" s="64" t="s">
        <v>1577</v>
      </c>
      <c r="D286" s="65" t="s">
        <v>1574</v>
      </c>
      <c r="E286" s="56" t="s">
        <v>10</v>
      </c>
      <c r="F286" s="57" t="s">
        <v>1702</v>
      </c>
      <c r="G286" s="58" t="s">
        <v>1703</v>
      </c>
      <c r="H286" s="59" t="s">
        <v>814</v>
      </c>
      <c r="I286" s="61"/>
      <c r="J286" s="109" t="s">
        <v>1578</v>
      </c>
      <c r="K286" s="109"/>
      <c r="L286" s="105" t="s">
        <v>816</v>
      </c>
      <c r="M286" s="70" t="s">
        <v>1505</v>
      </c>
      <c r="N286" s="111">
        <v>44936</v>
      </c>
      <c r="O286" s="108">
        <v>22727</v>
      </c>
      <c r="P286" s="70">
        <v>15</v>
      </c>
      <c r="Q286" s="121">
        <f t="shared" si="11"/>
        <v>340905</v>
      </c>
      <c r="R286" s="121">
        <v>29091</v>
      </c>
      <c r="S286" s="121">
        <f t="shared" si="12"/>
        <v>436365</v>
      </c>
    </row>
    <row r="287" spans="1:19">
      <c r="A287" s="17"/>
      <c r="B287" s="44">
        <v>417</v>
      </c>
      <c r="C287" s="60" t="s">
        <v>1579</v>
      </c>
      <c r="D287" s="66" t="s">
        <v>1580</v>
      </c>
      <c r="E287" s="62" t="s">
        <v>11</v>
      </c>
      <c r="F287" s="28" t="s">
        <v>1696</v>
      </c>
      <c r="G287" s="31" t="s">
        <v>1697</v>
      </c>
      <c r="H287" s="63" t="s">
        <v>1581</v>
      </c>
      <c r="I287" s="61"/>
      <c r="J287" s="61" t="s">
        <v>1582</v>
      </c>
      <c r="K287" s="110"/>
      <c r="L287" s="105" t="s">
        <v>85</v>
      </c>
      <c r="M287" s="70" t="s">
        <v>1583</v>
      </c>
      <c r="N287" s="111">
        <v>44929</v>
      </c>
      <c r="O287" s="108">
        <v>222727</v>
      </c>
      <c r="P287" s="70">
        <v>2</v>
      </c>
      <c r="Q287" s="121">
        <f t="shared" si="11"/>
        <v>445454</v>
      </c>
      <c r="R287" s="121">
        <v>279091</v>
      </c>
      <c r="S287" s="121">
        <f t="shared" si="12"/>
        <v>558182</v>
      </c>
    </row>
    <row r="288" spans="1:19">
      <c r="A288" s="17"/>
      <c r="B288" s="44">
        <v>418</v>
      </c>
      <c r="C288" s="60" t="s">
        <v>1584</v>
      </c>
      <c r="D288" s="66" t="s">
        <v>1585</v>
      </c>
      <c r="E288" s="62" t="s">
        <v>11</v>
      </c>
      <c r="F288" s="28" t="s">
        <v>1696</v>
      </c>
      <c r="G288" s="31" t="s">
        <v>1697</v>
      </c>
      <c r="H288" s="67" t="s">
        <v>1586</v>
      </c>
      <c r="I288" s="61"/>
      <c r="J288" s="61" t="s">
        <v>1587</v>
      </c>
      <c r="K288" s="66"/>
      <c r="L288" s="67" t="s">
        <v>1588</v>
      </c>
      <c r="M288" s="70" t="s">
        <v>1589</v>
      </c>
      <c r="N288" s="107">
        <v>44932</v>
      </c>
      <c r="O288" s="108">
        <v>231750</v>
      </c>
      <c r="P288" s="70">
        <v>86</v>
      </c>
      <c r="Q288" s="121">
        <f t="shared" si="11"/>
        <v>19930500</v>
      </c>
      <c r="R288" s="121">
        <v>245000</v>
      </c>
      <c r="S288" s="121">
        <f t="shared" si="12"/>
        <v>21070000</v>
      </c>
    </row>
    <row r="289" spans="1:19">
      <c r="A289" s="17"/>
      <c r="B289" s="52">
        <v>419</v>
      </c>
      <c r="C289" s="60" t="s">
        <v>1590</v>
      </c>
      <c r="D289" s="66" t="s">
        <v>1591</v>
      </c>
      <c r="E289" s="67" t="s">
        <v>1592</v>
      </c>
      <c r="F289" s="72" t="s">
        <v>1722</v>
      </c>
      <c r="G289" s="69" t="s">
        <v>1723</v>
      </c>
      <c r="H289" s="67" t="s">
        <v>1593</v>
      </c>
      <c r="I289" s="61"/>
      <c r="J289" s="61" t="s">
        <v>1594</v>
      </c>
      <c r="K289" s="66"/>
      <c r="L289" s="105" t="s">
        <v>85</v>
      </c>
      <c r="M289" s="70" t="s">
        <v>1595</v>
      </c>
      <c r="N289" s="107">
        <v>44935</v>
      </c>
      <c r="O289" s="108">
        <v>222727</v>
      </c>
      <c r="P289" s="70">
        <v>38</v>
      </c>
      <c r="Q289" s="121">
        <f t="shared" si="11"/>
        <v>8463626</v>
      </c>
      <c r="R289" s="122">
        <v>309791</v>
      </c>
      <c r="S289" s="121">
        <f t="shared" si="12"/>
        <v>11772058</v>
      </c>
    </row>
    <row r="290" spans="1:19" ht="15" customHeight="1">
      <c r="A290" s="17"/>
      <c r="B290" s="52">
        <v>420</v>
      </c>
      <c r="C290" s="60" t="s">
        <v>1596</v>
      </c>
      <c r="D290" s="70" t="s">
        <v>1597</v>
      </c>
      <c r="E290" s="198" t="s">
        <v>1598</v>
      </c>
      <c r="F290" s="72" t="s">
        <v>1724</v>
      </c>
      <c r="G290" s="199" t="s">
        <v>1725</v>
      </c>
      <c r="H290" s="67" t="s">
        <v>1599</v>
      </c>
      <c r="I290" s="112"/>
      <c r="J290" s="61" t="s">
        <v>1600</v>
      </c>
      <c r="K290" s="112"/>
      <c r="L290" s="105" t="s">
        <v>85</v>
      </c>
      <c r="M290" s="70" t="s">
        <v>1601</v>
      </c>
      <c r="N290" s="113">
        <v>44936</v>
      </c>
      <c r="O290" s="108">
        <v>222727</v>
      </c>
      <c r="P290" s="70">
        <v>15</v>
      </c>
      <c r="Q290" s="121">
        <f t="shared" si="11"/>
        <v>3340905</v>
      </c>
      <c r="R290" s="122">
        <v>309791</v>
      </c>
      <c r="S290" s="121">
        <f t="shared" si="12"/>
        <v>4646865</v>
      </c>
    </row>
    <row r="291" spans="1:19">
      <c r="A291" s="17"/>
      <c r="B291" s="52">
        <v>421</v>
      </c>
      <c r="C291" s="60" t="s">
        <v>1602</v>
      </c>
      <c r="D291" s="70" t="s">
        <v>1597</v>
      </c>
      <c r="E291" s="198" t="s">
        <v>1598</v>
      </c>
      <c r="F291" s="72" t="s">
        <v>1724</v>
      </c>
      <c r="G291" s="199" t="s">
        <v>1725</v>
      </c>
      <c r="H291" s="67" t="s">
        <v>1599</v>
      </c>
      <c r="I291" s="112"/>
      <c r="J291" s="61" t="s">
        <v>1600</v>
      </c>
      <c r="K291" s="112"/>
      <c r="L291" s="105" t="s">
        <v>63</v>
      </c>
      <c r="M291" s="70" t="s">
        <v>1603</v>
      </c>
      <c r="N291" s="113">
        <v>44936</v>
      </c>
      <c r="O291" s="108">
        <v>92727</v>
      </c>
      <c r="P291" s="70">
        <v>15</v>
      </c>
      <c r="Q291" s="121">
        <f t="shared" si="11"/>
        <v>1390905</v>
      </c>
      <c r="R291" s="122">
        <v>129164</v>
      </c>
      <c r="S291" s="121">
        <f t="shared" si="12"/>
        <v>1937460</v>
      </c>
    </row>
    <row r="292" spans="1:19">
      <c r="A292" s="17"/>
      <c r="B292" s="52">
        <v>422</v>
      </c>
      <c r="C292" s="60" t="s">
        <v>1604</v>
      </c>
      <c r="D292" s="70" t="s">
        <v>1605</v>
      </c>
      <c r="E292" s="71" t="s">
        <v>1606</v>
      </c>
      <c r="F292" s="72" t="s">
        <v>1700</v>
      </c>
      <c r="G292" s="73" t="s">
        <v>1701</v>
      </c>
      <c r="H292" s="67" t="s">
        <v>1607</v>
      </c>
      <c r="I292" s="112"/>
      <c r="J292" s="61" t="s">
        <v>1608</v>
      </c>
      <c r="K292" s="112"/>
      <c r="L292" s="105" t="s">
        <v>85</v>
      </c>
      <c r="M292" s="70" t="s">
        <v>1609</v>
      </c>
      <c r="N292" s="113">
        <v>44945</v>
      </c>
      <c r="O292" s="108">
        <v>222727</v>
      </c>
      <c r="P292" s="70">
        <v>25</v>
      </c>
      <c r="Q292" s="121">
        <f t="shared" si="11"/>
        <v>5568175</v>
      </c>
      <c r="R292" s="122">
        <v>257182</v>
      </c>
      <c r="S292" s="121">
        <f t="shared" si="12"/>
        <v>6429550</v>
      </c>
    </row>
    <row r="293" spans="1:19" ht="15" customHeight="1">
      <c r="A293" s="17"/>
      <c r="B293" s="52">
        <v>423</v>
      </c>
      <c r="C293" s="60" t="s">
        <v>1610</v>
      </c>
      <c r="D293" s="70" t="s">
        <v>1611</v>
      </c>
      <c r="E293" s="198" t="s">
        <v>1598</v>
      </c>
      <c r="F293" s="72" t="s">
        <v>1724</v>
      </c>
      <c r="G293" s="199" t="s">
        <v>1725</v>
      </c>
      <c r="H293" s="74" t="s">
        <v>1612</v>
      </c>
      <c r="I293" s="112"/>
      <c r="J293" s="61" t="s">
        <v>1613</v>
      </c>
      <c r="K293" s="112"/>
      <c r="L293" s="110" t="s">
        <v>1614</v>
      </c>
      <c r="M293" s="70" t="s">
        <v>1615</v>
      </c>
      <c r="N293" s="113">
        <v>44952</v>
      </c>
      <c r="O293" s="108">
        <v>92438</v>
      </c>
      <c r="P293" s="70">
        <v>58</v>
      </c>
      <c r="Q293" s="121">
        <f t="shared" si="11"/>
        <v>5361404</v>
      </c>
      <c r="R293" s="122">
        <v>109890</v>
      </c>
      <c r="S293" s="121">
        <f t="shared" si="12"/>
        <v>6373620</v>
      </c>
    </row>
    <row r="294" spans="1:19">
      <c r="A294" s="17"/>
      <c r="B294" s="52">
        <v>424</v>
      </c>
      <c r="C294" s="60" t="s">
        <v>1616</v>
      </c>
      <c r="D294" s="70" t="s">
        <v>1617</v>
      </c>
      <c r="E294" s="71" t="s">
        <v>1606</v>
      </c>
      <c r="F294" s="72" t="s">
        <v>1700</v>
      </c>
      <c r="G294" s="73" t="s">
        <v>1701</v>
      </c>
      <c r="H294" s="62" t="s">
        <v>742</v>
      </c>
      <c r="I294" s="112"/>
      <c r="J294" s="61" t="s">
        <v>1618</v>
      </c>
      <c r="K294" s="112"/>
      <c r="L294" s="105" t="s">
        <v>92</v>
      </c>
      <c r="M294" s="70" t="s">
        <v>1619</v>
      </c>
      <c r="N294" s="113">
        <v>44947</v>
      </c>
      <c r="O294" s="108">
        <v>32273</v>
      </c>
      <c r="P294" s="70">
        <v>218</v>
      </c>
      <c r="Q294" s="121">
        <f t="shared" si="11"/>
        <v>7035514</v>
      </c>
      <c r="R294" s="122">
        <v>35500</v>
      </c>
      <c r="S294" s="121">
        <f t="shared" si="12"/>
        <v>7739000</v>
      </c>
    </row>
    <row r="295" spans="1:19">
      <c r="A295" s="17"/>
      <c r="B295" s="52">
        <v>425</v>
      </c>
      <c r="C295" s="60" t="s">
        <v>1620</v>
      </c>
      <c r="D295" s="66">
        <v>2500040497</v>
      </c>
      <c r="E295" s="62" t="s">
        <v>10</v>
      </c>
      <c r="F295" s="57" t="s">
        <v>1702</v>
      </c>
      <c r="G295" s="58" t="s">
        <v>1703</v>
      </c>
      <c r="H295" s="63" t="s">
        <v>814</v>
      </c>
      <c r="I295" s="112"/>
      <c r="J295" s="109" t="s">
        <v>1621</v>
      </c>
      <c r="K295" s="112"/>
      <c r="L295" s="105" t="s">
        <v>816</v>
      </c>
      <c r="M295" s="70" t="s">
        <v>1572</v>
      </c>
      <c r="N295" s="113">
        <v>44960</v>
      </c>
      <c r="O295" s="108">
        <v>22727</v>
      </c>
      <c r="P295" s="70">
        <v>2</v>
      </c>
      <c r="Q295" s="121">
        <f t="shared" ref="Q295:Q320" si="13">O295*P295</f>
        <v>45454</v>
      </c>
      <c r="R295" s="121">
        <v>29091</v>
      </c>
      <c r="S295" s="121">
        <f t="shared" si="12"/>
        <v>58182</v>
      </c>
    </row>
    <row r="296" spans="1:19">
      <c r="A296" s="17"/>
      <c r="B296" s="52">
        <v>426</v>
      </c>
      <c r="C296" s="60" t="s">
        <v>1622</v>
      </c>
      <c r="D296" s="66">
        <v>2500042410</v>
      </c>
      <c r="E296" s="62" t="s">
        <v>10</v>
      </c>
      <c r="F296" s="57" t="s">
        <v>1702</v>
      </c>
      <c r="G296" s="58" t="s">
        <v>1703</v>
      </c>
      <c r="H296" s="63" t="s">
        <v>814</v>
      </c>
      <c r="I296" s="70"/>
      <c r="J296" s="109" t="s">
        <v>1623</v>
      </c>
      <c r="K296" s="70"/>
      <c r="L296" s="105" t="s">
        <v>816</v>
      </c>
      <c r="M296" s="70" t="s">
        <v>1624</v>
      </c>
      <c r="N296" s="113">
        <v>44974</v>
      </c>
      <c r="O296" s="108">
        <v>22727</v>
      </c>
      <c r="P296" s="70">
        <v>19</v>
      </c>
      <c r="Q296" s="121">
        <f t="shared" si="13"/>
        <v>431813</v>
      </c>
      <c r="R296" s="121">
        <v>29091</v>
      </c>
      <c r="S296" s="121">
        <f t="shared" si="12"/>
        <v>552729</v>
      </c>
    </row>
    <row r="297" spans="1:19">
      <c r="A297" s="17"/>
      <c r="B297" s="52">
        <v>427</v>
      </c>
      <c r="C297" s="60" t="s">
        <v>1625</v>
      </c>
      <c r="D297" s="70" t="s">
        <v>1626</v>
      </c>
      <c r="E297" s="62" t="s">
        <v>11</v>
      </c>
      <c r="F297" s="28" t="s">
        <v>1696</v>
      </c>
      <c r="G297" s="31" t="s">
        <v>1697</v>
      </c>
      <c r="H297" s="67" t="s">
        <v>1627</v>
      </c>
      <c r="I297" s="70"/>
      <c r="J297" s="109" t="s">
        <v>1628</v>
      </c>
      <c r="K297" s="70"/>
      <c r="L297" s="105" t="s">
        <v>85</v>
      </c>
      <c r="M297" s="70" t="s">
        <v>1629</v>
      </c>
      <c r="N297" s="113">
        <v>44963</v>
      </c>
      <c r="O297" s="108">
        <v>222727</v>
      </c>
      <c r="P297" s="70">
        <v>2</v>
      </c>
      <c r="Q297" s="121">
        <f t="shared" si="13"/>
        <v>445454</v>
      </c>
      <c r="R297" s="121">
        <v>279091</v>
      </c>
      <c r="S297" s="121">
        <f t="shared" si="12"/>
        <v>558182</v>
      </c>
    </row>
    <row r="298" spans="1:19">
      <c r="A298" s="17"/>
      <c r="B298" s="52">
        <v>428</v>
      </c>
      <c r="C298" s="60" t="s">
        <v>1630</v>
      </c>
      <c r="D298" s="66">
        <v>2500042737</v>
      </c>
      <c r="E298" s="62" t="s">
        <v>10</v>
      </c>
      <c r="F298" s="57" t="s">
        <v>1702</v>
      </c>
      <c r="G298" s="58" t="s">
        <v>1703</v>
      </c>
      <c r="H298" s="63" t="s">
        <v>814</v>
      </c>
      <c r="I298" s="70"/>
      <c r="J298" s="109" t="s">
        <v>1631</v>
      </c>
      <c r="K298" s="70"/>
      <c r="L298" s="105" t="s">
        <v>85</v>
      </c>
      <c r="M298" s="70" t="s">
        <v>1632</v>
      </c>
      <c r="N298" s="113">
        <v>44977</v>
      </c>
      <c r="O298" s="108">
        <v>222727</v>
      </c>
      <c r="P298" s="70">
        <v>358</v>
      </c>
      <c r="Q298" s="121">
        <f t="shared" si="13"/>
        <v>79736266</v>
      </c>
      <c r="R298" s="121">
        <v>279091</v>
      </c>
      <c r="S298" s="121">
        <f t="shared" si="12"/>
        <v>99914578</v>
      </c>
    </row>
    <row r="299" spans="1:19">
      <c r="A299" s="17"/>
      <c r="B299" s="52">
        <v>429</v>
      </c>
      <c r="C299" s="60" t="s">
        <v>1633</v>
      </c>
      <c r="D299" s="70" t="s">
        <v>1634</v>
      </c>
      <c r="E299" s="67" t="s">
        <v>82</v>
      </c>
      <c r="F299" s="72" t="s">
        <v>1698</v>
      </c>
      <c r="G299" s="75" t="s">
        <v>1699</v>
      </c>
      <c r="H299" s="67" t="s">
        <v>83</v>
      </c>
      <c r="I299" s="70"/>
      <c r="J299" s="109" t="s">
        <v>1635</v>
      </c>
      <c r="K299" s="70"/>
      <c r="L299" s="105" t="s">
        <v>85</v>
      </c>
      <c r="M299" s="70" t="s">
        <v>1636</v>
      </c>
      <c r="N299" s="113">
        <v>44978</v>
      </c>
      <c r="O299" s="108">
        <v>222727</v>
      </c>
      <c r="P299" s="70">
        <v>250</v>
      </c>
      <c r="Q299" s="121">
        <f t="shared" si="13"/>
        <v>55681750</v>
      </c>
      <c r="R299" s="121">
        <v>279091</v>
      </c>
      <c r="S299" s="121">
        <f t="shared" si="12"/>
        <v>69772750</v>
      </c>
    </row>
    <row r="300" spans="1:19">
      <c r="A300" s="17"/>
      <c r="B300" s="76">
        <v>430</v>
      </c>
      <c r="C300" s="77" t="s">
        <v>1637</v>
      </c>
      <c r="D300" s="19" t="s">
        <v>1638</v>
      </c>
      <c r="E300" s="21" t="s">
        <v>11</v>
      </c>
      <c r="F300" s="22" t="s">
        <v>1696</v>
      </c>
      <c r="G300" s="32" t="s">
        <v>1697</v>
      </c>
      <c r="H300" s="78" t="s">
        <v>1581</v>
      </c>
      <c r="I300" s="19"/>
      <c r="J300" s="19" t="s">
        <v>1639</v>
      </c>
      <c r="K300" s="19"/>
      <c r="L300" s="24" t="s">
        <v>85</v>
      </c>
      <c r="M300" s="19" t="s">
        <v>1640</v>
      </c>
      <c r="N300" s="36">
        <v>44995</v>
      </c>
      <c r="O300" s="37">
        <v>222727</v>
      </c>
      <c r="P300" s="19">
        <v>2</v>
      </c>
      <c r="Q300" s="40">
        <f t="shared" si="13"/>
        <v>445454</v>
      </c>
      <c r="R300" s="40">
        <v>279091</v>
      </c>
      <c r="S300" s="40">
        <f t="shared" si="12"/>
        <v>558182</v>
      </c>
    </row>
    <row r="301" spans="1:19">
      <c r="A301" s="17"/>
      <c r="B301" s="76">
        <v>431</v>
      </c>
      <c r="C301" s="77" t="s">
        <v>1641</v>
      </c>
      <c r="D301" s="19" t="s">
        <v>1642</v>
      </c>
      <c r="E301" s="21" t="s">
        <v>1643</v>
      </c>
      <c r="F301" s="22" t="s">
        <v>1716</v>
      </c>
      <c r="G301" s="43" t="s">
        <v>1717</v>
      </c>
      <c r="H301" s="24" t="s">
        <v>1644</v>
      </c>
      <c r="I301" s="19"/>
      <c r="J301" s="19" t="s">
        <v>1645</v>
      </c>
      <c r="K301" s="19"/>
      <c r="L301" s="24" t="s">
        <v>63</v>
      </c>
      <c r="M301" s="19" t="s">
        <v>1646</v>
      </c>
      <c r="N301" s="36">
        <v>44998</v>
      </c>
      <c r="O301" s="37">
        <v>92727</v>
      </c>
      <c r="P301" s="19">
        <v>5</v>
      </c>
      <c r="Q301" s="40">
        <f t="shared" si="13"/>
        <v>463635</v>
      </c>
      <c r="R301" s="40">
        <v>116364</v>
      </c>
      <c r="S301" s="40">
        <f t="shared" si="12"/>
        <v>581820</v>
      </c>
    </row>
    <row r="302" spans="1:19">
      <c r="A302" s="17"/>
      <c r="B302" s="76">
        <v>432</v>
      </c>
      <c r="C302" s="77" t="s">
        <v>1647</v>
      </c>
      <c r="D302" s="19" t="s">
        <v>1648</v>
      </c>
      <c r="E302" s="21" t="s">
        <v>11</v>
      </c>
      <c r="F302" s="22" t="s">
        <v>1696</v>
      </c>
      <c r="G302" s="32" t="s">
        <v>1697</v>
      </c>
      <c r="H302" s="79" t="s">
        <v>1649</v>
      </c>
      <c r="I302" s="19"/>
      <c r="J302" s="19" t="s">
        <v>1650</v>
      </c>
      <c r="K302" s="19"/>
      <c r="L302" s="24" t="s">
        <v>85</v>
      </c>
      <c r="M302" s="19" t="s">
        <v>1651</v>
      </c>
      <c r="N302" s="36">
        <v>45000</v>
      </c>
      <c r="O302" s="37">
        <v>222727</v>
      </c>
      <c r="P302" s="19">
        <v>46</v>
      </c>
      <c r="Q302" s="40">
        <f t="shared" si="13"/>
        <v>10245442</v>
      </c>
      <c r="R302" s="40">
        <v>279091</v>
      </c>
      <c r="S302" s="40">
        <f t="shared" si="12"/>
        <v>12838186</v>
      </c>
    </row>
    <row r="303" spans="1:19">
      <c r="A303" s="17"/>
      <c r="B303" s="76">
        <v>433</v>
      </c>
      <c r="C303" s="77" t="s">
        <v>1652</v>
      </c>
      <c r="D303" s="19" t="s">
        <v>1653</v>
      </c>
      <c r="E303" s="80" t="s">
        <v>1606</v>
      </c>
      <c r="F303" s="22" t="s">
        <v>1700</v>
      </c>
      <c r="G303" s="32" t="s">
        <v>1701</v>
      </c>
      <c r="H303" s="24" t="s">
        <v>1654</v>
      </c>
      <c r="I303" s="19"/>
      <c r="J303" s="19" t="s">
        <v>1655</v>
      </c>
      <c r="K303" s="19"/>
      <c r="L303" s="24" t="s">
        <v>85</v>
      </c>
      <c r="M303" s="19" t="s">
        <v>1656</v>
      </c>
      <c r="N303" s="36">
        <v>45002</v>
      </c>
      <c r="O303" s="37">
        <v>222727</v>
      </c>
      <c r="P303" s="19">
        <v>3</v>
      </c>
      <c r="Q303" s="40">
        <f t="shared" si="13"/>
        <v>668181</v>
      </c>
      <c r="R303" s="40">
        <v>256000</v>
      </c>
      <c r="S303" s="40">
        <f t="shared" si="12"/>
        <v>768000</v>
      </c>
    </row>
    <row r="304" spans="1:19">
      <c r="A304" s="17"/>
      <c r="B304" s="76">
        <v>434</v>
      </c>
      <c r="C304" s="77" t="s">
        <v>1657</v>
      </c>
      <c r="D304" s="19" t="s">
        <v>1658</v>
      </c>
      <c r="E304" s="21" t="s">
        <v>17</v>
      </c>
      <c r="F304" s="22" t="s">
        <v>1708</v>
      </c>
      <c r="G304" s="32" t="s">
        <v>1709</v>
      </c>
      <c r="H304" s="24" t="s">
        <v>114</v>
      </c>
      <c r="I304" s="19"/>
      <c r="J304" s="19" t="s">
        <v>1659</v>
      </c>
      <c r="K304" s="19"/>
      <c r="L304" s="24" t="s">
        <v>1457</v>
      </c>
      <c r="M304" s="19" t="s">
        <v>1660</v>
      </c>
      <c r="N304" s="36">
        <v>45012</v>
      </c>
      <c r="O304" s="37">
        <v>432961</v>
      </c>
      <c r="P304" s="19">
        <v>41</v>
      </c>
      <c r="Q304" s="40">
        <f t="shared" si="13"/>
        <v>17751401</v>
      </c>
      <c r="R304" s="40">
        <v>533408</v>
      </c>
      <c r="S304" s="40">
        <f t="shared" si="12"/>
        <v>21869728</v>
      </c>
    </row>
    <row r="305" spans="1:19">
      <c r="A305" s="17"/>
      <c r="B305" s="76">
        <v>435</v>
      </c>
      <c r="C305" s="77" t="s">
        <v>1661</v>
      </c>
      <c r="D305" s="19" t="s">
        <v>1658</v>
      </c>
      <c r="E305" s="21" t="s">
        <v>17</v>
      </c>
      <c r="F305" s="22" t="s">
        <v>1708</v>
      </c>
      <c r="G305" s="32" t="s">
        <v>1709</v>
      </c>
      <c r="H305" s="24" t="s">
        <v>114</v>
      </c>
      <c r="I305" s="19"/>
      <c r="J305" s="19" t="s">
        <v>1662</v>
      </c>
      <c r="K305" s="19"/>
      <c r="L305" s="24" t="s">
        <v>85</v>
      </c>
      <c r="M305" s="19" t="s">
        <v>303</v>
      </c>
      <c r="N305" s="36">
        <v>45012</v>
      </c>
      <c r="O305" s="37">
        <v>222727</v>
      </c>
      <c r="P305" s="19">
        <v>4</v>
      </c>
      <c r="Q305" s="40">
        <f t="shared" si="13"/>
        <v>890908</v>
      </c>
      <c r="R305" s="40">
        <v>279091</v>
      </c>
      <c r="S305" s="40">
        <f t="shared" si="12"/>
        <v>1116364</v>
      </c>
    </row>
    <row r="306" spans="1:19">
      <c r="A306" s="17"/>
      <c r="B306" s="76">
        <v>436</v>
      </c>
      <c r="C306" s="77" t="s">
        <v>1663</v>
      </c>
      <c r="D306" s="19" t="s">
        <v>1658</v>
      </c>
      <c r="E306" s="21" t="s">
        <v>17</v>
      </c>
      <c r="F306" s="22" t="s">
        <v>1708</v>
      </c>
      <c r="G306" s="32" t="s">
        <v>1709</v>
      </c>
      <c r="H306" s="24" t="s">
        <v>114</v>
      </c>
      <c r="I306" s="19"/>
      <c r="J306" s="19" t="s">
        <v>1664</v>
      </c>
      <c r="K306" s="19"/>
      <c r="L306" s="24" t="s">
        <v>85</v>
      </c>
      <c r="M306" s="19" t="s">
        <v>377</v>
      </c>
      <c r="N306" s="36">
        <v>45012</v>
      </c>
      <c r="O306" s="37">
        <v>222727</v>
      </c>
      <c r="P306" s="19">
        <v>1</v>
      </c>
      <c r="Q306" s="40">
        <f t="shared" si="13"/>
        <v>222727</v>
      </c>
      <c r="R306" s="40">
        <v>279091</v>
      </c>
      <c r="S306" s="40">
        <f t="shared" si="12"/>
        <v>279091</v>
      </c>
    </row>
    <row r="307" spans="1:19">
      <c r="A307" s="17"/>
      <c r="B307" s="82">
        <v>437</v>
      </c>
      <c r="C307" s="83" t="s">
        <v>1665</v>
      </c>
      <c r="D307" s="84" t="s">
        <v>1666</v>
      </c>
      <c r="E307" s="85" t="s">
        <v>1667</v>
      </c>
      <c r="F307" s="88" t="s">
        <v>1726</v>
      </c>
      <c r="G307" s="53" t="s">
        <v>1727</v>
      </c>
      <c r="H307" s="85" t="s">
        <v>1668</v>
      </c>
      <c r="I307" s="84"/>
      <c r="J307" s="84" t="s">
        <v>1669</v>
      </c>
      <c r="K307" s="84"/>
      <c r="L307" s="85" t="s">
        <v>63</v>
      </c>
      <c r="M307" s="84" t="s">
        <v>219</v>
      </c>
      <c r="N307" s="114">
        <v>45020</v>
      </c>
      <c r="O307" s="115">
        <v>92727</v>
      </c>
      <c r="P307" s="84">
        <v>18</v>
      </c>
      <c r="Q307" s="123">
        <f t="shared" si="13"/>
        <v>1669086</v>
      </c>
      <c r="R307" s="123">
        <v>116999</v>
      </c>
      <c r="S307" s="123">
        <f t="shared" si="12"/>
        <v>2105982</v>
      </c>
    </row>
    <row r="308" spans="1:19">
      <c r="A308" s="17"/>
      <c r="B308" s="82">
        <v>438</v>
      </c>
      <c r="C308" s="83" t="s">
        <v>1670</v>
      </c>
      <c r="D308" s="84" t="s">
        <v>1671</v>
      </c>
      <c r="E308" s="87" t="s">
        <v>1606</v>
      </c>
      <c r="F308" s="88" t="s">
        <v>1700</v>
      </c>
      <c r="G308" s="89" t="s">
        <v>1701</v>
      </c>
      <c r="H308" s="85" t="s">
        <v>1672</v>
      </c>
      <c r="I308" s="84"/>
      <c r="J308" s="84" t="s">
        <v>1673</v>
      </c>
      <c r="K308" s="84"/>
      <c r="L308" s="85" t="s">
        <v>85</v>
      </c>
      <c r="M308" s="84" t="s">
        <v>1674</v>
      </c>
      <c r="N308" s="114">
        <v>45026</v>
      </c>
      <c r="O308" s="115">
        <v>222727</v>
      </c>
      <c r="P308" s="84">
        <v>40</v>
      </c>
      <c r="Q308" s="123">
        <f t="shared" si="13"/>
        <v>8909080</v>
      </c>
      <c r="R308" s="123">
        <v>256500</v>
      </c>
      <c r="S308" s="123">
        <f t="shared" si="12"/>
        <v>10260000</v>
      </c>
    </row>
    <row r="309" spans="1:19">
      <c r="A309" s="17"/>
      <c r="B309" s="82">
        <v>439</v>
      </c>
      <c r="C309" s="83" t="s">
        <v>1675</v>
      </c>
      <c r="D309" s="90" t="s">
        <v>1676</v>
      </c>
      <c r="E309" s="87" t="s">
        <v>9</v>
      </c>
      <c r="F309" s="88" t="s">
        <v>1692</v>
      </c>
      <c r="G309" s="53" t="s">
        <v>1693</v>
      </c>
      <c r="H309" s="85" t="s">
        <v>1136</v>
      </c>
      <c r="I309" s="84"/>
      <c r="J309" s="116" t="s">
        <v>1677</v>
      </c>
      <c r="K309" s="84"/>
      <c r="L309" s="85" t="s">
        <v>50</v>
      </c>
      <c r="M309" s="116" t="s">
        <v>1678</v>
      </c>
      <c r="N309" s="114">
        <v>45027</v>
      </c>
      <c r="O309" s="115">
        <v>254545</v>
      </c>
      <c r="P309" s="84">
        <v>1</v>
      </c>
      <c r="Q309" s="123">
        <f t="shared" si="13"/>
        <v>254545</v>
      </c>
      <c r="R309" s="123">
        <v>275000</v>
      </c>
      <c r="S309" s="123">
        <f t="shared" si="12"/>
        <v>275000</v>
      </c>
    </row>
    <row r="310" spans="1:19">
      <c r="A310" s="17"/>
      <c r="B310" s="82">
        <v>440</v>
      </c>
      <c r="C310" s="83" t="s">
        <v>1679</v>
      </c>
      <c r="D310" s="90" t="s">
        <v>1680</v>
      </c>
      <c r="E310" s="87"/>
      <c r="F310" s="87"/>
      <c r="G310" s="91"/>
      <c r="H310" s="85" t="s">
        <v>1681</v>
      </c>
      <c r="I310" s="84"/>
      <c r="J310" s="84" t="s">
        <v>1682</v>
      </c>
      <c r="K310" s="84"/>
      <c r="L310" s="85" t="s">
        <v>1683</v>
      </c>
      <c r="M310" s="84" t="s">
        <v>1684</v>
      </c>
      <c r="N310" s="114">
        <v>45027</v>
      </c>
      <c r="O310" s="115">
        <v>89827</v>
      </c>
      <c r="P310" s="84">
        <v>1</v>
      </c>
      <c r="Q310" s="123">
        <f t="shared" si="13"/>
        <v>89827</v>
      </c>
      <c r="R310" s="123">
        <v>97900</v>
      </c>
      <c r="S310" s="123">
        <f t="shared" si="12"/>
        <v>97900</v>
      </c>
    </row>
    <row r="311" spans="1:19">
      <c r="A311" s="17"/>
      <c r="B311" s="82">
        <v>441</v>
      </c>
      <c r="C311" s="83" t="s">
        <v>1685</v>
      </c>
      <c r="D311" s="84" t="s">
        <v>1686</v>
      </c>
      <c r="E311" s="85" t="s">
        <v>1687</v>
      </c>
      <c r="F311" s="88" t="s">
        <v>1716</v>
      </c>
      <c r="G311" s="53" t="s">
        <v>1717</v>
      </c>
      <c r="H311" s="85" t="s">
        <v>1512</v>
      </c>
      <c r="I311" s="84"/>
      <c r="J311" s="84" t="s">
        <v>1688</v>
      </c>
      <c r="K311" s="84"/>
      <c r="L311" s="85" t="s">
        <v>85</v>
      </c>
      <c r="M311" s="84" t="s">
        <v>1689</v>
      </c>
      <c r="N311" s="114">
        <v>45042</v>
      </c>
      <c r="O311" s="115">
        <v>222727</v>
      </c>
      <c r="P311" s="84">
        <v>14</v>
      </c>
      <c r="Q311" s="123">
        <f t="shared" si="13"/>
        <v>3118178</v>
      </c>
      <c r="R311" s="123">
        <v>281183.78000000003</v>
      </c>
      <c r="S311" s="123">
        <f t="shared" si="12"/>
        <v>3936572.9200000004</v>
      </c>
    </row>
    <row r="312" spans="1:19">
      <c r="A312" s="17"/>
      <c r="B312" s="92">
        <v>442</v>
      </c>
      <c r="C312" s="93" t="s">
        <v>1728</v>
      </c>
      <c r="D312" s="94" t="s">
        <v>1729</v>
      </c>
      <c r="E312" s="95" t="s">
        <v>9</v>
      </c>
      <c r="F312" s="96" t="s">
        <v>1692</v>
      </c>
      <c r="G312" s="58" t="s">
        <v>1693</v>
      </c>
      <c r="H312" s="97" t="s">
        <v>214</v>
      </c>
      <c r="I312" s="98"/>
      <c r="J312" s="98" t="s">
        <v>1730</v>
      </c>
      <c r="K312" s="98"/>
      <c r="L312" s="97" t="s">
        <v>50</v>
      </c>
      <c r="M312" s="98" t="s">
        <v>1731</v>
      </c>
      <c r="N312" s="117">
        <v>45051</v>
      </c>
      <c r="O312" s="118">
        <v>254545</v>
      </c>
      <c r="P312" s="98">
        <v>1</v>
      </c>
      <c r="Q312" s="124">
        <f t="shared" si="13"/>
        <v>254545</v>
      </c>
      <c r="R312" s="124">
        <v>275000</v>
      </c>
      <c r="S312" s="124">
        <f t="shared" si="12"/>
        <v>275000</v>
      </c>
    </row>
    <row r="313" spans="1:19">
      <c r="A313" s="17"/>
      <c r="B313" s="92">
        <v>443</v>
      </c>
      <c r="C313" s="93" t="s">
        <v>1732</v>
      </c>
      <c r="D313" s="98" t="s">
        <v>1733</v>
      </c>
      <c r="E313" s="97" t="s">
        <v>1734</v>
      </c>
      <c r="F313" s="96" t="s">
        <v>1716</v>
      </c>
      <c r="G313" s="58" t="s">
        <v>1717</v>
      </c>
      <c r="H313" s="97" t="s">
        <v>1735</v>
      </c>
      <c r="I313" s="98"/>
      <c r="J313" s="98" t="s">
        <v>1736</v>
      </c>
      <c r="K313" s="98"/>
      <c r="L313" s="97" t="s">
        <v>63</v>
      </c>
      <c r="M313" s="98" t="s">
        <v>1737</v>
      </c>
      <c r="N313" s="117">
        <v>45051</v>
      </c>
      <c r="O313" s="118">
        <v>92727</v>
      </c>
      <c r="P313" s="98">
        <v>28</v>
      </c>
      <c r="Q313" s="124">
        <f t="shared" si="13"/>
        <v>2596356</v>
      </c>
      <c r="R313" s="124">
        <v>153153.15</v>
      </c>
      <c r="S313" s="124">
        <f t="shared" si="12"/>
        <v>4288288.2</v>
      </c>
    </row>
    <row r="314" spans="1:19">
      <c r="A314" s="17"/>
      <c r="B314" s="92">
        <v>444</v>
      </c>
      <c r="C314" s="93" t="s">
        <v>1738</v>
      </c>
      <c r="D314" s="98" t="s">
        <v>1739</v>
      </c>
      <c r="E314" s="95" t="s">
        <v>1740</v>
      </c>
      <c r="F314" s="96" t="s">
        <v>1726</v>
      </c>
      <c r="G314" s="100" t="s">
        <v>1727</v>
      </c>
      <c r="H314" s="95" t="s">
        <v>1741</v>
      </c>
      <c r="I314" s="98"/>
      <c r="J314" s="98" t="s">
        <v>1742</v>
      </c>
      <c r="K314" s="98"/>
      <c r="L314" s="97" t="s">
        <v>63</v>
      </c>
      <c r="M314" s="98" t="s">
        <v>1743</v>
      </c>
      <c r="N314" s="117">
        <v>45056</v>
      </c>
      <c r="O314" s="118">
        <v>92727</v>
      </c>
      <c r="P314" s="98">
        <v>23</v>
      </c>
      <c r="Q314" s="124">
        <f t="shared" si="13"/>
        <v>2132721</v>
      </c>
      <c r="R314" s="124">
        <v>116999</v>
      </c>
      <c r="S314" s="124">
        <f t="shared" si="12"/>
        <v>2690977</v>
      </c>
    </row>
    <row r="315" spans="1:19">
      <c r="A315" s="17"/>
      <c r="B315" s="92">
        <v>445</v>
      </c>
      <c r="C315" s="93" t="s">
        <v>1744</v>
      </c>
      <c r="D315" s="98" t="s">
        <v>1745</v>
      </c>
      <c r="E315" s="95" t="s">
        <v>6</v>
      </c>
      <c r="F315" s="96" t="s">
        <v>1694</v>
      </c>
      <c r="G315" s="101" t="s">
        <v>1695</v>
      </c>
      <c r="H315" s="97" t="s">
        <v>114</v>
      </c>
      <c r="I315" s="98"/>
      <c r="J315" s="98" t="s">
        <v>1746</v>
      </c>
      <c r="K315" s="98"/>
      <c r="L315" s="97" t="s">
        <v>63</v>
      </c>
      <c r="M315" s="98" t="s">
        <v>1747</v>
      </c>
      <c r="N315" s="117">
        <v>45063</v>
      </c>
      <c r="O315" s="118">
        <v>92727</v>
      </c>
      <c r="P315" s="98">
        <v>6</v>
      </c>
      <c r="Q315" s="124">
        <f t="shared" si="13"/>
        <v>556362</v>
      </c>
      <c r="R315" s="124">
        <v>116364</v>
      </c>
      <c r="S315" s="124">
        <f t="shared" si="12"/>
        <v>698184</v>
      </c>
    </row>
    <row r="316" spans="1:19">
      <c r="A316" s="17"/>
      <c r="B316" s="92">
        <v>446</v>
      </c>
      <c r="C316" s="93" t="s">
        <v>1748</v>
      </c>
      <c r="D316" s="98" t="s">
        <v>1749</v>
      </c>
      <c r="E316" s="95" t="s">
        <v>1750</v>
      </c>
      <c r="F316" s="96" t="s">
        <v>1698</v>
      </c>
      <c r="G316" s="101" t="s">
        <v>1699</v>
      </c>
      <c r="H316" s="97" t="s">
        <v>83</v>
      </c>
      <c r="I316" s="98"/>
      <c r="J316" s="98" t="s">
        <v>1751</v>
      </c>
      <c r="K316" s="98"/>
      <c r="L316" s="97" t="s">
        <v>85</v>
      </c>
      <c r="M316" s="98" t="s">
        <v>1752</v>
      </c>
      <c r="N316" s="117">
        <v>45068</v>
      </c>
      <c r="O316" s="118">
        <v>222727</v>
      </c>
      <c r="P316" s="98">
        <v>350</v>
      </c>
      <c r="Q316" s="124">
        <f t="shared" si="13"/>
        <v>77954450</v>
      </c>
      <c r="R316" s="124">
        <v>279090.91899999999</v>
      </c>
      <c r="S316" s="124">
        <f t="shared" si="12"/>
        <v>97681821.649999991</v>
      </c>
    </row>
    <row r="317" spans="1:19">
      <c r="A317" s="17"/>
      <c r="B317" s="92">
        <v>447</v>
      </c>
      <c r="C317" s="93" t="s">
        <v>1753</v>
      </c>
      <c r="D317" s="94" t="s">
        <v>1754</v>
      </c>
      <c r="E317" s="95" t="s">
        <v>1740</v>
      </c>
      <c r="F317" s="96" t="s">
        <v>1706</v>
      </c>
      <c r="G317" s="101" t="s">
        <v>1707</v>
      </c>
      <c r="H317" s="97" t="s">
        <v>1755</v>
      </c>
      <c r="I317" s="119"/>
      <c r="J317" s="119" t="s">
        <v>1746</v>
      </c>
      <c r="K317" s="119"/>
      <c r="L317" s="97" t="s">
        <v>85</v>
      </c>
      <c r="M317" s="98" t="s">
        <v>429</v>
      </c>
      <c r="N317" s="117">
        <v>45070</v>
      </c>
      <c r="O317" s="118">
        <v>222727</v>
      </c>
      <c r="P317" s="98">
        <v>310</v>
      </c>
      <c r="Q317" s="124">
        <f t="shared" si="13"/>
        <v>69045370</v>
      </c>
      <c r="R317" s="124">
        <v>299000</v>
      </c>
      <c r="S317" s="124">
        <f t="shared" si="12"/>
        <v>92690000</v>
      </c>
    </row>
    <row r="318" spans="1:19">
      <c r="A318" s="17"/>
      <c r="B318" s="92">
        <v>448</v>
      </c>
      <c r="C318" s="93" t="s">
        <v>1756</v>
      </c>
      <c r="D318" s="98" t="s">
        <v>1757</v>
      </c>
      <c r="E318" s="95" t="s">
        <v>1758</v>
      </c>
      <c r="F318" s="96" t="s">
        <v>1759</v>
      </c>
      <c r="G318" s="100" t="s">
        <v>1760</v>
      </c>
      <c r="H318" s="97" t="s">
        <v>1761</v>
      </c>
      <c r="I318" s="119"/>
      <c r="J318" s="119" t="s">
        <v>1762</v>
      </c>
      <c r="K318" s="119"/>
      <c r="L318" s="97" t="s">
        <v>1763</v>
      </c>
      <c r="M318" s="98" t="s">
        <v>1764</v>
      </c>
      <c r="N318" s="117">
        <v>45072</v>
      </c>
      <c r="O318" s="124">
        <v>1574250</v>
      </c>
      <c r="P318" s="98">
        <v>1</v>
      </c>
      <c r="Q318" s="124">
        <f t="shared" si="13"/>
        <v>1574250</v>
      </c>
      <c r="R318" s="124">
        <v>1715933</v>
      </c>
      <c r="S318" s="124">
        <f t="shared" si="12"/>
        <v>1715933</v>
      </c>
    </row>
    <row r="319" spans="1:19">
      <c r="A319" s="17"/>
      <c r="B319" s="92">
        <v>449</v>
      </c>
      <c r="C319" s="93" t="s">
        <v>1765</v>
      </c>
      <c r="D319" s="94" t="s">
        <v>1766</v>
      </c>
      <c r="E319" s="95" t="s">
        <v>1740</v>
      </c>
      <c r="F319" s="96" t="s">
        <v>1706</v>
      </c>
      <c r="G319" s="101" t="s">
        <v>1707</v>
      </c>
      <c r="H319" s="95" t="s">
        <v>1276</v>
      </c>
      <c r="I319" s="119"/>
      <c r="J319" s="119" t="s">
        <v>1767</v>
      </c>
      <c r="K319" s="119"/>
      <c r="L319" s="97" t="s">
        <v>85</v>
      </c>
      <c r="M319" s="119" t="s">
        <v>1768</v>
      </c>
      <c r="N319" s="117">
        <v>45076</v>
      </c>
      <c r="O319" s="118">
        <v>222727</v>
      </c>
      <c r="P319" s="98">
        <v>5</v>
      </c>
      <c r="Q319" s="124">
        <f t="shared" si="13"/>
        <v>1113635</v>
      </c>
      <c r="R319" s="124">
        <v>299000</v>
      </c>
      <c r="S319" s="124">
        <f t="shared" si="12"/>
        <v>1495000</v>
      </c>
    </row>
    <row r="320" spans="1:19">
      <c r="A320" s="17"/>
      <c r="B320" s="92">
        <v>450</v>
      </c>
      <c r="C320" s="93" t="s">
        <v>1769</v>
      </c>
      <c r="D320" s="94" t="s">
        <v>1766</v>
      </c>
      <c r="E320" s="95" t="s">
        <v>1740</v>
      </c>
      <c r="F320" s="96" t="s">
        <v>1706</v>
      </c>
      <c r="G320" s="101" t="s">
        <v>1707</v>
      </c>
      <c r="H320" s="95" t="s">
        <v>1276</v>
      </c>
      <c r="I320" s="119"/>
      <c r="J320" s="119" t="s">
        <v>1770</v>
      </c>
      <c r="K320" s="119"/>
      <c r="L320" s="97" t="s">
        <v>85</v>
      </c>
      <c r="M320" s="119" t="s">
        <v>1278</v>
      </c>
      <c r="N320" s="117">
        <v>45076</v>
      </c>
      <c r="O320" s="118">
        <v>222727</v>
      </c>
      <c r="P320" s="98">
        <v>5</v>
      </c>
      <c r="Q320" s="124">
        <f t="shared" si="13"/>
        <v>1113635</v>
      </c>
      <c r="R320" s="124">
        <v>299000</v>
      </c>
      <c r="S320" s="124">
        <f t="shared" si="12"/>
        <v>1495000</v>
      </c>
    </row>
  </sheetData>
  <hyperlinks>
    <hyperlink ref="F2:F4" r:id="rId1" display="fransisca.desyanti@faasri.com" xr:uid="{00000000-0004-0000-0500-000000000000}"/>
    <hyperlink ref="F17" r:id="rId2" xr:uid="{00000000-0004-0000-0500-000001000000}"/>
    <hyperlink ref="F19:F23" r:id="rId3" display="fransisca.desyanti@faasri.com" xr:uid="{00000000-0004-0000-0500-000002000000}"/>
    <hyperlink ref="F24:F25" r:id="rId4" display="fransisca.desyanti@faasri.com" xr:uid="{00000000-0004-0000-0500-000003000000}"/>
    <hyperlink ref="F44:F57" r:id="rId5" display="fransisca.desyanti@faasri.com" xr:uid="{00000000-0004-0000-0500-000004000000}"/>
    <hyperlink ref="F66" r:id="rId6" xr:uid="{00000000-0004-0000-0500-000005000000}"/>
    <hyperlink ref="F68:F78" r:id="rId7" display="fransisca.desyanti@faasri.com" xr:uid="{00000000-0004-0000-0500-000006000000}"/>
    <hyperlink ref="F79:F80" r:id="rId8" display="fransisca.desyanti@faasri.com" xr:uid="{00000000-0004-0000-0500-000007000000}"/>
    <hyperlink ref="F80" r:id="rId9" xr:uid="{00000000-0004-0000-0500-000008000000}"/>
    <hyperlink ref="F107" r:id="rId10" xr:uid="{00000000-0004-0000-0500-000009000000}"/>
    <hyperlink ref="F108:F111" r:id="rId11" display="fransisca.desyanti@faasri.com" xr:uid="{00000000-0004-0000-0500-00000A000000}"/>
    <hyperlink ref="F112:F115" r:id="rId12" display="fransisca.desyanti@faasri.com" xr:uid="{00000000-0004-0000-0500-00000B000000}"/>
    <hyperlink ref="F118:F120" r:id="rId13" display="fransisca.desyanti@faasri.com" xr:uid="{00000000-0004-0000-0500-00000C000000}"/>
    <hyperlink ref="F122:F128" r:id="rId14" display="fransisca.desyanti@faasri.com" xr:uid="{00000000-0004-0000-0500-00000D000000}"/>
    <hyperlink ref="F158:F171" r:id="rId15" display="fransisca.desyanti@faasri.com" xr:uid="{00000000-0004-0000-0500-00000E000000}"/>
    <hyperlink ref="F173:F178" r:id="rId16" display="fransisca.desyanti@faasri.com" xr:uid="{00000000-0004-0000-0500-00000F000000}"/>
    <hyperlink ref="F182:F189" r:id="rId17" display="fransisca.desyanti@faasri.com" xr:uid="{00000000-0004-0000-0500-000010000000}"/>
    <hyperlink ref="F202:F203" r:id="rId18" display="fransisca.desyanti@faasri.com" xr:uid="{00000000-0004-0000-0500-000011000000}"/>
    <hyperlink ref="F207:F210" r:id="rId19" display="fransisca.desyanti@faasri.com" xr:uid="{00000000-0004-0000-0500-000012000000}"/>
    <hyperlink ref="F218" r:id="rId20" xr:uid="{00000000-0004-0000-0500-000013000000}"/>
    <hyperlink ref="F221" r:id="rId21" xr:uid="{00000000-0004-0000-0500-000014000000}"/>
    <hyperlink ref="F240" r:id="rId22" xr:uid="{00000000-0004-0000-0500-000015000000}"/>
    <hyperlink ref="F257" r:id="rId23" xr:uid="{00000000-0004-0000-0500-000016000000}"/>
    <hyperlink ref="F222" r:id="rId24" xr:uid="{00000000-0004-0000-0500-000017000000}"/>
    <hyperlink ref="F227:F228" r:id="rId25" display="fransisca.desyanti@faasri.com" xr:uid="{00000000-0004-0000-0500-000018000000}"/>
    <hyperlink ref="F233:F235" r:id="rId26" display="fransisca.desyanti@faasri.com" xr:uid="{00000000-0004-0000-0500-000019000000}"/>
    <hyperlink ref="F237:F238" r:id="rId27" display="fransisca.desyanti@faasri.com" xr:uid="{00000000-0004-0000-0500-00001A000000}"/>
    <hyperlink ref="F190:F191" r:id="rId28" display="fransisca.desyanti@faasri.com" xr:uid="{00000000-0004-0000-0500-00001B000000}"/>
    <hyperlink ref="F193:F198" r:id="rId29" display="fransisca.desyanti@faasri.com" xr:uid="{00000000-0004-0000-0500-00001C000000}"/>
    <hyperlink ref="F129:F132" r:id="rId30" display="fransisca.desyanti@faasri.com" xr:uid="{00000000-0004-0000-0500-00001D000000}"/>
    <hyperlink ref="F134:F136" r:id="rId31" display="fransisca.desyanti@faasri.com" xr:uid="{00000000-0004-0000-0500-00001E000000}"/>
    <hyperlink ref="F138:F157" r:id="rId32" display="fransisca.desyanti@faasri.com" xr:uid="{00000000-0004-0000-0500-00001F000000}"/>
    <hyperlink ref="F81:F82" r:id="rId33" display="fransisca.desyanti@faasri.com" xr:uid="{00000000-0004-0000-0500-000020000000}"/>
    <hyperlink ref="F84:F93" r:id="rId34" display="fransisca.desyanti@faasri.com" xr:uid="{00000000-0004-0000-0500-000021000000}"/>
    <hyperlink ref="F94:F98" r:id="rId35" display="fransisca.desyanti@faasri.com" xr:uid="{00000000-0004-0000-0500-000022000000}"/>
    <hyperlink ref="F102" r:id="rId36" xr:uid="{00000000-0004-0000-0500-000023000000}"/>
    <hyperlink ref="F103:F104" r:id="rId37" display="fransisca.desyanti@faasri.com" xr:uid="{00000000-0004-0000-0500-000024000000}"/>
    <hyperlink ref="F58:F62" r:id="rId38" display="fransisca.desyanti@faasri.com" xr:uid="{00000000-0004-0000-0500-000025000000}"/>
    <hyperlink ref="F63:F65" r:id="rId39" display="fransisca.desyanti@faasri.com" xr:uid="{00000000-0004-0000-0500-000026000000}"/>
    <hyperlink ref="F26:F28" r:id="rId40" display="fransisca.desyanti@faasri.com" xr:uid="{00000000-0004-0000-0500-000027000000}"/>
    <hyperlink ref="F29:F31" r:id="rId41" display="fransisca.desyanti@faasri.com" xr:uid="{00000000-0004-0000-0500-000028000000}"/>
    <hyperlink ref="F32:F41" r:id="rId42" display="fransisca.desyanti@faasri.com" xr:uid="{00000000-0004-0000-0500-000029000000}"/>
    <hyperlink ref="F5:F8" r:id="rId43" display="fransisca.desyanti@faasri.com" xr:uid="{00000000-0004-0000-0500-00002A000000}"/>
    <hyperlink ref="F10:F15" r:id="rId44" display="fransisca.desyanti@faasri.com" xr:uid="{00000000-0004-0000-0500-00002B000000}"/>
    <hyperlink ref="F282" r:id="rId45" xr:uid="{00000000-0004-0000-0500-00002C000000}"/>
    <hyperlink ref="F309" r:id="rId46" xr:uid="{00000000-0004-0000-0500-00002D000000}"/>
    <hyperlink ref="F312" r:id="rId47" xr:uid="{00000000-0004-0000-0500-00002E000000}"/>
    <hyperlink ref="F16" r:id="rId48" xr:uid="{00000000-0004-0000-0500-00002F000000}"/>
    <hyperlink ref="F116" r:id="rId49" xr:uid="{00000000-0004-0000-0500-000030000000}"/>
    <hyperlink ref="F172" r:id="rId50" xr:uid="{00000000-0004-0000-0500-000031000000}"/>
    <hyperlink ref="F179:F181" r:id="rId51" display="asrida.djuwita@gdnusantara.com" xr:uid="{00000000-0004-0000-0500-000032000000}"/>
    <hyperlink ref="F206" r:id="rId52" xr:uid="{00000000-0004-0000-0500-000033000000}"/>
    <hyperlink ref="F243" r:id="rId53" xr:uid="{00000000-0004-0000-0500-000034000000}"/>
    <hyperlink ref="F261:F262" r:id="rId54" display="asrida.djuwita@gdnusantara.com" xr:uid="{00000000-0004-0000-0500-000035000000}"/>
    <hyperlink ref="F268:F269" r:id="rId55" display="asrida.djuwita@gdnusantara.com" xr:uid="{00000000-0004-0000-0500-000036000000}"/>
    <hyperlink ref="F272" r:id="rId56" xr:uid="{00000000-0004-0000-0500-000037000000}"/>
    <hyperlink ref="F278:F279" r:id="rId57" display="asrida.djuwita@gdnusantara.com" xr:uid="{00000000-0004-0000-0500-000038000000}"/>
    <hyperlink ref="F300" r:id="rId58" xr:uid="{00000000-0004-0000-0500-000039000000}"/>
    <hyperlink ref="F302" r:id="rId59" xr:uid="{00000000-0004-0000-0500-00003A000000}"/>
    <hyperlink ref="F99" r:id="rId60" xr:uid="{00000000-0004-0000-0500-00003B000000}"/>
    <hyperlink ref="F100" r:id="rId61" xr:uid="{00000000-0004-0000-0500-00003C000000}"/>
    <hyperlink ref="F106" r:id="rId62" xr:uid="{00000000-0004-0000-0500-00003D000000}"/>
    <hyperlink ref="F133" r:id="rId63" xr:uid="{00000000-0004-0000-0500-00003E000000}"/>
    <hyperlink ref="F192" r:id="rId64" xr:uid="{00000000-0004-0000-0500-00003F000000}"/>
    <hyperlink ref="F229:F231" r:id="rId65" display="asrida.djuwita@gdnusantara.com" xr:uid="{00000000-0004-0000-0500-000040000000}"/>
    <hyperlink ref="F236" r:id="rId66" xr:uid="{00000000-0004-0000-0500-000041000000}"/>
    <hyperlink ref="F239" r:id="rId67" xr:uid="{00000000-0004-0000-0500-000042000000}"/>
    <hyperlink ref="F254" r:id="rId68" xr:uid="{00000000-0004-0000-0500-000043000000}"/>
    <hyperlink ref="F266" r:id="rId69" xr:uid="{00000000-0004-0000-0500-000044000000}"/>
    <hyperlink ref="F287:F288" r:id="rId70" display="asrida.djuwita@gdnusantara.com" xr:uid="{00000000-0004-0000-0500-000045000000}"/>
    <hyperlink ref="F297" r:id="rId71" xr:uid="{00000000-0004-0000-0500-000046000000}"/>
    <hyperlink ref="F211:F216" r:id="rId72" display="susan@pancaputra.co.id" xr:uid="{00000000-0004-0000-0500-000047000000}"/>
    <hyperlink ref="F273:F277" r:id="rId73" display="susan@pancaputra.co.id" xr:uid="{00000000-0004-0000-0500-000048000000}"/>
    <hyperlink ref="F304:F306" r:id="rId74" display="susan@pancaputra.co.id" xr:uid="{00000000-0004-0000-0500-000049000000}"/>
    <hyperlink ref="F248:F252" r:id="rId75" display="susan@pancaputra.co.id" xr:uid="{00000000-0004-0000-0500-00004A000000}"/>
    <hyperlink ref="F299" r:id="rId76" xr:uid="{00000000-0004-0000-0500-00004B000000}"/>
    <hyperlink ref="F316" r:id="rId77" xr:uid="{00000000-0004-0000-0500-00004C000000}"/>
    <hyperlink ref="F42:F43" r:id="rId78" display="made_indra@datascrip.co.id" xr:uid="{00000000-0004-0000-0500-00004D000000}"/>
    <hyperlink ref="F247" r:id="rId79" xr:uid="{00000000-0004-0000-0500-00004E000000}"/>
    <hyperlink ref="F258" r:id="rId80" xr:uid="{00000000-0004-0000-0500-00004F000000}"/>
    <hyperlink ref="F264" r:id="rId81" xr:uid="{00000000-0004-0000-0500-000050000000}"/>
    <hyperlink ref="F253" r:id="rId82" xr:uid="{00000000-0004-0000-0500-000051000000}"/>
    <hyperlink ref="F260" r:id="rId83" xr:uid="{00000000-0004-0000-0500-000052000000}"/>
    <hyperlink ref="F292" r:id="rId84" xr:uid="{00000000-0004-0000-0500-000053000000}"/>
    <hyperlink ref="F294" r:id="rId85" xr:uid="{00000000-0004-0000-0500-000054000000}"/>
    <hyperlink ref="F303" r:id="rId86" xr:uid="{00000000-0004-0000-0500-000055000000}"/>
    <hyperlink ref="F308" r:id="rId87" xr:uid="{00000000-0004-0000-0500-000056000000}"/>
    <hyperlink ref="F105" r:id="rId88" xr:uid="{00000000-0004-0000-0500-000057000000}"/>
    <hyperlink ref="F259" r:id="rId89" xr:uid="{00000000-0004-0000-0500-000058000000}"/>
    <hyperlink ref="F284" r:id="rId90" xr:uid="{00000000-0004-0000-0500-000059000000}"/>
    <hyperlink ref="F117" r:id="rId91" xr:uid="{00000000-0004-0000-0500-00005A000000}"/>
    <hyperlink ref="F246" r:id="rId92" xr:uid="{00000000-0004-0000-0500-00005B000000}"/>
    <hyperlink ref="F232" r:id="rId93" xr:uid="{00000000-0004-0000-0500-00005C000000}"/>
    <hyperlink ref="F265" r:id="rId94" xr:uid="{00000000-0004-0000-0500-00005D000000}"/>
    <hyperlink ref="F285:F286" r:id="rId95" display="frilla.triyanditama@gdn-commerce.com" xr:uid="{00000000-0004-0000-0500-00005E000000}"/>
    <hyperlink ref="F295:F296" r:id="rId96" display="frilla.triyanditama@gdn-commerce.com" xr:uid="{00000000-0004-0000-0500-00005F000000}"/>
    <hyperlink ref="F298" r:id="rId97" xr:uid="{00000000-0004-0000-0500-000060000000}"/>
    <hyperlink ref="F9" r:id="rId98" xr:uid="{00000000-0004-0000-0500-000061000000}"/>
    <hyperlink ref="F137" r:id="rId99" xr:uid="{00000000-0004-0000-0500-000062000000}"/>
    <hyperlink ref="F225" r:id="rId100" xr:uid="{00000000-0004-0000-0500-000063000000}"/>
    <hyperlink ref="F18" r:id="rId101" xr:uid="{00000000-0004-0000-0500-000064000000}"/>
    <hyperlink ref="F315" r:id="rId102" xr:uid="{00000000-0004-0000-0500-000065000000}"/>
    <hyperlink ref="F219" r:id="rId103" xr:uid="{00000000-0004-0000-0500-000066000000}"/>
    <hyperlink ref="F67" r:id="rId104" xr:uid="{00000000-0004-0000-0500-000067000000}"/>
    <hyperlink ref="F204" r:id="rId105" xr:uid="{00000000-0004-0000-0500-000068000000}"/>
    <hyperlink ref="F205" r:id="rId106" xr:uid="{00000000-0004-0000-0500-000069000000}"/>
    <hyperlink ref="F244" r:id="rId107" xr:uid="{00000000-0004-0000-0500-00006A000000}"/>
    <hyperlink ref="F83" r:id="rId108" xr:uid="{00000000-0004-0000-0500-00006B000000}"/>
    <hyperlink ref="F217" r:id="rId109" xr:uid="{00000000-0004-0000-0500-00006C000000}"/>
    <hyperlink ref="F220" r:id="rId110" xr:uid="{00000000-0004-0000-0500-00006D000000}"/>
    <hyperlink ref="F121" r:id="rId111" xr:uid="{00000000-0004-0000-0500-00006E000000}"/>
    <hyperlink ref="F255" r:id="rId112" xr:uid="{00000000-0004-0000-0500-00006F000000}"/>
    <hyperlink ref="F317" r:id="rId113" xr:uid="{00000000-0004-0000-0500-000070000000}"/>
    <hyperlink ref="F319" r:id="rId114" xr:uid="{00000000-0004-0000-0500-000071000000}"/>
    <hyperlink ref="F320" r:id="rId115" xr:uid="{00000000-0004-0000-0500-000072000000}"/>
    <hyperlink ref="F101" r:id="rId116" xr:uid="{00000000-0004-0000-0500-000073000000}"/>
    <hyperlink ref="F226" r:id="rId117" xr:uid="{00000000-0004-0000-0500-000074000000}"/>
    <hyperlink ref="F223" r:id="rId118" xr:uid="{00000000-0004-0000-0500-000075000000}"/>
    <hyperlink ref="F224" r:id="rId119" xr:uid="{00000000-0004-0000-0500-000076000000}"/>
    <hyperlink ref="F241" r:id="rId120" xr:uid="{00000000-0004-0000-0500-000077000000}"/>
    <hyperlink ref="F242" r:id="rId121" xr:uid="{00000000-0004-0000-0500-000078000000}"/>
    <hyperlink ref="F245" r:id="rId122" xr:uid="{00000000-0004-0000-0500-000079000000}"/>
    <hyperlink ref="F263" r:id="rId123" xr:uid="{00000000-0004-0000-0500-00007A000000}"/>
    <hyperlink ref="F267" r:id="rId124" xr:uid="{00000000-0004-0000-0500-00007B000000}"/>
    <hyperlink ref="F256" r:id="rId125" xr:uid="{00000000-0004-0000-0500-00007C000000}"/>
    <hyperlink ref="F283" r:id="rId126" xr:uid="{00000000-0004-0000-0500-00007D000000}"/>
    <hyperlink ref="F289" r:id="rId127" xr:uid="{00000000-0004-0000-0500-00007E000000}"/>
    <hyperlink ref="F290" r:id="rId128" xr:uid="{00000000-0004-0000-0500-00007F000000}"/>
    <hyperlink ref="F291" r:id="rId129" xr:uid="{00000000-0004-0000-0500-000080000000}"/>
    <hyperlink ref="F293" r:id="rId130" xr:uid="{00000000-0004-0000-0500-000081000000}"/>
    <hyperlink ref="F301" r:id="rId131" xr:uid="{00000000-0004-0000-0500-000082000000}"/>
    <hyperlink ref="F311" r:id="rId132" xr:uid="{00000000-0004-0000-0500-000083000000}"/>
    <hyperlink ref="F307" r:id="rId133" xr:uid="{00000000-0004-0000-0500-000084000000}"/>
    <hyperlink ref="F314" r:id="rId134" xr:uid="{00000000-0004-0000-0500-000085000000}"/>
    <hyperlink ref="F313" r:id="rId135" xr:uid="{00000000-0004-0000-0500-000086000000}"/>
    <hyperlink ref="F318" r:id="rId136" xr:uid="{00000000-0004-0000-0500-000087000000}"/>
    <hyperlink ref="F200:F201" r:id="rId137" display="fransisca.desyanti@faasri.com" xr:uid="{00000000-0004-0000-0500-000088000000}"/>
    <hyperlink ref="F199" r:id="rId138" xr:uid="{00000000-0004-0000-0500-000089000000}"/>
  </hyperlinks>
  <pageMargins left="0.75" right="0.75" top="1" bottom="1" header="0.5" footer="0.5"/>
  <pageSetup scale="37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S329"/>
  <sheetViews>
    <sheetView zoomScale="85" zoomScaleNormal="85" workbookViewId="0">
      <pane ySplit="3" topLeftCell="A317" activePane="bottomLeft" state="frozen"/>
      <selection pane="bottomLeft" activeCell="G289" sqref="G289"/>
    </sheetView>
  </sheetViews>
  <sheetFormatPr defaultColWidth="9.140625" defaultRowHeight="15"/>
  <cols>
    <col min="1" max="1" width="4.140625" customWidth="1"/>
    <col min="2" max="2" width="5.7109375" style="2" customWidth="1"/>
    <col min="3" max="3" width="20" customWidth="1"/>
    <col min="4" max="4" width="28.140625" style="3" customWidth="1"/>
    <col min="5" max="5" width="29.28515625" style="4" customWidth="1"/>
    <col min="6" max="6" width="44.5703125" style="4" customWidth="1"/>
    <col min="7" max="7" width="39.42578125" style="5" customWidth="1"/>
    <col min="8" max="8" width="56.140625" customWidth="1"/>
    <col min="9" max="9" width="23.85546875" hidden="1" customWidth="1"/>
    <col min="10" max="10" width="24" customWidth="1"/>
    <col min="11" max="11" width="21.7109375" customWidth="1"/>
    <col min="12" max="12" width="46.7109375" style="6" customWidth="1"/>
    <col min="13" max="13" width="37.85546875" customWidth="1"/>
    <col min="14" max="14" width="10.7109375" style="7" customWidth="1"/>
    <col min="15" max="15" width="16.28515625" customWidth="1"/>
    <col min="16" max="16" width="9.140625" customWidth="1"/>
    <col min="17" max="17" width="17.140625" customWidth="1"/>
    <col min="18" max="18" width="18.42578125" customWidth="1"/>
    <col min="19" max="19" width="18" customWidth="1"/>
    <col min="21" max="21" width="14.28515625" customWidth="1"/>
  </cols>
  <sheetData>
    <row r="2" spans="1:19">
      <c r="B2" s="374" t="s">
        <v>24</v>
      </c>
      <c r="C2" s="372" t="s">
        <v>25</v>
      </c>
      <c r="D2" s="10"/>
      <c r="E2" s="376" t="s">
        <v>26</v>
      </c>
      <c r="F2" s="11" t="s">
        <v>1690</v>
      </c>
      <c r="G2" s="12" t="s">
        <v>1691</v>
      </c>
      <c r="H2" s="372" t="s">
        <v>27</v>
      </c>
      <c r="I2" s="13" t="s">
        <v>28</v>
      </c>
      <c r="J2" s="13" t="s">
        <v>29</v>
      </c>
      <c r="K2" s="13" t="s">
        <v>30</v>
      </c>
      <c r="L2" s="372" t="s">
        <v>31</v>
      </c>
      <c r="M2" s="372" t="s">
        <v>32</v>
      </c>
      <c r="N2" s="33"/>
      <c r="O2" s="370" t="s">
        <v>33</v>
      </c>
      <c r="P2" s="372" t="s">
        <v>34</v>
      </c>
      <c r="Q2" s="370" t="s">
        <v>35</v>
      </c>
      <c r="R2" s="370" t="s">
        <v>36</v>
      </c>
      <c r="S2" s="370" t="s">
        <v>37</v>
      </c>
    </row>
    <row r="3" spans="1:19">
      <c r="B3" s="375"/>
      <c r="C3" s="373"/>
      <c r="D3" s="14" t="s">
        <v>38</v>
      </c>
      <c r="E3" s="377"/>
      <c r="F3" s="15"/>
      <c r="G3" s="16"/>
      <c r="H3" s="373"/>
      <c r="I3" s="13" t="s">
        <v>28</v>
      </c>
      <c r="J3" s="13" t="s">
        <v>29</v>
      </c>
      <c r="K3" s="13" t="s">
        <v>30</v>
      </c>
      <c r="L3" s="373"/>
      <c r="M3" s="373"/>
      <c r="N3" s="35" t="s">
        <v>39</v>
      </c>
      <c r="O3" s="371"/>
      <c r="P3" s="373"/>
      <c r="Q3" s="371"/>
      <c r="R3" s="371"/>
      <c r="S3" s="371"/>
    </row>
    <row r="4" spans="1:19">
      <c r="A4" s="17"/>
      <c r="B4" s="18">
        <v>92</v>
      </c>
      <c r="C4" s="19" t="s">
        <v>390</v>
      </c>
      <c r="D4" s="20" t="s">
        <v>391</v>
      </c>
      <c r="E4" s="21" t="s">
        <v>9</v>
      </c>
      <c r="F4" s="22" t="s">
        <v>1692</v>
      </c>
      <c r="G4" s="23" t="s">
        <v>1693</v>
      </c>
      <c r="H4" s="24" t="s">
        <v>392</v>
      </c>
      <c r="I4" s="19"/>
      <c r="J4" s="19" t="s">
        <v>393</v>
      </c>
      <c r="K4" s="19"/>
      <c r="L4" s="24" t="s">
        <v>50</v>
      </c>
      <c r="M4" s="19" t="s">
        <v>394</v>
      </c>
      <c r="N4" s="36">
        <v>44363</v>
      </c>
      <c r="O4" s="37">
        <v>254545</v>
      </c>
      <c r="P4" s="19">
        <v>8</v>
      </c>
      <c r="Q4" s="40">
        <f t="shared" ref="Q4:Q67" si="0">P4*O4</f>
        <v>2036360</v>
      </c>
      <c r="R4" s="40">
        <v>275000</v>
      </c>
      <c r="S4" s="40">
        <f t="shared" ref="S4:S67" si="1">R4*P4</f>
        <v>2200000</v>
      </c>
    </row>
    <row r="5" spans="1:19">
      <c r="A5" s="17"/>
      <c r="B5" s="18">
        <v>102</v>
      </c>
      <c r="C5" s="19" t="s">
        <v>430</v>
      </c>
      <c r="D5" s="20" t="s">
        <v>431</v>
      </c>
      <c r="E5" s="21" t="s">
        <v>9</v>
      </c>
      <c r="F5" s="22" t="s">
        <v>1692</v>
      </c>
      <c r="G5" s="23" t="s">
        <v>1693</v>
      </c>
      <c r="H5" s="24" t="s">
        <v>432</v>
      </c>
      <c r="I5" s="19"/>
      <c r="J5" s="19" t="s">
        <v>433</v>
      </c>
      <c r="K5" s="19"/>
      <c r="L5" s="24" t="s">
        <v>50</v>
      </c>
      <c r="M5" s="19" t="s">
        <v>434</v>
      </c>
      <c r="N5" s="36">
        <v>44376</v>
      </c>
      <c r="O5" s="37">
        <v>254545</v>
      </c>
      <c r="P5" s="19">
        <v>2</v>
      </c>
      <c r="Q5" s="40">
        <f t="shared" si="0"/>
        <v>509090</v>
      </c>
      <c r="R5" s="40">
        <v>275000</v>
      </c>
      <c r="S5" s="40">
        <f t="shared" si="1"/>
        <v>550000</v>
      </c>
    </row>
    <row r="6" spans="1:19">
      <c r="A6" s="17"/>
      <c r="B6" s="18">
        <v>103</v>
      </c>
      <c r="C6" s="19" t="s">
        <v>435</v>
      </c>
      <c r="D6" s="20" t="s">
        <v>431</v>
      </c>
      <c r="E6" s="21" t="s">
        <v>9</v>
      </c>
      <c r="F6" s="22" t="s">
        <v>1692</v>
      </c>
      <c r="G6" s="23" t="s">
        <v>1693</v>
      </c>
      <c r="H6" s="24" t="s">
        <v>436</v>
      </c>
      <c r="I6" s="19"/>
      <c r="J6" s="19" t="s">
        <v>433</v>
      </c>
      <c r="K6" s="19"/>
      <c r="L6" s="24" t="s">
        <v>50</v>
      </c>
      <c r="M6" s="19" t="s">
        <v>437</v>
      </c>
      <c r="N6" s="36">
        <v>44376</v>
      </c>
      <c r="O6" s="37">
        <v>254545</v>
      </c>
      <c r="P6" s="19">
        <v>3</v>
      </c>
      <c r="Q6" s="40">
        <f t="shared" si="0"/>
        <v>763635</v>
      </c>
      <c r="R6" s="40">
        <v>275000</v>
      </c>
      <c r="S6" s="40">
        <f t="shared" si="1"/>
        <v>825000</v>
      </c>
    </row>
    <row r="7" spans="1:19">
      <c r="A7" s="17"/>
      <c r="B7" s="18">
        <v>104</v>
      </c>
      <c r="C7" s="19" t="s">
        <v>438</v>
      </c>
      <c r="D7" s="20" t="s">
        <v>439</v>
      </c>
      <c r="E7" s="21" t="s">
        <v>9</v>
      </c>
      <c r="F7" s="22" t="s">
        <v>1692</v>
      </c>
      <c r="G7" s="23" t="s">
        <v>1693</v>
      </c>
      <c r="H7" s="24" t="s">
        <v>440</v>
      </c>
      <c r="I7" s="19"/>
      <c r="J7" s="19" t="s">
        <v>441</v>
      </c>
      <c r="K7" s="19"/>
      <c r="L7" s="24" t="s">
        <v>50</v>
      </c>
      <c r="M7" s="19" t="s">
        <v>442</v>
      </c>
      <c r="N7" s="36">
        <v>44377</v>
      </c>
      <c r="O7" s="37">
        <v>254545</v>
      </c>
      <c r="P7" s="19">
        <v>1</v>
      </c>
      <c r="Q7" s="40">
        <f t="shared" si="0"/>
        <v>254545</v>
      </c>
      <c r="R7" s="40">
        <v>275000</v>
      </c>
      <c r="S7" s="40">
        <f t="shared" si="1"/>
        <v>275000</v>
      </c>
    </row>
    <row r="8" spans="1:19">
      <c r="A8" s="17"/>
      <c r="B8" s="18">
        <v>105</v>
      </c>
      <c r="C8" s="25" t="s">
        <v>443</v>
      </c>
      <c r="D8" s="26" t="s">
        <v>444</v>
      </c>
      <c r="E8" s="27" t="s">
        <v>9</v>
      </c>
      <c r="F8" s="28" t="s">
        <v>1692</v>
      </c>
      <c r="G8" s="29" t="s">
        <v>1693</v>
      </c>
      <c r="H8" s="30" t="s">
        <v>445</v>
      </c>
      <c r="I8" s="25"/>
      <c r="J8" s="25" t="s">
        <v>446</v>
      </c>
      <c r="K8" s="25"/>
      <c r="L8" s="30" t="s">
        <v>50</v>
      </c>
      <c r="M8" s="25" t="s">
        <v>447</v>
      </c>
      <c r="N8" s="38">
        <v>44407</v>
      </c>
      <c r="O8" s="39">
        <v>254545</v>
      </c>
      <c r="P8" s="25">
        <v>1</v>
      </c>
      <c r="Q8" s="41">
        <f t="shared" si="0"/>
        <v>254545</v>
      </c>
      <c r="R8" s="41">
        <v>275000</v>
      </c>
      <c r="S8" s="41">
        <f t="shared" si="1"/>
        <v>275000</v>
      </c>
    </row>
    <row r="9" spans="1:19">
      <c r="A9" s="17"/>
      <c r="B9" s="18">
        <v>106</v>
      </c>
      <c r="C9" s="25" t="s">
        <v>448</v>
      </c>
      <c r="D9" s="26" t="s">
        <v>449</v>
      </c>
      <c r="E9" s="27" t="s">
        <v>9</v>
      </c>
      <c r="F9" s="28" t="s">
        <v>1692</v>
      </c>
      <c r="G9" s="29" t="s">
        <v>1693</v>
      </c>
      <c r="H9" s="30" t="s">
        <v>450</v>
      </c>
      <c r="I9" s="25"/>
      <c r="J9" s="25" t="s">
        <v>451</v>
      </c>
      <c r="K9" s="25"/>
      <c r="L9" s="30" t="s">
        <v>50</v>
      </c>
      <c r="M9" s="25" t="s">
        <v>452</v>
      </c>
      <c r="N9" s="38">
        <v>44385</v>
      </c>
      <c r="O9" s="39">
        <v>254545</v>
      </c>
      <c r="P9" s="25">
        <v>3</v>
      </c>
      <c r="Q9" s="41">
        <f t="shared" si="0"/>
        <v>763635</v>
      </c>
      <c r="R9" s="41">
        <v>275000</v>
      </c>
      <c r="S9" s="41">
        <f t="shared" si="1"/>
        <v>825000</v>
      </c>
    </row>
    <row r="10" spans="1:19">
      <c r="A10" s="17"/>
      <c r="B10" s="18">
        <v>107</v>
      </c>
      <c r="C10" s="25" t="s">
        <v>453</v>
      </c>
      <c r="D10" s="26" t="s">
        <v>449</v>
      </c>
      <c r="E10" s="27" t="s">
        <v>9</v>
      </c>
      <c r="F10" s="28" t="s">
        <v>1692</v>
      </c>
      <c r="G10" s="29" t="s">
        <v>1693</v>
      </c>
      <c r="H10" s="30" t="s">
        <v>454</v>
      </c>
      <c r="I10" s="25"/>
      <c r="J10" s="25" t="s">
        <v>455</v>
      </c>
      <c r="K10" s="25"/>
      <c r="L10" s="30" t="s">
        <v>50</v>
      </c>
      <c r="M10" s="25" t="s">
        <v>456</v>
      </c>
      <c r="N10" s="38">
        <v>44385</v>
      </c>
      <c r="O10" s="39">
        <v>254545</v>
      </c>
      <c r="P10" s="25">
        <v>2</v>
      </c>
      <c r="Q10" s="41">
        <f t="shared" si="0"/>
        <v>509090</v>
      </c>
      <c r="R10" s="41">
        <v>275000</v>
      </c>
      <c r="S10" s="41">
        <f t="shared" si="1"/>
        <v>550000</v>
      </c>
    </row>
    <row r="11" spans="1:19">
      <c r="A11" s="17"/>
      <c r="B11" s="18">
        <v>108</v>
      </c>
      <c r="C11" s="25" t="s">
        <v>457</v>
      </c>
      <c r="D11" s="26" t="s">
        <v>449</v>
      </c>
      <c r="E11" s="27" t="s">
        <v>9</v>
      </c>
      <c r="F11" s="28" t="s">
        <v>1692</v>
      </c>
      <c r="G11" s="29" t="s">
        <v>1693</v>
      </c>
      <c r="H11" s="30" t="s">
        <v>458</v>
      </c>
      <c r="I11" s="25"/>
      <c r="J11" s="25" t="s">
        <v>459</v>
      </c>
      <c r="K11" s="25"/>
      <c r="L11" s="30" t="s">
        <v>50</v>
      </c>
      <c r="M11" s="25" t="s">
        <v>460</v>
      </c>
      <c r="N11" s="38">
        <v>44385</v>
      </c>
      <c r="O11" s="39">
        <v>254545</v>
      </c>
      <c r="P11" s="25">
        <v>1</v>
      </c>
      <c r="Q11" s="41">
        <f t="shared" si="0"/>
        <v>254545</v>
      </c>
      <c r="R11" s="41">
        <v>275000</v>
      </c>
      <c r="S11" s="41">
        <f t="shared" si="1"/>
        <v>275000</v>
      </c>
    </row>
    <row r="12" spans="1:19">
      <c r="A12" s="17"/>
      <c r="B12" s="18">
        <v>111</v>
      </c>
      <c r="C12" s="25" t="s">
        <v>469</v>
      </c>
      <c r="D12" s="26" t="s">
        <v>470</v>
      </c>
      <c r="E12" s="27" t="s">
        <v>6</v>
      </c>
      <c r="F12" s="28" t="s">
        <v>1694</v>
      </c>
      <c r="G12" s="31" t="s">
        <v>1695</v>
      </c>
      <c r="H12" s="30" t="s">
        <v>185</v>
      </c>
      <c r="I12" s="25"/>
      <c r="J12" s="25" t="s">
        <v>471</v>
      </c>
      <c r="K12" s="25"/>
      <c r="L12" s="30" t="s">
        <v>50</v>
      </c>
      <c r="M12" s="25" t="s">
        <v>472</v>
      </c>
      <c r="N12" s="38">
        <v>44395</v>
      </c>
      <c r="O12" s="39">
        <v>345455</v>
      </c>
      <c r="P12" s="25">
        <v>258</v>
      </c>
      <c r="Q12" s="41">
        <f t="shared" si="0"/>
        <v>89127390</v>
      </c>
      <c r="R12" s="41">
        <v>388181.82</v>
      </c>
      <c r="S12" s="41">
        <f t="shared" si="1"/>
        <v>100150909.56</v>
      </c>
    </row>
    <row r="13" spans="1:19">
      <c r="A13" s="17"/>
      <c r="B13" s="18">
        <v>113</v>
      </c>
      <c r="C13" s="25" t="s">
        <v>477</v>
      </c>
      <c r="D13" s="26" t="s">
        <v>478</v>
      </c>
      <c r="E13" s="27" t="s">
        <v>9</v>
      </c>
      <c r="F13" s="28" t="s">
        <v>1692</v>
      </c>
      <c r="G13" s="29" t="s">
        <v>1693</v>
      </c>
      <c r="H13" s="30" t="s">
        <v>479</v>
      </c>
      <c r="I13" s="25"/>
      <c r="J13" s="25" t="s">
        <v>480</v>
      </c>
      <c r="K13" s="25"/>
      <c r="L13" s="30" t="s">
        <v>50</v>
      </c>
      <c r="M13" s="25" t="s">
        <v>481</v>
      </c>
      <c r="N13" s="38">
        <v>44398</v>
      </c>
      <c r="O13" s="39">
        <v>254545</v>
      </c>
      <c r="P13" s="25">
        <v>1</v>
      </c>
      <c r="Q13" s="41">
        <f t="shared" si="0"/>
        <v>254545</v>
      </c>
      <c r="R13" s="41">
        <v>275000</v>
      </c>
      <c r="S13" s="41">
        <f t="shared" si="1"/>
        <v>275000</v>
      </c>
    </row>
    <row r="14" spans="1:19">
      <c r="A14" s="17"/>
      <c r="B14" s="18">
        <v>114</v>
      </c>
      <c r="C14" s="25" t="s">
        <v>482</v>
      </c>
      <c r="D14" s="26" t="s">
        <v>478</v>
      </c>
      <c r="E14" s="27" t="s">
        <v>9</v>
      </c>
      <c r="F14" s="28" t="s">
        <v>1692</v>
      </c>
      <c r="G14" s="29" t="s">
        <v>1693</v>
      </c>
      <c r="H14" s="30" t="s">
        <v>483</v>
      </c>
      <c r="I14" s="25"/>
      <c r="J14" s="25" t="s">
        <v>480</v>
      </c>
      <c r="K14" s="25"/>
      <c r="L14" s="30" t="s">
        <v>50</v>
      </c>
      <c r="M14" s="25" t="s">
        <v>484</v>
      </c>
      <c r="N14" s="38">
        <v>44398</v>
      </c>
      <c r="O14" s="39">
        <v>254545</v>
      </c>
      <c r="P14" s="25">
        <v>8</v>
      </c>
      <c r="Q14" s="41">
        <f t="shared" si="0"/>
        <v>2036360</v>
      </c>
      <c r="R14" s="41">
        <v>275000</v>
      </c>
      <c r="S14" s="41">
        <f t="shared" si="1"/>
        <v>2200000</v>
      </c>
    </row>
    <row r="15" spans="1:19">
      <c r="A15" s="17"/>
      <c r="B15" s="18">
        <v>115</v>
      </c>
      <c r="C15" s="25" t="s">
        <v>485</v>
      </c>
      <c r="D15" s="26" t="s">
        <v>444</v>
      </c>
      <c r="E15" s="27" t="s">
        <v>9</v>
      </c>
      <c r="F15" s="28" t="s">
        <v>1692</v>
      </c>
      <c r="G15" s="29" t="s">
        <v>1693</v>
      </c>
      <c r="H15" s="30" t="s">
        <v>203</v>
      </c>
      <c r="I15" s="25"/>
      <c r="J15" s="25" t="s">
        <v>446</v>
      </c>
      <c r="K15" s="25"/>
      <c r="L15" s="30" t="s">
        <v>50</v>
      </c>
      <c r="M15" s="25" t="s">
        <v>486</v>
      </c>
      <c r="N15" s="38">
        <v>44407</v>
      </c>
      <c r="O15" s="39">
        <v>254545</v>
      </c>
      <c r="P15" s="25">
        <v>1</v>
      </c>
      <c r="Q15" s="41">
        <f t="shared" si="0"/>
        <v>254545</v>
      </c>
      <c r="R15" s="41">
        <v>275000</v>
      </c>
      <c r="S15" s="41">
        <f t="shared" si="1"/>
        <v>275000</v>
      </c>
    </row>
    <row r="16" spans="1:19">
      <c r="A16" s="17"/>
      <c r="B16" s="18">
        <v>116</v>
      </c>
      <c r="C16" s="25" t="s">
        <v>487</v>
      </c>
      <c r="D16" s="26" t="s">
        <v>488</v>
      </c>
      <c r="E16" s="27" t="s">
        <v>9</v>
      </c>
      <c r="F16" s="28" t="s">
        <v>1692</v>
      </c>
      <c r="G16" s="29" t="s">
        <v>1693</v>
      </c>
      <c r="H16" s="30" t="s">
        <v>489</v>
      </c>
      <c r="I16" s="25"/>
      <c r="J16" s="25" t="s">
        <v>490</v>
      </c>
      <c r="K16" s="25"/>
      <c r="L16" s="30" t="s">
        <v>50</v>
      </c>
      <c r="M16" s="25" t="s">
        <v>491</v>
      </c>
      <c r="N16" s="38">
        <v>44404</v>
      </c>
      <c r="O16" s="39">
        <v>254545</v>
      </c>
      <c r="P16" s="25">
        <v>1</v>
      </c>
      <c r="Q16" s="41">
        <f t="shared" si="0"/>
        <v>254545</v>
      </c>
      <c r="R16" s="41">
        <v>275000</v>
      </c>
      <c r="S16" s="41">
        <f t="shared" si="1"/>
        <v>275000</v>
      </c>
    </row>
    <row r="17" spans="1:19">
      <c r="A17" s="17"/>
      <c r="B17" s="18">
        <v>117</v>
      </c>
      <c r="C17" s="25" t="s">
        <v>492</v>
      </c>
      <c r="D17" s="26" t="s">
        <v>444</v>
      </c>
      <c r="E17" s="27" t="s">
        <v>9</v>
      </c>
      <c r="F17" s="28" t="s">
        <v>1692</v>
      </c>
      <c r="G17" s="29" t="s">
        <v>1693</v>
      </c>
      <c r="H17" s="30" t="s">
        <v>445</v>
      </c>
      <c r="I17" s="25"/>
      <c r="J17" s="25" t="s">
        <v>446</v>
      </c>
      <c r="K17" s="25"/>
      <c r="L17" s="30" t="s">
        <v>50</v>
      </c>
      <c r="M17" s="25" t="s">
        <v>493</v>
      </c>
      <c r="N17" s="38">
        <v>44407</v>
      </c>
      <c r="O17" s="39">
        <v>254545</v>
      </c>
      <c r="P17" s="25">
        <v>1</v>
      </c>
      <c r="Q17" s="41">
        <f t="shared" si="0"/>
        <v>254545</v>
      </c>
      <c r="R17" s="41">
        <v>275000</v>
      </c>
      <c r="S17" s="41">
        <f t="shared" si="1"/>
        <v>275000</v>
      </c>
    </row>
    <row r="18" spans="1:19">
      <c r="A18" s="17"/>
      <c r="B18" s="18">
        <v>118</v>
      </c>
      <c r="C18" s="25" t="s">
        <v>494</v>
      </c>
      <c r="D18" s="26" t="s">
        <v>444</v>
      </c>
      <c r="E18" s="27" t="s">
        <v>9</v>
      </c>
      <c r="F18" s="28" t="s">
        <v>1692</v>
      </c>
      <c r="G18" s="29" t="s">
        <v>1693</v>
      </c>
      <c r="H18" s="30" t="s">
        <v>495</v>
      </c>
      <c r="I18" s="25"/>
      <c r="J18" s="25" t="s">
        <v>496</v>
      </c>
      <c r="K18" s="25"/>
      <c r="L18" s="30" t="s">
        <v>50</v>
      </c>
      <c r="M18" s="25" t="s">
        <v>497</v>
      </c>
      <c r="N18" s="38">
        <v>44407</v>
      </c>
      <c r="O18" s="39">
        <v>254545</v>
      </c>
      <c r="P18" s="25">
        <v>1</v>
      </c>
      <c r="Q18" s="41">
        <f t="shared" si="0"/>
        <v>254545</v>
      </c>
      <c r="R18" s="41">
        <v>275000</v>
      </c>
      <c r="S18" s="41">
        <f t="shared" si="1"/>
        <v>275000</v>
      </c>
    </row>
    <row r="19" spans="1:19">
      <c r="A19" s="17"/>
      <c r="B19" s="18">
        <v>119</v>
      </c>
      <c r="C19" s="19" t="s">
        <v>498</v>
      </c>
      <c r="D19" s="20" t="s">
        <v>499</v>
      </c>
      <c r="E19" s="21" t="s">
        <v>11</v>
      </c>
      <c r="F19" s="22" t="s">
        <v>1696</v>
      </c>
      <c r="G19" s="32" t="s">
        <v>1697</v>
      </c>
      <c r="H19" s="24" t="s">
        <v>320</v>
      </c>
      <c r="I19" s="19"/>
      <c r="J19" s="19" t="s">
        <v>500</v>
      </c>
      <c r="K19" s="19"/>
      <c r="L19" s="24" t="s">
        <v>50</v>
      </c>
      <c r="M19" s="19" t="s">
        <v>501</v>
      </c>
      <c r="N19" s="36">
        <v>44410</v>
      </c>
      <c r="O19" s="37">
        <v>444545</v>
      </c>
      <c r="P19" s="19">
        <v>19</v>
      </c>
      <c r="Q19" s="40">
        <f t="shared" si="0"/>
        <v>8446355</v>
      </c>
      <c r="R19" s="40">
        <v>556363.63</v>
      </c>
      <c r="S19" s="40">
        <f t="shared" si="1"/>
        <v>10570908.970000001</v>
      </c>
    </row>
    <row r="20" spans="1:19">
      <c r="A20" s="17"/>
      <c r="B20" s="18">
        <v>120</v>
      </c>
      <c r="C20" s="19" t="s">
        <v>502</v>
      </c>
      <c r="D20" s="20" t="s">
        <v>503</v>
      </c>
      <c r="E20" s="21" t="s">
        <v>9</v>
      </c>
      <c r="F20" s="22" t="s">
        <v>1692</v>
      </c>
      <c r="G20" s="23" t="s">
        <v>1693</v>
      </c>
      <c r="H20" s="24" t="s">
        <v>504</v>
      </c>
      <c r="I20" s="19"/>
      <c r="J20" s="19" t="s">
        <v>505</v>
      </c>
      <c r="K20" s="19"/>
      <c r="L20" s="24" t="s">
        <v>50</v>
      </c>
      <c r="M20" s="19" t="s">
        <v>506</v>
      </c>
      <c r="N20" s="36">
        <v>44410</v>
      </c>
      <c r="O20" s="37">
        <v>254545</v>
      </c>
      <c r="P20" s="19">
        <v>5</v>
      </c>
      <c r="Q20" s="40">
        <f t="shared" si="0"/>
        <v>1272725</v>
      </c>
      <c r="R20" s="40">
        <v>275000</v>
      </c>
      <c r="S20" s="40">
        <f t="shared" si="1"/>
        <v>1375000</v>
      </c>
    </row>
    <row r="21" spans="1:19">
      <c r="A21" s="17"/>
      <c r="B21" s="18">
        <v>121</v>
      </c>
      <c r="C21" s="19" t="s">
        <v>507</v>
      </c>
      <c r="D21" s="20" t="s">
        <v>508</v>
      </c>
      <c r="E21" s="21" t="s">
        <v>6</v>
      </c>
      <c r="F21" s="22" t="s">
        <v>1694</v>
      </c>
      <c r="G21" s="32" t="s">
        <v>1695</v>
      </c>
      <c r="H21" s="24" t="s">
        <v>509</v>
      </c>
      <c r="I21" s="19"/>
      <c r="J21" s="19" t="s">
        <v>510</v>
      </c>
      <c r="K21" s="19"/>
      <c r="L21" s="24" t="s">
        <v>50</v>
      </c>
      <c r="M21" s="19" t="s">
        <v>511</v>
      </c>
      <c r="N21" s="36">
        <v>44414</v>
      </c>
      <c r="O21" s="37">
        <v>444545</v>
      </c>
      <c r="P21" s="19">
        <v>73</v>
      </c>
      <c r="Q21" s="40">
        <f t="shared" si="0"/>
        <v>32451785</v>
      </c>
      <c r="R21" s="40">
        <v>530000</v>
      </c>
      <c r="S21" s="40">
        <f t="shared" si="1"/>
        <v>38690000</v>
      </c>
    </row>
    <row r="22" spans="1:19">
      <c r="A22" s="17"/>
      <c r="B22" s="18">
        <v>122</v>
      </c>
      <c r="C22" s="19" t="s">
        <v>512</v>
      </c>
      <c r="D22" s="20" t="s">
        <v>513</v>
      </c>
      <c r="E22" s="21" t="s">
        <v>9</v>
      </c>
      <c r="F22" s="22" t="s">
        <v>1692</v>
      </c>
      <c r="G22" s="23" t="s">
        <v>1693</v>
      </c>
      <c r="H22" s="24" t="s">
        <v>514</v>
      </c>
      <c r="I22" s="19"/>
      <c r="J22" s="19" t="s">
        <v>515</v>
      </c>
      <c r="K22" s="19"/>
      <c r="L22" s="24" t="s">
        <v>50</v>
      </c>
      <c r="M22" s="19" t="s">
        <v>516</v>
      </c>
      <c r="N22" s="36">
        <v>44417</v>
      </c>
      <c r="O22" s="37">
        <v>254545</v>
      </c>
      <c r="P22" s="19">
        <v>2</v>
      </c>
      <c r="Q22" s="40">
        <f t="shared" si="0"/>
        <v>509090</v>
      </c>
      <c r="R22" s="40">
        <v>275000</v>
      </c>
      <c r="S22" s="40">
        <f t="shared" si="1"/>
        <v>550000</v>
      </c>
    </row>
    <row r="23" spans="1:19">
      <c r="A23" s="17"/>
      <c r="B23" s="18">
        <v>123</v>
      </c>
      <c r="C23" s="19" t="s">
        <v>517</v>
      </c>
      <c r="D23" s="20" t="s">
        <v>513</v>
      </c>
      <c r="E23" s="21" t="s">
        <v>9</v>
      </c>
      <c r="F23" s="22" t="s">
        <v>1692</v>
      </c>
      <c r="G23" s="23" t="s">
        <v>1693</v>
      </c>
      <c r="H23" s="24" t="s">
        <v>518</v>
      </c>
      <c r="I23" s="19"/>
      <c r="J23" s="19" t="s">
        <v>515</v>
      </c>
      <c r="K23" s="19"/>
      <c r="L23" s="24" t="s">
        <v>50</v>
      </c>
      <c r="M23" s="19" t="s">
        <v>519</v>
      </c>
      <c r="N23" s="36">
        <v>44417</v>
      </c>
      <c r="O23" s="37">
        <v>254545</v>
      </c>
      <c r="P23" s="19">
        <v>3</v>
      </c>
      <c r="Q23" s="40">
        <f t="shared" si="0"/>
        <v>763635</v>
      </c>
      <c r="R23" s="40">
        <v>275000</v>
      </c>
      <c r="S23" s="40">
        <f t="shared" si="1"/>
        <v>825000</v>
      </c>
    </row>
    <row r="24" spans="1:19">
      <c r="A24" s="17"/>
      <c r="B24" s="18">
        <v>124</v>
      </c>
      <c r="C24" s="19" t="s">
        <v>520</v>
      </c>
      <c r="D24" s="20" t="s">
        <v>521</v>
      </c>
      <c r="E24" s="21" t="s">
        <v>9</v>
      </c>
      <c r="F24" s="22" t="s">
        <v>1692</v>
      </c>
      <c r="G24" s="23" t="s">
        <v>1693</v>
      </c>
      <c r="H24" s="24" t="s">
        <v>522</v>
      </c>
      <c r="I24" s="19"/>
      <c r="J24" s="19" t="s">
        <v>446</v>
      </c>
      <c r="K24" s="19"/>
      <c r="L24" s="24" t="s">
        <v>50</v>
      </c>
      <c r="M24" s="19" t="s">
        <v>523</v>
      </c>
      <c r="N24" s="36">
        <v>44417</v>
      </c>
      <c r="O24" s="37">
        <v>254545</v>
      </c>
      <c r="P24" s="19">
        <v>1</v>
      </c>
      <c r="Q24" s="40">
        <f t="shared" si="0"/>
        <v>254545</v>
      </c>
      <c r="R24" s="40">
        <v>275000</v>
      </c>
      <c r="S24" s="40">
        <f t="shared" si="1"/>
        <v>275000</v>
      </c>
    </row>
    <row r="25" spans="1:19">
      <c r="A25" s="17"/>
      <c r="B25" s="18">
        <v>125</v>
      </c>
      <c r="C25" s="19" t="s">
        <v>524</v>
      </c>
      <c r="D25" s="20" t="s">
        <v>525</v>
      </c>
      <c r="E25" s="21" t="s">
        <v>9</v>
      </c>
      <c r="F25" s="22" t="s">
        <v>1692</v>
      </c>
      <c r="G25" s="23" t="s">
        <v>1693</v>
      </c>
      <c r="H25" s="24" t="s">
        <v>368</v>
      </c>
      <c r="I25" s="19"/>
      <c r="J25" s="19" t="s">
        <v>526</v>
      </c>
      <c r="K25" s="19"/>
      <c r="L25" s="24" t="s">
        <v>50</v>
      </c>
      <c r="M25" s="19" t="s">
        <v>527</v>
      </c>
      <c r="N25" s="36">
        <v>44418</v>
      </c>
      <c r="O25" s="37">
        <v>254545</v>
      </c>
      <c r="P25" s="19">
        <v>5</v>
      </c>
      <c r="Q25" s="40">
        <f t="shared" si="0"/>
        <v>1272725</v>
      </c>
      <c r="R25" s="40">
        <v>275000</v>
      </c>
      <c r="S25" s="40">
        <f t="shared" si="1"/>
        <v>1375000</v>
      </c>
    </row>
    <row r="26" spans="1:19">
      <c r="A26" s="17"/>
      <c r="B26" s="18">
        <v>126</v>
      </c>
      <c r="C26" s="19" t="s">
        <v>528</v>
      </c>
      <c r="D26" s="20" t="s">
        <v>525</v>
      </c>
      <c r="E26" s="21" t="s">
        <v>9</v>
      </c>
      <c r="F26" s="22" t="s">
        <v>1692</v>
      </c>
      <c r="G26" s="23" t="s">
        <v>1693</v>
      </c>
      <c r="H26" s="24" t="s">
        <v>368</v>
      </c>
      <c r="I26" s="19"/>
      <c r="J26" s="19" t="s">
        <v>510</v>
      </c>
      <c r="K26" s="19"/>
      <c r="L26" s="24" t="s">
        <v>50</v>
      </c>
      <c r="M26" s="19" t="s">
        <v>529</v>
      </c>
      <c r="N26" s="36">
        <v>44418</v>
      </c>
      <c r="O26" s="37">
        <v>254545</v>
      </c>
      <c r="P26" s="19">
        <v>2</v>
      </c>
      <c r="Q26" s="40">
        <f t="shared" si="0"/>
        <v>509090</v>
      </c>
      <c r="R26" s="40">
        <v>275000</v>
      </c>
      <c r="S26" s="40">
        <f t="shared" si="1"/>
        <v>550000</v>
      </c>
    </row>
    <row r="27" spans="1:19">
      <c r="A27" s="17"/>
      <c r="B27" s="18">
        <v>128</v>
      </c>
      <c r="C27" s="19" t="s">
        <v>535</v>
      </c>
      <c r="D27" s="20" t="s">
        <v>536</v>
      </c>
      <c r="E27" s="21" t="s">
        <v>9</v>
      </c>
      <c r="F27" s="22" t="s">
        <v>1692</v>
      </c>
      <c r="G27" s="23" t="s">
        <v>1693</v>
      </c>
      <c r="H27" s="24" t="s">
        <v>537</v>
      </c>
      <c r="I27" s="19"/>
      <c r="J27" s="19" t="s">
        <v>538</v>
      </c>
      <c r="K27" s="19"/>
      <c r="L27" s="24" t="s">
        <v>50</v>
      </c>
      <c r="M27" s="19" t="s">
        <v>539</v>
      </c>
      <c r="N27" s="36">
        <v>44438</v>
      </c>
      <c r="O27" s="37">
        <v>254545</v>
      </c>
      <c r="P27" s="19">
        <v>6</v>
      </c>
      <c r="Q27" s="40">
        <f t="shared" si="0"/>
        <v>1527270</v>
      </c>
      <c r="R27" s="40">
        <v>275000</v>
      </c>
      <c r="S27" s="40">
        <f t="shared" si="1"/>
        <v>1650000</v>
      </c>
    </row>
    <row r="28" spans="1:19">
      <c r="A28" s="17"/>
      <c r="B28" s="18">
        <v>129</v>
      </c>
      <c r="C28" s="19" t="s">
        <v>540</v>
      </c>
      <c r="D28" s="20" t="s">
        <v>536</v>
      </c>
      <c r="E28" s="21" t="s">
        <v>9</v>
      </c>
      <c r="F28" s="22" t="s">
        <v>1692</v>
      </c>
      <c r="G28" s="23" t="s">
        <v>1693</v>
      </c>
      <c r="H28" s="24" t="s">
        <v>537</v>
      </c>
      <c r="I28" s="19"/>
      <c r="J28" s="19" t="s">
        <v>538</v>
      </c>
      <c r="K28" s="19"/>
      <c r="L28" s="24" t="s">
        <v>50</v>
      </c>
      <c r="M28" s="19" t="s">
        <v>541</v>
      </c>
      <c r="N28" s="36">
        <v>44438</v>
      </c>
      <c r="O28" s="37">
        <v>254545</v>
      </c>
      <c r="P28" s="19">
        <v>4</v>
      </c>
      <c r="Q28" s="40">
        <f t="shared" si="0"/>
        <v>1018180</v>
      </c>
      <c r="R28" s="40">
        <v>275000</v>
      </c>
      <c r="S28" s="40">
        <f t="shared" si="1"/>
        <v>1100000</v>
      </c>
    </row>
    <row r="29" spans="1:19">
      <c r="A29" s="17"/>
      <c r="B29" s="18">
        <v>130</v>
      </c>
      <c r="C29" s="25" t="s">
        <v>542</v>
      </c>
      <c r="D29" s="26" t="s">
        <v>543</v>
      </c>
      <c r="E29" s="27" t="s">
        <v>9</v>
      </c>
      <c r="F29" s="28" t="s">
        <v>1692</v>
      </c>
      <c r="G29" s="29" t="s">
        <v>1693</v>
      </c>
      <c r="H29" s="30" t="s">
        <v>544</v>
      </c>
      <c r="I29" s="25"/>
      <c r="J29" s="25" t="s">
        <v>545</v>
      </c>
      <c r="K29" s="25"/>
      <c r="L29" s="30" t="s">
        <v>50</v>
      </c>
      <c r="M29" s="25" t="s">
        <v>546</v>
      </c>
      <c r="N29" s="38">
        <v>44469</v>
      </c>
      <c r="O29" s="39">
        <v>254545</v>
      </c>
      <c r="P29" s="25">
        <v>8</v>
      </c>
      <c r="Q29" s="41">
        <f t="shared" si="0"/>
        <v>2036360</v>
      </c>
      <c r="R29" s="41">
        <v>275000</v>
      </c>
      <c r="S29" s="41">
        <f t="shared" si="1"/>
        <v>2200000</v>
      </c>
    </row>
    <row r="30" spans="1:19">
      <c r="A30" s="17"/>
      <c r="B30" s="18">
        <v>131</v>
      </c>
      <c r="C30" s="25" t="s">
        <v>547</v>
      </c>
      <c r="D30" s="26" t="s">
        <v>548</v>
      </c>
      <c r="E30" s="27" t="s">
        <v>9</v>
      </c>
      <c r="F30" s="28" t="s">
        <v>1692</v>
      </c>
      <c r="G30" s="29" t="s">
        <v>1693</v>
      </c>
      <c r="H30" s="30" t="s">
        <v>549</v>
      </c>
      <c r="I30" s="25"/>
      <c r="J30" s="25" t="s">
        <v>550</v>
      </c>
      <c r="K30" s="25"/>
      <c r="L30" s="30" t="s">
        <v>50</v>
      </c>
      <c r="M30" s="25" t="s">
        <v>551</v>
      </c>
      <c r="N30" s="38">
        <v>44446</v>
      </c>
      <c r="O30" s="39">
        <v>254545</v>
      </c>
      <c r="P30" s="25">
        <v>1</v>
      </c>
      <c r="Q30" s="41">
        <f t="shared" si="0"/>
        <v>254545</v>
      </c>
      <c r="R30" s="41">
        <v>275000</v>
      </c>
      <c r="S30" s="41">
        <f t="shared" si="1"/>
        <v>275000</v>
      </c>
    </row>
    <row r="31" spans="1:19">
      <c r="A31" s="17"/>
      <c r="B31" s="18">
        <v>132</v>
      </c>
      <c r="C31" s="25" t="s">
        <v>552</v>
      </c>
      <c r="D31" s="26" t="s">
        <v>548</v>
      </c>
      <c r="E31" s="27" t="s">
        <v>9</v>
      </c>
      <c r="F31" s="28" t="s">
        <v>1692</v>
      </c>
      <c r="G31" s="29" t="s">
        <v>1693</v>
      </c>
      <c r="H31" s="30" t="s">
        <v>445</v>
      </c>
      <c r="I31" s="25"/>
      <c r="J31" s="25" t="s">
        <v>446</v>
      </c>
      <c r="K31" s="25"/>
      <c r="L31" s="30" t="s">
        <v>50</v>
      </c>
      <c r="M31" s="25" t="s">
        <v>553</v>
      </c>
      <c r="N31" s="38">
        <v>44446</v>
      </c>
      <c r="O31" s="39">
        <v>254545</v>
      </c>
      <c r="P31" s="25">
        <v>1</v>
      </c>
      <c r="Q31" s="41">
        <f t="shared" si="0"/>
        <v>254545</v>
      </c>
      <c r="R31" s="41">
        <v>275000</v>
      </c>
      <c r="S31" s="41">
        <f t="shared" si="1"/>
        <v>275000</v>
      </c>
    </row>
    <row r="32" spans="1:19">
      <c r="A32" s="17"/>
      <c r="B32" s="18">
        <v>134</v>
      </c>
      <c r="C32" s="25" t="s">
        <v>559</v>
      </c>
      <c r="D32" s="26" t="s">
        <v>560</v>
      </c>
      <c r="E32" s="27" t="s">
        <v>9</v>
      </c>
      <c r="F32" s="28" t="s">
        <v>1692</v>
      </c>
      <c r="G32" s="29" t="s">
        <v>1693</v>
      </c>
      <c r="H32" s="30" t="s">
        <v>561</v>
      </c>
      <c r="I32" s="25"/>
      <c r="J32" s="25" t="s">
        <v>538</v>
      </c>
      <c r="K32" s="25"/>
      <c r="L32" s="30" t="s">
        <v>50</v>
      </c>
      <c r="M32" s="25" t="s">
        <v>562</v>
      </c>
      <c r="N32" s="38">
        <v>44447</v>
      </c>
      <c r="O32" s="39">
        <v>254545</v>
      </c>
      <c r="P32" s="25">
        <v>1</v>
      </c>
      <c r="Q32" s="41">
        <f t="shared" si="0"/>
        <v>254545</v>
      </c>
      <c r="R32" s="41">
        <v>275000</v>
      </c>
      <c r="S32" s="41">
        <f t="shared" si="1"/>
        <v>275000</v>
      </c>
    </row>
    <row r="33" spans="1:19">
      <c r="A33" s="17"/>
      <c r="B33" s="18">
        <v>135</v>
      </c>
      <c r="C33" s="25" t="s">
        <v>563</v>
      </c>
      <c r="D33" s="26" t="s">
        <v>564</v>
      </c>
      <c r="E33" s="27" t="s">
        <v>9</v>
      </c>
      <c r="F33" s="28" t="s">
        <v>1692</v>
      </c>
      <c r="G33" s="29" t="s">
        <v>1693</v>
      </c>
      <c r="H33" s="30" t="s">
        <v>565</v>
      </c>
      <c r="I33" s="25"/>
      <c r="J33" s="25" t="s">
        <v>566</v>
      </c>
      <c r="K33" s="25"/>
      <c r="L33" s="30" t="s">
        <v>50</v>
      </c>
      <c r="M33" s="25" t="s">
        <v>567</v>
      </c>
      <c r="N33" s="38">
        <v>44448</v>
      </c>
      <c r="O33" s="39">
        <v>254545</v>
      </c>
      <c r="P33" s="25">
        <v>1</v>
      </c>
      <c r="Q33" s="41">
        <f t="shared" si="0"/>
        <v>254545</v>
      </c>
      <c r="R33" s="41">
        <v>275000</v>
      </c>
      <c r="S33" s="41">
        <f t="shared" si="1"/>
        <v>275000</v>
      </c>
    </row>
    <row r="34" spans="1:19">
      <c r="A34" s="17"/>
      <c r="B34" s="18">
        <v>136</v>
      </c>
      <c r="C34" s="25" t="s">
        <v>568</v>
      </c>
      <c r="D34" s="26" t="s">
        <v>569</v>
      </c>
      <c r="E34" s="27" t="s">
        <v>9</v>
      </c>
      <c r="F34" s="28" t="s">
        <v>1692</v>
      </c>
      <c r="G34" s="29" t="s">
        <v>1693</v>
      </c>
      <c r="H34" s="30" t="s">
        <v>570</v>
      </c>
      <c r="I34" s="25"/>
      <c r="J34" s="25" t="s">
        <v>571</v>
      </c>
      <c r="K34" s="25"/>
      <c r="L34" s="30" t="s">
        <v>50</v>
      </c>
      <c r="M34" s="25" t="s">
        <v>572</v>
      </c>
      <c r="N34" s="38">
        <v>44449</v>
      </c>
      <c r="O34" s="39">
        <v>254545</v>
      </c>
      <c r="P34" s="25">
        <v>3</v>
      </c>
      <c r="Q34" s="41">
        <f t="shared" si="0"/>
        <v>763635</v>
      </c>
      <c r="R34" s="41">
        <v>275000</v>
      </c>
      <c r="S34" s="41">
        <f t="shared" si="1"/>
        <v>825000</v>
      </c>
    </row>
    <row r="35" spans="1:19">
      <c r="A35" s="17"/>
      <c r="B35" s="18">
        <v>143</v>
      </c>
      <c r="C35" s="25" t="s">
        <v>587</v>
      </c>
      <c r="D35" s="26" t="s">
        <v>588</v>
      </c>
      <c r="E35" s="27" t="s">
        <v>9</v>
      </c>
      <c r="F35" s="28" t="s">
        <v>1692</v>
      </c>
      <c r="G35" s="29" t="s">
        <v>1693</v>
      </c>
      <c r="H35" s="30" t="s">
        <v>445</v>
      </c>
      <c r="I35" s="25"/>
      <c r="J35" s="25" t="s">
        <v>589</v>
      </c>
      <c r="K35" s="25"/>
      <c r="L35" s="30" t="s">
        <v>50</v>
      </c>
      <c r="M35" s="25" t="s">
        <v>590</v>
      </c>
      <c r="N35" s="38">
        <v>44459</v>
      </c>
      <c r="O35" s="39">
        <v>254545</v>
      </c>
      <c r="P35" s="25">
        <v>1</v>
      </c>
      <c r="Q35" s="41">
        <f t="shared" si="0"/>
        <v>254545</v>
      </c>
      <c r="R35" s="41">
        <v>275000</v>
      </c>
      <c r="S35" s="41">
        <f t="shared" si="1"/>
        <v>275000</v>
      </c>
    </row>
    <row r="36" spans="1:19">
      <c r="A36" s="17"/>
      <c r="B36" s="18">
        <v>144</v>
      </c>
      <c r="C36" s="25" t="s">
        <v>591</v>
      </c>
      <c r="D36" s="26" t="s">
        <v>588</v>
      </c>
      <c r="E36" s="27" t="s">
        <v>9</v>
      </c>
      <c r="F36" s="28" t="s">
        <v>1692</v>
      </c>
      <c r="G36" s="29" t="s">
        <v>1693</v>
      </c>
      <c r="H36" s="30" t="s">
        <v>206</v>
      </c>
      <c r="I36" s="25"/>
      <c r="J36" s="25" t="s">
        <v>592</v>
      </c>
      <c r="K36" s="25"/>
      <c r="L36" s="30" t="s">
        <v>50</v>
      </c>
      <c r="M36" s="25" t="s">
        <v>593</v>
      </c>
      <c r="N36" s="38">
        <v>44459</v>
      </c>
      <c r="O36" s="39">
        <v>254545</v>
      </c>
      <c r="P36" s="25">
        <v>1</v>
      </c>
      <c r="Q36" s="41">
        <f t="shared" si="0"/>
        <v>254545</v>
      </c>
      <c r="R36" s="41">
        <v>275000</v>
      </c>
      <c r="S36" s="41">
        <f t="shared" si="1"/>
        <v>275000</v>
      </c>
    </row>
    <row r="37" spans="1:19">
      <c r="A37" s="17"/>
      <c r="B37" s="18">
        <v>145</v>
      </c>
      <c r="C37" s="25" t="s">
        <v>594</v>
      </c>
      <c r="D37" s="26" t="s">
        <v>588</v>
      </c>
      <c r="E37" s="27" t="s">
        <v>9</v>
      </c>
      <c r="F37" s="28" t="s">
        <v>1692</v>
      </c>
      <c r="G37" s="29" t="s">
        <v>1693</v>
      </c>
      <c r="H37" s="30" t="s">
        <v>595</v>
      </c>
      <c r="I37" s="25"/>
      <c r="J37" s="25" t="s">
        <v>592</v>
      </c>
      <c r="K37" s="25"/>
      <c r="L37" s="30" t="s">
        <v>50</v>
      </c>
      <c r="M37" s="25" t="s">
        <v>596</v>
      </c>
      <c r="N37" s="38">
        <v>44459</v>
      </c>
      <c r="O37" s="39">
        <v>254545</v>
      </c>
      <c r="P37" s="25">
        <v>1</v>
      </c>
      <c r="Q37" s="41">
        <f t="shared" si="0"/>
        <v>254545</v>
      </c>
      <c r="R37" s="41">
        <v>275000</v>
      </c>
      <c r="S37" s="41">
        <f t="shared" si="1"/>
        <v>275000</v>
      </c>
    </row>
    <row r="38" spans="1:19">
      <c r="A38" s="17"/>
      <c r="B38" s="18">
        <v>146</v>
      </c>
      <c r="C38" s="25" t="s">
        <v>597</v>
      </c>
      <c r="D38" s="26" t="s">
        <v>598</v>
      </c>
      <c r="E38" s="27" t="s">
        <v>9</v>
      </c>
      <c r="F38" s="28" t="s">
        <v>1692</v>
      </c>
      <c r="G38" s="29" t="s">
        <v>1693</v>
      </c>
      <c r="H38" s="30" t="s">
        <v>599</v>
      </c>
      <c r="I38" s="25"/>
      <c r="J38" s="25" t="s">
        <v>600</v>
      </c>
      <c r="K38" s="25"/>
      <c r="L38" s="30" t="s">
        <v>50</v>
      </c>
      <c r="M38" s="25" t="s">
        <v>601</v>
      </c>
      <c r="N38" s="38">
        <v>44461</v>
      </c>
      <c r="O38" s="39">
        <v>254545</v>
      </c>
      <c r="P38" s="25">
        <v>6</v>
      </c>
      <c r="Q38" s="41">
        <f t="shared" si="0"/>
        <v>1527270</v>
      </c>
      <c r="R38" s="41">
        <v>275000</v>
      </c>
      <c r="S38" s="41">
        <f t="shared" si="1"/>
        <v>1650000</v>
      </c>
    </row>
    <row r="39" spans="1:19">
      <c r="A39" s="17"/>
      <c r="B39" s="18">
        <v>147</v>
      </c>
      <c r="C39" s="25" t="s">
        <v>602</v>
      </c>
      <c r="D39" s="26" t="s">
        <v>598</v>
      </c>
      <c r="E39" s="27" t="s">
        <v>9</v>
      </c>
      <c r="F39" s="28" t="s">
        <v>1692</v>
      </c>
      <c r="G39" s="29" t="s">
        <v>1693</v>
      </c>
      <c r="H39" s="30" t="s">
        <v>603</v>
      </c>
      <c r="I39" s="25"/>
      <c r="J39" s="25" t="s">
        <v>604</v>
      </c>
      <c r="K39" s="25"/>
      <c r="L39" s="30" t="s">
        <v>50</v>
      </c>
      <c r="M39" s="25" t="s">
        <v>605</v>
      </c>
      <c r="N39" s="38">
        <v>44461</v>
      </c>
      <c r="O39" s="39">
        <v>254545</v>
      </c>
      <c r="P39" s="25">
        <v>2</v>
      </c>
      <c r="Q39" s="41">
        <f t="shared" si="0"/>
        <v>509090</v>
      </c>
      <c r="R39" s="41">
        <v>275000</v>
      </c>
      <c r="S39" s="41">
        <f t="shared" si="1"/>
        <v>550000</v>
      </c>
    </row>
    <row r="40" spans="1:19">
      <c r="A40" s="17"/>
      <c r="B40" s="18">
        <v>148</v>
      </c>
      <c r="C40" s="25" t="s">
        <v>606</v>
      </c>
      <c r="D40" s="26" t="s">
        <v>598</v>
      </c>
      <c r="E40" s="27" t="s">
        <v>9</v>
      </c>
      <c r="F40" s="28" t="s">
        <v>1692</v>
      </c>
      <c r="G40" s="29" t="s">
        <v>1693</v>
      </c>
      <c r="H40" s="30" t="s">
        <v>607</v>
      </c>
      <c r="I40" s="25"/>
      <c r="J40" s="25" t="s">
        <v>608</v>
      </c>
      <c r="K40" s="25"/>
      <c r="L40" s="30" t="s">
        <v>50</v>
      </c>
      <c r="M40" s="25" t="s">
        <v>609</v>
      </c>
      <c r="N40" s="38">
        <v>44461</v>
      </c>
      <c r="O40" s="39">
        <v>254545</v>
      </c>
      <c r="P40" s="25">
        <v>3</v>
      </c>
      <c r="Q40" s="41">
        <f t="shared" si="0"/>
        <v>763635</v>
      </c>
      <c r="R40" s="41">
        <v>275000</v>
      </c>
      <c r="S40" s="41">
        <f t="shared" si="1"/>
        <v>825000</v>
      </c>
    </row>
    <row r="41" spans="1:19">
      <c r="A41" s="17"/>
      <c r="B41" s="18">
        <v>149</v>
      </c>
      <c r="C41" s="25" t="s">
        <v>610</v>
      </c>
      <c r="D41" s="26" t="s">
        <v>598</v>
      </c>
      <c r="E41" s="27" t="s">
        <v>9</v>
      </c>
      <c r="F41" s="28" t="s">
        <v>1692</v>
      </c>
      <c r="G41" s="29" t="s">
        <v>1693</v>
      </c>
      <c r="H41" s="30" t="s">
        <v>611</v>
      </c>
      <c r="I41" s="25"/>
      <c r="J41" s="25" t="s">
        <v>612</v>
      </c>
      <c r="K41" s="25"/>
      <c r="L41" s="30" t="s">
        <v>50</v>
      </c>
      <c r="M41" s="25" t="s">
        <v>613</v>
      </c>
      <c r="N41" s="38">
        <v>44461</v>
      </c>
      <c r="O41" s="39">
        <v>254545</v>
      </c>
      <c r="P41" s="25">
        <v>6</v>
      </c>
      <c r="Q41" s="41">
        <f t="shared" si="0"/>
        <v>1527270</v>
      </c>
      <c r="R41" s="41">
        <v>275000</v>
      </c>
      <c r="S41" s="41">
        <f t="shared" si="1"/>
        <v>1650000</v>
      </c>
    </row>
    <row r="42" spans="1:19">
      <c r="A42" s="17"/>
      <c r="B42" s="18">
        <v>150</v>
      </c>
      <c r="C42" s="25" t="s">
        <v>614</v>
      </c>
      <c r="D42" s="26" t="s">
        <v>615</v>
      </c>
      <c r="E42" s="27" t="s">
        <v>9</v>
      </c>
      <c r="F42" s="28" t="s">
        <v>1692</v>
      </c>
      <c r="G42" s="29" t="s">
        <v>1693</v>
      </c>
      <c r="H42" s="30" t="s">
        <v>77</v>
      </c>
      <c r="I42" s="25"/>
      <c r="J42" s="25" t="s">
        <v>616</v>
      </c>
      <c r="K42" s="25"/>
      <c r="L42" s="30" t="s">
        <v>50</v>
      </c>
      <c r="M42" s="25" t="s">
        <v>617</v>
      </c>
      <c r="N42" s="38">
        <v>44463</v>
      </c>
      <c r="O42" s="39">
        <v>254545</v>
      </c>
      <c r="P42" s="25">
        <v>1</v>
      </c>
      <c r="Q42" s="41">
        <f t="shared" si="0"/>
        <v>254545</v>
      </c>
      <c r="R42" s="41">
        <v>275000</v>
      </c>
      <c r="S42" s="41">
        <f t="shared" si="1"/>
        <v>275000</v>
      </c>
    </row>
    <row r="43" spans="1:19">
      <c r="A43" s="17"/>
      <c r="B43" s="18">
        <v>151</v>
      </c>
      <c r="C43" s="25" t="s">
        <v>618</v>
      </c>
      <c r="D43" s="26" t="s">
        <v>615</v>
      </c>
      <c r="E43" s="27" t="s">
        <v>9</v>
      </c>
      <c r="F43" s="28" t="s">
        <v>1692</v>
      </c>
      <c r="G43" s="29" t="s">
        <v>1693</v>
      </c>
      <c r="H43" s="30" t="s">
        <v>619</v>
      </c>
      <c r="I43" s="25"/>
      <c r="J43" s="25" t="s">
        <v>620</v>
      </c>
      <c r="K43" s="25"/>
      <c r="L43" s="30" t="s">
        <v>50</v>
      </c>
      <c r="M43" s="25" t="s">
        <v>621</v>
      </c>
      <c r="N43" s="38">
        <v>44463</v>
      </c>
      <c r="O43" s="39">
        <v>254545</v>
      </c>
      <c r="P43" s="25">
        <v>1</v>
      </c>
      <c r="Q43" s="41">
        <f t="shared" si="0"/>
        <v>254545</v>
      </c>
      <c r="R43" s="41">
        <v>275000</v>
      </c>
      <c r="S43" s="41">
        <f t="shared" si="1"/>
        <v>275000</v>
      </c>
    </row>
    <row r="44" spans="1:19">
      <c r="A44" s="17"/>
      <c r="B44" s="18">
        <v>152</v>
      </c>
      <c r="C44" s="25" t="s">
        <v>622</v>
      </c>
      <c r="D44" s="26" t="s">
        <v>615</v>
      </c>
      <c r="E44" s="27" t="s">
        <v>9</v>
      </c>
      <c r="F44" s="28" t="s">
        <v>1692</v>
      </c>
      <c r="G44" s="29" t="s">
        <v>1693</v>
      </c>
      <c r="H44" s="30" t="s">
        <v>623</v>
      </c>
      <c r="I44" s="25"/>
      <c r="J44" s="25" t="s">
        <v>620</v>
      </c>
      <c r="K44" s="25"/>
      <c r="L44" s="30" t="s">
        <v>50</v>
      </c>
      <c r="M44" s="25" t="s">
        <v>624</v>
      </c>
      <c r="N44" s="38">
        <v>44463</v>
      </c>
      <c r="O44" s="39">
        <v>254545</v>
      </c>
      <c r="P44" s="25">
        <v>5</v>
      </c>
      <c r="Q44" s="41">
        <f t="shared" si="0"/>
        <v>1272725</v>
      </c>
      <c r="R44" s="41">
        <v>275000</v>
      </c>
      <c r="S44" s="41">
        <f t="shared" si="1"/>
        <v>1375000</v>
      </c>
    </row>
    <row r="45" spans="1:19">
      <c r="A45" s="17"/>
      <c r="B45" s="18">
        <v>153</v>
      </c>
      <c r="C45" s="25" t="s">
        <v>625</v>
      </c>
      <c r="D45" s="26" t="s">
        <v>626</v>
      </c>
      <c r="E45" s="27" t="s">
        <v>7</v>
      </c>
      <c r="F45" s="28" t="s">
        <v>1698</v>
      </c>
      <c r="G45" s="31" t="s">
        <v>1699</v>
      </c>
      <c r="H45" s="30" t="s">
        <v>627</v>
      </c>
      <c r="I45" s="25"/>
      <c r="J45" s="25" t="s">
        <v>628</v>
      </c>
      <c r="K45" s="25"/>
      <c r="L45" s="30" t="s">
        <v>629</v>
      </c>
      <c r="M45" s="25" t="s">
        <v>630</v>
      </c>
      <c r="N45" s="38">
        <v>44463</v>
      </c>
      <c r="O45" s="39">
        <v>185455</v>
      </c>
      <c r="P45" s="25">
        <v>2</v>
      </c>
      <c r="Q45" s="41">
        <f t="shared" si="0"/>
        <v>370910</v>
      </c>
      <c r="R45" s="41">
        <v>231818.81</v>
      </c>
      <c r="S45" s="41">
        <f t="shared" si="1"/>
        <v>463637.62</v>
      </c>
    </row>
    <row r="46" spans="1:19">
      <c r="A46" s="17"/>
      <c r="B46" s="18">
        <v>154</v>
      </c>
      <c r="C46" s="25" t="s">
        <v>631</v>
      </c>
      <c r="D46" s="26" t="s">
        <v>626</v>
      </c>
      <c r="E46" s="27" t="s">
        <v>7</v>
      </c>
      <c r="F46" s="28" t="s">
        <v>1698</v>
      </c>
      <c r="G46" s="31" t="s">
        <v>1699</v>
      </c>
      <c r="H46" s="30" t="s">
        <v>627</v>
      </c>
      <c r="I46" s="25"/>
      <c r="J46" s="25" t="s">
        <v>632</v>
      </c>
      <c r="K46" s="25"/>
      <c r="L46" s="30" t="s">
        <v>63</v>
      </c>
      <c r="M46" s="25" t="s">
        <v>630</v>
      </c>
      <c r="N46" s="38">
        <v>44463</v>
      </c>
      <c r="O46" s="39">
        <v>92727</v>
      </c>
      <c r="P46" s="25">
        <v>2</v>
      </c>
      <c r="Q46" s="41">
        <f t="shared" si="0"/>
        <v>185454</v>
      </c>
      <c r="R46" s="41">
        <v>116363.63</v>
      </c>
      <c r="S46" s="41">
        <f t="shared" si="1"/>
        <v>232727.26</v>
      </c>
    </row>
    <row r="47" spans="1:19" s="1" customFormat="1" ht="12.75">
      <c r="A47" s="17"/>
      <c r="B47" s="18">
        <v>156</v>
      </c>
      <c r="C47" s="19" t="s">
        <v>636</v>
      </c>
      <c r="D47" s="20" t="s">
        <v>637</v>
      </c>
      <c r="E47" s="21" t="s">
        <v>9</v>
      </c>
      <c r="F47" s="22" t="s">
        <v>1692</v>
      </c>
      <c r="G47" s="23" t="s">
        <v>1693</v>
      </c>
      <c r="H47" s="24" t="s">
        <v>638</v>
      </c>
      <c r="I47" s="19"/>
      <c r="J47" s="19" t="s">
        <v>526</v>
      </c>
      <c r="K47" s="19"/>
      <c r="L47" s="24" t="s">
        <v>50</v>
      </c>
      <c r="M47" s="19" t="s">
        <v>639</v>
      </c>
      <c r="N47" s="36">
        <v>44475</v>
      </c>
      <c r="O47" s="37">
        <v>254545</v>
      </c>
      <c r="P47" s="19">
        <v>1</v>
      </c>
      <c r="Q47" s="40">
        <f t="shared" si="0"/>
        <v>254545</v>
      </c>
      <c r="R47" s="40">
        <v>275000</v>
      </c>
      <c r="S47" s="40">
        <f t="shared" si="1"/>
        <v>275000</v>
      </c>
    </row>
    <row r="48" spans="1:19">
      <c r="A48" s="17"/>
      <c r="B48" s="18">
        <v>157</v>
      </c>
      <c r="C48" s="19" t="s">
        <v>640</v>
      </c>
      <c r="D48" s="20" t="s">
        <v>641</v>
      </c>
      <c r="E48" s="21" t="s">
        <v>9</v>
      </c>
      <c r="F48" s="22" t="s">
        <v>1692</v>
      </c>
      <c r="G48" s="23" t="s">
        <v>1693</v>
      </c>
      <c r="H48" s="24" t="s">
        <v>206</v>
      </c>
      <c r="I48" s="19"/>
      <c r="J48" s="19" t="s">
        <v>642</v>
      </c>
      <c r="K48" s="19"/>
      <c r="L48" s="24" t="s">
        <v>50</v>
      </c>
      <c r="M48" s="19" t="s">
        <v>643</v>
      </c>
      <c r="N48" s="36">
        <v>44475</v>
      </c>
      <c r="O48" s="37">
        <v>254545</v>
      </c>
      <c r="P48" s="19">
        <v>1</v>
      </c>
      <c r="Q48" s="40">
        <f t="shared" si="0"/>
        <v>254545</v>
      </c>
      <c r="R48" s="40">
        <v>275000</v>
      </c>
      <c r="S48" s="40">
        <f t="shared" si="1"/>
        <v>275000</v>
      </c>
    </row>
    <row r="49" spans="1:19">
      <c r="A49" s="17"/>
      <c r="B49" s="18">
        <v>158</v>
      </c>
      <c r="C49" s="19" t="s">
        <v>644</v>
      </c>
      <c r="D49" s="20" t="s">
        <v>641</v>
      </c>
      <c r="E49" s="21" t="s">
        <v>9</v>
      </c>
      <c r="F49" s="22" t="s">
        <v>1692</v>
      </c>
      <c r="G49" s="23" t="s">
        <v>1693</v>
      </c>
      <c r="H49" s="24" t="s">
        <v>645</v>
      </c>
      <c r="I49" s="19"/>
      <c r="J49" s="19" t="s">
        <v>642</v>
      </c>
      <c r="K49" s="19"/>
      <c r="L49" s="24" t="s">
        <v>50</v>
      </c>
      <c r="M49" s="19" t="s">
        <v>646</v>
      </c>
      <c r="N49" s="36">
        <v>44475</v>
      </c>
      <c r="O49" s="37">
        <v>254545</v>
      </c>
      <c r="P49" s="19">
        <v>1</v>
      </c>
      <c r="Q49" s="40">
        <f t="shared" si="0"/>
        <v>254545</v>
      </c>
      <c r="R49" s="40">
        <v>275000</v>
      </c>
      <c r="S49" s="40">
        <f t="shared" si="1"/>
        <v>275000</v>
      </c>
    </row>
    <row r="50" spans="1:19">
      <c r="A50" s="17"/>
      <c r="B50" s="18">
        <v>159</v>
      </c>
      <c r="C50" s="19" t="s">
        <v>647</v>
      </c>
      <c r="D50" s="20" t="s">
        <v>641</v>
      </c>
      <c r="E50" s="21" t="s">
        <v>9</v>
      </c>
      <c r="F50" s="22" t="s">
        <v>1692</v>
      </c>
      <c r="G50" s="23" t="s">
        <v>1693</v>
      </c>
      <c r="H50" s="24" t="s">
        <v>648</v>
      </c>
      <c r="I50" s="19"/>
      <c r="J50" s="19" t="s">
        <v>642</v>
      </c>
      <c r="K50" s="19"/>
      <c r="L50" s="24" t="s">
        <v>50</v>
      </c>
      <c r="M50" s="19" t="s">
        <v>649</v>
      </c>
      <c r="N50" s="36">
        <v>44475</v>
      </c>
      <c r="O50" s="37">
        <v>254545</v>
      </c>
      <c r="P50" s="19">
        <v>1</v>
      </c>
      <c r="Q50" s="40">
        <f t="shared" si="0"/>
        <v>254545</v>
      </c>
      <c r="R50" s="40">
        <v>275000</v>
      </c>
      <c r="S50" s="40">
        <f t="shared" si="1"/>
        <v>275000</v>
      </c>
    </row>
    <row r="51" spans="1:19">
      <c r="A51" s="17"/>
      <c r="B51" s="18">
        <v>160</v>
      </c>
      <c r="C51" s="19" t="s">
        <v>650</v>
      </c>
      <c r="D51" s="20" t="s">
        <v>651</v>
      </c>
      <c r="E51" s="21" t="s">
        <v>9</v>
      </c>
      <c r="F51" s="22" t="s">
        <v>1692</v>
      </c>
      <c r="G51" s="23" t="s">
        <v>1693</v>
      </c>
      <c r="H51" s="24" t="s">
        <v>652</v>
      </c>
      <c r="I51" s="19"/>
      <c r="J51" s="19" t="s">
        <v>642</v>
      </c>
      <c r="K51" s="19"/>
      <c r="L51" s="24" t="s">
        <v>50</v>
      </c>
      <c r="M51" s="19" t="s">
        <v>653</v>
      </c>
      <c r="N51" s="36">
        <v>44476</v>
      </c>
      <c r="O51" s="37">
        <v>254545</v>
      </c>
      <c r="P51" s="19">
        <v>1</v>
      </c>
      <c r="Q51" s="40">
        <f t="shared" si="0"/>
        <v>254545</v>
      </c>
      <c r="R51" s="40">
        <v>275000</v>
      </c>
      <c r="S51" s="40">
        <f t="shared" si="1"/>
        <v>275000</v>
      </c>
    </row>
    <row r="52" spans="1:19">
      <c r="A52" s="17"/>
      <c r="B52" s="18">
        <v>161</v>
      </c>
      <c r="C52" s="19" t="s">
        <v>654</v>
      </c>
      <c r="D52" s="20" t="s">
        <v>655</v>
      </c>
      <c r="E52" s="21" t="s">
        <v>9</v>
      </c>
      <c r="F52" s="22" t="s">
        <v>1692</v>
      </c>
      <c r="G52" s="23" t="s">
        <v>1693</v>
      </c>
      <c r="H52" s="24" t="s">
        <v>206</v>
      </c>
      <c r="I52" s="19"/>
      <c r="J52" s="19" t="s">
        <v>656</v>
      </c>
      <c r="K52" s="19"/>
      <c r="L52" s="24" t="s">
        <v>50</v>
      </c>
      <c r="M52" s="19" t="s">
        <v>657</v>
      </c>
      <c r="N52" s="36">
        <v>44480</v>
      </c>
      <c r="O52" s="37">
        <v>254545</v>
      </c>
      <c r="P52" s="19">
        <v>1</v>
      </c>
      <c r="Q52" s="40">
        <f t="shared" si="0"/>
        <v>254545</v>
      </c>
      <c r="R52" s="40">
        <v>275000</v>
      </c>
      <c r="S52" s="40">
        <f t="shared" si="1"/>
        <v>275000</v>
      </c>
    </row>
    <row r="53" spans="1:19">
      <c r="A53" s="17"/>
      <c r="B53" s="18">
        <v>162</v>
      </c>
      <c r="C53" s="19" t="s">
        <v>658</v>
      </c>
      <c r="D53" s="20" t="s">
        <v>659</v>
      </c>
      <c r="E53" s="21" t="s">
        <v>9</v>
      </c>
      <c r="F53" s="22" t="s">
        <v>1692</v>
      </c>
      <c r="G53" s="23" t="s">
        <v>1693</v>
      </c>
      <c r="H53" s="24" t="s">
        <v>660</v>
      </c>
      <c r="I53" s="19"/>
      <c r="J53" s="19" t="s">
        <v>661</v>
      </c>
      <c r="K53" s="19"/>
      <c r="L53" s="24" t="s">
        <v>50</v>
      </c>
      <c r="M53" s="19" t="s">
        <v>662</v>
      </c>
      <c r="N53" s="36">
        <v>44481</v>
      </c>
      <c r="O53" s="37">
        <v>254545</v>
      </c>
      <c r="P53" s="19">
        <v>1</v>
      </c>
      <c r="Q53" s="40">
        <f t="shared" si="0"/>
        <v>254545</v>
      </c>
      <c r="R53" s="40">
        <v>275000</v>
      </c>
      <c r="S53" s="40">
        <f t="shared" si="1"/>
        <v>275000</v>
      </c>
    </row>
    <row r="54" spans="1:19">
      <c r="A54" s="17"/>
      <c r="B54" s="18">
        <v>163</v>
      </c>
      <c r="C54" s="19" t="s">
        <v>663</v>
      </c>
      <c r="D54" s="20" t="s">
        <v>664</v>
      </c>
      <c r="E54" s="21" t="s">
        <v>9</v>
      </c>
      <c r="F54" s="22" t="s">
        <v>1692</v>
      </c>
      <c r="G54" s="23" t="s">
        <v>1693</v>
      </c>
      <c r="H54" s="24" t="s">
        <v>665</v>
      </c>
      <c r="I54" s="19"/>
      <c r="J54" s="19" t="s">
        <v>666</v>
      </c>
      <c r="K54" s="19"/>
      <c r="L54" s="24" t="s">
        <v>50</v>
      </c>
      <c r="M54" s="19" t="s">
        <v>667</v>
      </c>
      <c r="N54" s="36">
        <v>44488</v>
      </c>
      <c r="O54" s="37">
        <v>254545</v>
      </c>
      <c r="P54" s="19">
        <v>1</v>
      </c>
      <c r="Q54" s="40">
        <f t="shared" si="0"/>
        <v>254545</v>
      </c>
      <c r="R54" s="40">
        <v>275000</v>
      </c>
      <c r="S54" s="40">
        <f t="shared" si="1"/>
        <v>275000</v>
      </c>
    </row>
    <row r="55" spans="1:19">
      <c r="A55" s="17"/>
      <c r="B55" s="18">
        <v>164</v>
      </c>
      <c r="C55" s="19" t="s">
        <v>668</v>
      </c>
      <c r="D55" s="20" t="s">
        <v>664</v>
      </c>
      <c r="E55" s="21" t="s">
        <v>9</v>
      </c>
      <c r="F55" s="22" t="s">
        <v>1692</v>
      </c>
      <c r="G55" s="23" t="s">
        <v>1693</v>
      </c>
      <c r="H55" s="24" t="s">
        <v>669</v>
      </c>
      <c r="I55" s="19"/>
      <c r="J55" s="19" t="s">
        <v>666</v>
      </c>
      <c r="K55" s="19"/>
      <c r="L55" s="24" t="s">
        <v>50</v>
      </c>
      <c r="M55" s="19" t="s">
        <v>670</v>
      </c>
      <c r="N55" s="36">
        <v>44488</v>
      </c>
      <c r="O55" s="37">
        <v>254545</v>
      </c>
      <c r="P55" s="19">
        <v>1</v>
      </c>
      <c r="Q55" s="40">
        <f t="shared" si="0"/>
        <v>254545</v>
      </c>
      <c r="R55" s="40">
        <v>275000</v>
      </c>
      <c r="S55" s="40">
        <f t="shared" si="1"/>
        <v>275000</v>
      </c>
    </row>
    <row r="56" spans="1:19">
      <c r="A56" s="17"/>
      <c r="B56" s="18">
        <v>165</v>
      </c>
      <c r="C56" s="19" t="s">
        <v>671</v>
      </c>
      <c r="D56" s="20" t="s">
        <v>672</v>
      </c>
      <c r="E56" s="21" t="s">
        <v>9</v>
      </c>
      <c r="F56" s="22" t="s">
        <v>1692</v>
      </c>
      <c r="G56" s="23" t="s">
        <v>1693</v>
      </c>
      <c r="H56" s="24" t="s">
        <v>673</v>
      </c>
      <c r="I56" s="19"/>
      <c r="J56" s="19" t="s">
        <v>674</v>
      </c>
      <c r="K56" s="19"/>
      <c r="L56" s="24" t="s">
        <v>50</v>
      </c>
      <c r="M56" s="19" t="s">
        <v>675</v>
      </c>
      <c r="N56" s="36">
        <v>44490</v>
      </c>
      <c r="O56" s="37">
        <v>254545</v>
      </c>
      <c r="P56" s="19">
        <v>1</v>
      </c>
      <c r="Q56" s="40">
        <f t="shared" si="0"/>
        <v>254545</v>
      </c>
      <c r="R56" s="40">
        <v>275000</v>
      </c>
      <c r="S56" s="40">
        <f t="shared" si="1"/>
        <v>275000</v>
      </c>
    </row>
    <row r="57" spans="1:19">
      <c r="A57" s="17"/>
      <c r="B57" s="18">
        <v>166</v>
      </c>
      <c r="C57" s="19" t="s">
        <v>676</v>
      </c>
      <c r="D57" s="20" t="s">
        <v>672</v>
      </c>
      <c r="E57" s="21" t="s">
        <v>9</v>
      </c>
      <c r="F57" s="22" t="s">
        <v>1692</v>
      </c>
      <c r="G57" s="23" t="s">
        <v>1693</v>
      </c>
      <c r="H57" s="24" t="s">
        <v>206</v>
      </c>
      <c r="I57" s="19"/>
      <c r="J57" s="19" t="s">
        <v>674</v>
      </c>
      <c r="K57" s="19"/>
      <c r="L57" s="24" t="s">
        <v>50</v>
      </c>
      <c r="M57" s="19" t="s">
        <v>677</v>
      </c>
      <c r="N57" s="36">
        <v>44490</v>
      </c>
      <c r="O57" s="37">
        <v>254545</v>
      </c>
      <c r="P57" s="19">
        <v>2</v>
      </c>
      <c r="Q57" s="40">
        <f t="shared" si="0"/>
        <v>509090</v>
      </c>
      <c r="R57" s="40">
        <v>275000</v>
      </c>
      <c r="S57" s="40">
        <f t="shared" si="1"/>
        <v>550000</v>
      </c>
    </row>
    <row r="58" spans="1:19">
      <c r="A58" s="17"/>
      <c r="B58" s="18">
        <v>167</v>
      </c>
      <c r="C58" s="19" t="s">
        <v>678</v>
      </c>
      <c r="D58" s="20" t="s">
        <v>672</v>
      </c>
      <c r="E58" s="21" t="s">
        <v>9</v>
      </c>
      <c r="F58" s="22" t="s">
        <v>1692</v>
      </c>
      <c r="G58" s="23" t="s">
        <v>1693</v>
      </c>
      <c r="H58" s="24" t="s">
        <v>679</v>
      </c>
      <c r="I58" s="19"/>
      <c r="J58" s="19" t="s">
        <v>680</v>
      </c>
      <c r="K58" s="19"/>
      <c r="L58" s="24" t="s">
        <v>50</v>
      </c>
      <c r="M58" s="19" t="s">
        <v>681</v>
      </c>
      <c r="N58" s="36">
        <v>44490</v>
      </c>
      <c r="O58" s="37">
        <v>254545</v>
      </c>
      <c r="P58" s="19">
        <v>1</v>
      </c>
      <c r="Q58" s="40">
        <f t="shared" si="0"/>
        <v>254545</v>
      </c>
      <c r="R58" s="40">
        <v>275000</v>
      </c>
      <c r="S58" s="40">
        <f t="shared" si="1"/>
        <v>275000</v>
      </c>
    </row>
    <row r="59" spans="1:19">
      <c r="A59" s="17"/>
      <c r="B59" s="18">
        <v>168</v>
      </c>
      <c r="C59" s="19" t="s">
        <v>682</v>
      </c>
      <c r="D59" s="20" t="s">
        <v>683</v>
      </c>
      <c r="E59" s="21" t="s">
        <v>9</v>
      </c>
      <c r="F59" s="22" t="s">
        <v>1692</v>
      </c>
      <c r="G59" s="23" t="s">
        <v>1693</v>
      </c>
      <c r="H59" s="24" t="s">
        <v>684</v>
      </c>
      <c r="I59" s="19"/>
      <c r="J59" s="19" t="s">
        <v>685</v>
      </c>
      <c r="K59" s="19"/>
      <c r="L59" s="24" t="s">
        <v>50</v>
      </c>
      <c r="M59" s="19" t="s">
        <v>686</v>
      </c>
      <c r="N59" s="36">
        <v>44497</v>
      </c>
      <c r="O59" s="37">
        <v>254545</v>
      </c>
      <c r="P59" s="19">
        <v>1</v>
      </c>
      <c r="Q59" s="40">
        <f t="shared" si="0"/>
        <v>254545</v>
      </c>
      <c r="R59" s="40">
        <v>275000</v>
      </c>
      <c r="S59" s="40">
        <f t="shared" si="1"/>
        <v>275000</v>
      </c>
    </row>
    <row r="60" spans="1:19">
      <c r="A60" s="17"/>
      <c r="B60" s="18">
        <v>169</v>
      </c>
      <c r="C60" s="19" t="s">
        <v>687</v>
      </c>
      <c r="D60" s="20" t="s">
        <v>683</v>
      </c>
      <c r="E60" s="21" t="s">
        <v>9</v>
      </c>
      <c r="F60" s="22" t="s">
        <v>1692</v>
      </c>
      <c r="G60" s="23" t="s">
        <v>1693</v>
      </c>
      <c r="H60" s="24" t="s">
        <v>238</v>
      </c>
      <c r="I60" s="19"/>
      <c r="J60" s="19" t="s">
        <v>688</v>
      </c>
      <c r="K60" s="19"/>
      <c r="L60" s="24" t="s">
        <v>50</v>
      </c>
      <c r="M60" s="19" t="s">
        <v>689</v>
      </c>
      <c r="N60" s="36">
        <v>44497</v>
      </c>
      <c r="O60" s="37">
        <v>254545</v>
      </c>
      <c r="P60" s="19">
        <v>1</v>
      </c>
      <c r="Q60" s="40">
        <f t="shared" si="0"/>
        <v>254545</v>
      </c>
      <c r="R60" s="40">
        <v>275000</v>
      </c>
      <c r="S60" s="40">
        <f t="shared" si="1"/>
        <v>275000</v>
      </c>
    </row>
    <row r="61" spans="1:19">
      <c r="A61" s="17"/>
      <c r="B61" s="18">
        <v>170</v>
      </c>
      <c r="C61" s="25" t="s">
        <v>690</v>
      </c>
      <c r="D61" s="26" t="s">
        <v>691</v>
      </c>
      <c r="E61" s="27" t="s">
        <v>9</v>
      </c>
      <c r="F61" s="28" t="s">
        <v>1692</v>
      </c>
      <c r="G61" s="29" t="s">
        <v>1693</v>
      </c>
      <c r="H61" s="30" t="s">
        <v>692</v>
      </c>
      <c r="I61" s="25"/>
      <c r="J61" s="25" t="s">
        <v>693</v>
      </c>
      <c r="K61" s="25"/>
      <c r="L61" s="30" t="s">
        <v>50</v>
      </c>
      <c r="M61" s="25" t="s">
        <v>694</v>
      </c>
      <c r="N61" s="38">
        <v>44508</v>
      </c>
      <c r="O61" s="39">
        <v>254545</v>
      </c>
      <c r="P61" s="25">
        <v>3</v>
      </c>
      <c r="Q61" s="41">
        <f t="shared" si="0"/>
        <v>763635</v>
      </c>
      <c r="R61" s="41">
        <v>275000</v>
      </c>
      <c r="S61" s="41">
        <f t="shared" si="1"/>
        <v>825000</v>
      </c>
    </row>
    <row r="62" spans="1:19">
      <c r="A62" s="17"/>
      <c r="B62" s="18">
        <v>171</v>
      </c>
      <c r="C62" s="25" t="s">
        <v>695</v>
      </c>
      <c r="D62" s="26" t="s">
        <v>696</v>
      </c>
      <c r="E62" s="27" t="s">
        <v>9</v>
      </c>
      <c r="F62" s="28" t="s">
        <v>1692</v>
      </c>
      <c r="G62" s="29" t="s">
        <v>1693</v>
      </c>
      <c r="H62" s="30" t="s">
        <v>697</v>
      </c>
      <c r="I62" s="25"/>
      <c r="J62" s="25" t="s">
        <v>693</v>
      </c>
      <c r="K62" s="25"/>
      <c r="L62" s="30" t="s">
        <v>50</v>
      </c>
      <c r="M62" s="25" t="s">
        <v>698</v>
      </c>
      <c r="N62" s="38">
        <v>44508</v>
      </c>
      <c r="O62" s="39">
        <v>254545</v>
      </c>
      <c r="P62" s="25">
        <v>2</v>
      </c>
      <c r="Q62" s="41">
        <f t="shared" si="0"/>
        <v>509090</v>
      </c>
      <c r="R62" s="41">
        <v>275000</v>
      </c>
      <c r="S62" s="41">
        <f t="shared" si="1"/>
        <v>550000</v>
      </c>
    </row>
    <row r="63" spans="1:19">
      <c r="A63" s="17"/>
      <c r="B63" s="18">
        <v>172</v>
      </c>
      <c r="C63" s="25" t="s">
        <v>699</v>
      </c>
      <c r="D63" s="26" t="s">
        <v>700</v>
      </c>
      <c r="E63" s="27" t="s">
        <v>9</v>
      </c>
      <c r="F63" s="28" t="s">
        <v>1692</v>
      </c>
      <c r="G63" s="29" t="s">
        <v>1693</v>
      </c>
      <c r="H63" s="30" t="s">
        <v>701</v>
      </c>
      <c r="I63" s="25"/>
      <c r="J63" s="25" t="s">
        <v>688</v>
      </c>
      <c r="K63" s="25"/>
      <c r="L63" s="30" t="s">
        <v>50</v>
      </c>
      <c r="M63" s="25" t="s">
        <v>702</v>
      </c>
      <c r="N63" s="38">
        <v>44509</v>
      </c>
      <c r="O63" s="39">
        <v>254545</v>
      </c>
      <c r="P63" s="25">
        <v>1</v>
      </c>
      <c r="Q63" s="41">
        <f t="shared" si="0"/>
        <v>254545</v>
      </c>
      <c r="R63" s="41">
        <v>275000</v>
      </c>
      <c r="S63" s="41">
        <f t="shared" si="1"/>
        <v>275000</v>
      </c>
    </row>
    <row r="64" spans="1:19">
      <c r="A64" s="17"/>
      <c r="B64" s="18">
        <v>173</v>
      </c>
      <c r="C64" s="25" t="s">
        <v>703</v>
      </c>
      <c r="D64" s="26" t="s">
        <v>704</v>
      </c>
      <c r="E64" s="27" t="s">
        <v>9</v>
      </c>
      <c r="F64" s="28" t="s">
        <v>1692</v>
      </c>
      <c r="G64" s="29" t="s">
        <v>1693</v>
      </c>
      <c r="H64" s="30" t="s">
        <v>705</v>
      </c>
      <c r="I64" s="25"/>
      <c r="J64" s="25" t="s">
        <v>706</v>
      </c>
      <c r="K64" s="25"/>
      <c r="L64" s="30" t="s">
        <v>50</v>
      </c>
      <c r="M64" s="25" t="s">
        <v>707</v>
      </c>
      <c r="N64" s="38">
        <v>44510</v>
      </c>
      <c r="O64" s="39">
        <v>254545</v>
      </c>
      <c r="P64" s="25">
        <v>3</v>
      </c>
      <c r="Q64" s="41">
        <f t="shared" si="0"/>
        <v>763635</v>
      </c>
      <c r="R64" s="41">
        <v>275000</v>
      </c>
      <c r="S64" s="41">
        <f t="shared" si="1"/>
        <v>825000</v>
      </c>
    </row>
    <row r="65" spans="1:19">
      <c r="A65" s="17"/>
      <c r="B65" s="18">
        <v>174</v>
      </c>
      <c r="C65" s="25" t="s">
        <v>708</v>
      </c>
      <c r="D65" s="26" t="s">
        <v>709</v>
      </c>
      <c r="E65" s="27" t="s">
        <v>9</v>
      </c>
      <c r="F65" s="28" t="s">
        <v>1692</v>
      </c>
      <c r="G65" s="29" t="s">
        <v>1693</v>
      </c>
      <c r="H65" s="30" t="s">
        <v>72</v>
      </c>
      <c r="I65" s="25"/>
      <c r="J65" s="25" t="s">
        <v>710</v>
      </c>
      <c r="K65" s="25"/>
      <c r="L65" s="30" t="s">
        <v>50</v>
      </c>
      <c r="M65" s="25" t="s">
        <v>711</v>
      </c>
      <c r="N65" s="38">
        <v>44515</v>
      </c>
      <c r="O65" s="39">
        <v>254545</v>
      </c>
      <c r="P65" s="25">
        <v>1</v>
      </c>
      <c r="Q65" s="41">
        <f t="shared" si="0"/>
        <v>254545</v>
      </c>
      <c r="R65" s="41">
        <v>275000</v>
      </c>
      <c r="S65" s="41">
        <f t="shared" si="1"/>
        <v>275000</v>
      </c>
    </row>
    <row r="66" spans="1:19">
      <c r="A66" s="17"/>
      <c r="B66" s="18">
        <v>176</v>
      </c>
      <c r="C66" s="25" t="s">
        <v>716</v>
      </c>
      <c r="D66" s="26" t="s">
        <v>717</v>
      </c>
      <c r="E66" s="27" t="s">
        <v>9</v>
      </c>
      <c r="F66" s="28" t="s">
        <v>1692</v>
      </c>
      <c r="G66" s="29" t="s">
        <v>1693</v>
      </c>
      <c r="H66" s="30" t="s">
        <v>718</v>
      </c>
      <c r="I66" s="25"/>
      <c r="J66" s="25" t="s">
        <v>719</v>
      </c>
      <c r="K66" s="25"/>
      <c r="L66" s="30" t="s">
        <v>50</v>
      </c>
      <c r="M66" s="25" t="s">
        <v>720</v>
      </c>
      <c r="N66" s="38">
        <v>44515</v>
      </c>
      <c r="O66" s="39">
        <v>254545</v>
      </c>
      <c r="P66" s="25">
        <v>7</v>
      </c>
      <c r="Q66" s="41">
        <f t="shared" si="0"/>
        <v>1781815</v>
      </c>
      <c r="R66" s="41">
        <v>275000</v>
      </c>
      <c r="S66" s="41">
        <f t="shared" si="1"/>
        <v>1925000</v>
      </c>
    </row>
    <row r="67" spans="1:19">
      <c r="A67" s="17"/>
      <c r="B67" s="18">
        <v>177</v>
      </c>
      <c r="C67" s="25" t="s">
        <v>721</v>
      </c>
      <c r="D67" s="26" t="s">
        <v>722</v>
      </c>
      <c r="E67" s="27" t="s">
        <v>9</v>
      </c>
      <c r="F67" s="28" t="s">
        <v>1692</v>
      </c>
      <c r="G67" s="29" t="s">
        <v>1693</v>
      </c>
      <c r="H67" s="30" t="s">
        <v>723</v>
      </c>
      <c r="I67" s="25"/>
      <c r="J67" s="25" t="s">
        <v>724</v>
      </c>
      <c r="K67" s="25"/>
      <c r="L67" s="30" t="s">
        <v>50</v>
      </c>
      <c r="M67" s="25" t="s">
        <v>725</v>
      </c>
      <c r="N67" s="38">
        <v>44517</v>
      </c>
      <c r="O67" s="39">
        <v>254545</v>
      </c>
      <c r="P67" s="25">
        <v>1</v>
      </c>
      <c r="Q67" s="41">
        <f t="shared" si="0"/>
        <v>254545</v>
      </c>
      <c r="R67" s="41">
        <v>275000</v>
      </c>
      <c r="S67" s="41">
        <f t="shared" si="1"/>
        <v>275000</v>
      </c>
    </row>
    <row r="68" spans="1:19">
      <c r="A68" s="17"/>
      <c r="B68" s="18">
        <v>178</v>
      </c>
      <c r="C68" s="25" t="s">
        <v>726</v>
      </c>
      <c r="D68" s="26" t="s">
        <v>727</v>
      </c>
      <c r="E68" s="27" t="s">
        <v>9</v>
      </c>
      <c r="F68" s="28" t="s">
        <v>1692</v>
      </c>
      <c r="G68" s="29" t="s">
        <v>1693</v>
      </c>
      <c r="H68" s="30" t="s">
        <v>728</v>
      </c>
      <c r="I68" s="25"/>
      <c r="J68" s="25" t="s">
        <v>729</v>
      </c>
      <c r="K68" s="25"/>
      <c r="L68" s="30" t="s">
        <v>50</v>
      </c>
      <c r="M68" s="25" t="s">
        <v>730</v>
      </c>
      <c r="N68" s="38">
        <v>44522</v>
      </c>
      <c r="O68" s="39">
        <v>254545</v>
      </c>
      <c r="P68" s="25">
        <v>1</v>
      </c>
      <c r="Q68" s="41">
        <f t="shared" ref="Q68:Q83" si="2">P68*O68</f>
        <v>254545</v>
      </c>
      <c r="R68" s="41">
        <v>275000</v>
      </c>
      <c r="S68" s="41">
        <f t="shared" ref="S68:S85" si="3">R68*P68</f>
        <v>275000</v>
      </c>
    </row>
    <row r="69" spans="1:19">
      <c r="A69" s="17"/>
      <c r="B69" s="18">
        <v>180</v>
      </c>
      <c r="C69" s="19" t="s">
        <v>736</v>
      </c>
      <c r="D69" s="20" t="s">
        <v>737</v>
      </c>
      <c r="E69" s="21" t="s">
        <v>9</v>
      </c>
      <c r="F69" s="22" t="s">
        <v>1692</v>
      </c>
      <c r="G69" s="23" t="s">
        <v>1693</v>
      </c>
      <c r="H69" s="24" t="s">
        <v>738</v>
      </c>
      <c r="I69" s="19"/>
      <c r="J69" s="42" t="s">
        <v>739</v>
      </c>
      <c r="K69" s="19"/>
      <c r="L69" s="24" t="s">
        <v>50</v>
      </c>
      <c r="M69" s="19" t="s">
        <v>740</v>
      </c>
      <c r="N69" s="36">
        <v>44543</v>
      </c>
      <c r="O69" s="37">
        <v>254545</v>
      </c>
      <c r="P69" s="19">
        <v>1</v>
      </c>
      <c r="Q69" s="40">
        <f t="shared" si="2"/>
        <v>254545</v>
      </c>
      <c r="R69" s="40">
        <v>275000</v>
      </c>
      <c r="S69" s="40">
        <f t="shared" si="3"/>
        <v>275000</v>
      </c>
    </row>
    <row r="70" spans="1:19">
      <c r="A70" s="17"/>
      <c r="B70" s="18">
        <v>181</v>
      </c>
      <c r="C70" s="19" t="s">
        <v>741</v>
      </c>
      <c r="D70" s="20">
        <v>4800437545</v>
      </c>
      <c r="E70" s="21" t="s">
        <v>12</v>
      </c>
      <c r="F70" s="22" t="s">
        <v>1700</v>
      </c>
      <c r="G70" s="32" t="s">
        <v>1701</v>
      </c>
      <c r="H70" s="24" t="s">
        <v>742</v>
      </c>
      <c r="I70" s="19"/>
      <c r="J70" s="42" t="s">
        <v>743</v>
      </c>
      <c r="K70" s="19"/>
      <c r="L70" s="24" t="s">
        <v>92</v>
      </c>
      <c r="M70" s="19" t="s">
        <v>744</v>
      </c>
      <c r="N70" s="36">
        <v>44545</v>
      </c>
      <c r="O70" s="37">
        <v>32272.73</v>
      </c>
      <c r="P70" s="19">
        <v>292</v>
      </c>
      <c r="Q70" s="40">
        <f t="shared" si="2"/>
        <v>9423637.1600000001</v>
      </c>
      <c r="R70" s="40">
        <v>35500</v>
      </c>
      <c r="S70" s="40">
        <f t="shared" si="3"/>
        <v>10366000</v>
      </c>
    </row>
    <row r="71" spans="1:19">
      <c r="A71" s="17"/>
      <c r="B71" s="18">
        <v>182</v>
      </c>
      <c r="C71" s="19" t="s">
        <v>745</v>
      </c>
      <c r="D71" s="20" t="s">
        <v>746</v>
      </c>
      <c r="E71" s="21" t="s">
        <v>9</v>
      </c>
      <c r="F71" s="22" t="s">
        <v>1692</v>
      </c>
      <c r="G71" s="23" t="s">
        <v>1693</v>
      </c>
      <c r="H71" s="24" t="s">
        <v>747</v>
      </c>
      <c r="I71" s="19"/>
      <c r="J71" s="19" t="s">
        <v>748</v>
      </c>
      <c r="K71" s="19"/>
      <c r="L71" s="24" t="s">
        <v>50</v>
      </c>
      <c r="M71" s="19" t="s">
        <v>749</v>
      </c>
      <c r="N71" s="36">
        <v>44551</v>
      </c>
      <c r="O71" s="37">
        <v>254545</v>
      </c>
      <c r="P71" s="19">
        <v>1</v>
      </c>
      <c r="Q71" s="40">
        <f t="shared" si="2"/>
        <v>254545</v>
      </c>
      <c r="R71" s="40">
        <v>275000</v>
      </c>
      <c r="S71" s="40">
        <f t="shared" si="3"/>
        <v>275000</v>
      </c>
    </row>
    <row r="72" spans="1:19">
      <c r="A72" s="17"/>
      <c r="B72" s="18">
        <v>183</v>
      </c>
      <c r="C72" s="19" t="s">
        <v>750</v>
      </c>
      <c r="D72" s="20" t="s">
        <v>746</v>
      </c>
      <c r="E72" s="21" t="s">
        <v>9</v>
      </c>
      <c r="F72" s="22" t="s">
        <v>1692</v>
      </c>
      <c r="G72" s="23" t="s">
        <v>1693</v>
      </c>
      <c r="H72" s="24" t="s">
        <v>751</v>
      </c>
      <c r="I72" s="19"/>
      <c r="J72" s="19" t="s">
        <v>752</v>
      </c>
      <c r="K72" s="19"/>
      <c r="L72" s="24" t="s">
        <v>50</v>
      </c>
      <c r="M72" s="19" t="s">
        <v>753</v>
      </c>
      <c r="N72" s="36">
        <v>44551</v>
      </c>
      <c r="O72" s="37">
        <v>254545</v>
      </c>
      <c r="P72" s="19">
        <v>1</v>
      </c>
      <c r="Q72" s="40">
        <f t="shared" si="2"/>
        <v>254545</v>
      </c>
      <c r="R72" s="40">
        <v>275000</v>
      </c>
      <c r="S72" s="40">
        <f t="shared" si="3"/>
        <v>275000</v>
      </c>
    </row>
    <row r="73" spans="1:19">
      <c r="A73" s="17"/>
      <c r="B73" s="18">
        <v>184</v>
      </c>
      <c r="C73" s="19" t="s">
        <v>754</v>
      </c>
      <c r="D73" s="20" t="s">
        <v>746</v>
      </c>
      <c r="E73" s="21" t="s">
        <v>9</v>
      </c>
      <c r="F73" s="22" t="s">
        <v>1692</v>
      </c>
      <c r="G73" s="23" t="s">
        <v>1693</v>
      </c>
      <c r="H73" s="24" t="s">
        <v>679</v>
      </c>
      <c r="I73" s="19"/>
      <c r="J73" s="19" t="s">
        <v>755</v>
      </c>
      <c r="K73" s="19"/>
      <c r="L73" s="24" t="s">
        <v>50</v>
      </c>
      <c r="M73" s="19" t="s">
        <v>756</v>
      </c>
      <c r="N73" s="36">
        <v>44551</v>
      </c>
      <c r="O73" s="37">
        <v>254545</v>
      </c>
      <c r="P73" s="19">
        <v>1</v>
      </c>
      <c r="Q73" s="40">
        <f t="shared" si="2"/>
        <v>254545</v>
      </c>
      <c r="R73" s="40">
        <v>275000</v>
      </c>
      <c r="S73" s="40">
        <f t="shared" si="3"/>
        <v>275000</v>
      </c>
    </row>
    <row r="74" spans="1:19">
      <c r="A74" s="17"/>
      <c r="B74" s="18">
        <v>185</v>
      </c>
      <c r="C74" s="19" t="s">
        <v>757</v>
      </c>
      <c r="D74" s="20" t="s">
        <v>746</v>
      </c>
      <c r="E74" s="21" t="s">
        <v>9</v>
      </c>
      <c r="F74" s="22" t="s">
        <v>1692</v>
      </c>
      <c r="G74" s="23" t="s">
        <v>1693</v>
      </c>
      <c r="H74" s="24" t="s">
        <v>758</v>
      </c>
      <c r="I74" s="19"/>
      <c r="J74" s="19" t="s">
        <v>755</v>
      </c>
      <c r="K74" s="19"/>
      <c r="L74" s="24" t="s">
        <v>50</v>
      </c>
      <c r="M74" s="19" t="s">
        <v>759</v>
      </c>
      <c r="N74" s="36">
        <v>44551</v>
      </c>
      <c r="O74" s="37">
        <v>254545</v>
      </c>
      <c r="P74" s="19">
        <v>1</v>
      </c>
      <c r="Q74" s="40">
        <f t="shared" si="2"/>
        <v>254545</v>
      </c>
      <c r="R74" s="40">
        <v>275000</v>
      </c>
      <c r="S74" s="40">
        <f t="shared" si="3"/>
        <v>275000</v>
      </c>
    </row>
    <row r="75" spans="1:19">
      <c r="A75" s="17"/>
      <c r="B75" s="18">
        <v>186</v>
      </c>
      <c r="C75" s="19" t="s">
        <v>760</v>
      </c>
      <c r="D75" s="20" t="s">
        <v>746</v>
      </c>
      <c r="E75" s="21" t="s">
        <v>9</v>
      </c>
      <c r="F75" s="22" t="s">
        <v>1692</v>
      </c>
      <c r="G75" s="23" t="s">
        <v>1693</v>
      </c>
      <c r="H75" s="24" t="s">
        <v>761</v>
      </c>
      <c r="I75" s="19"/>
      <c r="J75" s="19" t="s">
        <v>755</v>
      </c>
      <c r="K75" s="19"/>
      <c r="L75" s="24" t="s">
        <v>50</v>
      </c>
      <c r="M75" s="19" t="s">
        <v>762</v>
      </c>
      <c r="N75" s="36">
        <v>44551</v>
      </c>
      <c r="O75" s="37">
        <v>254545</v>
      </c>
      <c r="P75" s="19">
        <v>6</v>
      </c>
      <c r="Q75" s="40">
        <f t="shared" si="2"/>
        <v>1527270</v>
      </c>
      <c r="R75" s="40">
        <v>275000</v>
      </c>
      <c r="S75" s="40">
        <f t="shared" si="3"/>
        <v>1650000</v>
      </c>
    </row>
    <row r="76" spans="1:19">
      <c r="A76" s="17"/>
      <c r="B76" s="18">
        <v>187</v>
      </c>
      <c r="C76" s="19" t="s">
        <v>763</v>
      </c>
      <c r="D76" s="20" t="s">
        <v>764</v>
      </c>
      <c r="E76" s="21" t="s">
        <v>9</v>
      </c>
      <c r="F76" s="22" t="s">
        <v>1692</v>
      </c>
      <c r="G76" s="23" t="s">
        <v>1693</v>
      </c>
      <c r="H76" s="24" t="s">
        <v>765</v>
      </c>
      <c r="I76" s="19"/>
      <c r="J76" s="19" t="s">
        <v>766</v>
      </c>
      <c r="K76" s="19"/>
      <c r="L76" s="24" t="s">
        <v>50</v>
      </c>
      <c r="M76" s="19" t="s">
        <v>767</v>
      </c>
      <c r="N76" s="36">
        <v>44553</v>
      </c>
      <c r="O76" s="37">
        <v>254545</v>
      </c>
      <c r="P76" s="19">
        <v>1</v>
      </c>
      <c r="Q76" s="40">
        <f t="shared" si="2"/>
        <v>254545</v>
      </c>
      <c r="R76" s="40">
        <v>275000</v>
      </c>
      <c r="S76" s="40">
        <f t="shared" si="3"/>
        <v>275000</v>
      </c>
    </row>
    <row r="77" spans="1:19">
      <c r="A77" s="17"/>
      <c r="B77" s="18">
        <v>188</v>
      </c>
      <c r="C77" s="19" t="s">
        <v>768</v>
      </c>
      <c r="D77" s="20" t="s">
        <v>769</v>
      </c>
      <c r="E77" s="21" t="s">
        <v>9</v>
      </c>
      <c r="F77" s="22" t="s">
        <v>1692</v>
      </c>
      <c r="G77" s="23" t="s">
        <v>1693</v>
      </c>
      <c r="H77" s="24" t="s">
        <v>770</v>
      </c>
      <c r="I77" s="19"/>
      <c r="J77" s="19" t="s">
        <v>771</v>
      </c>
      <c r="K77" s="19"/>
      <c r="L77" s="24" t="s">
        <v>50</v>
      </c>
      <c r="M77" s="19" t="s">
        <v>772</v>
      </c>
      <c r="N77" s="36">
        <v>44559</v>
      </c>
      <c r="O77" s="37">
        <v>254545</v>
      </c>
      <c r="P77" s="19">
        <v>5</v>
      </c>
      <c r="Q77" s="40">
        <f t="shared" si="2"/>
        <v>1272725</v>
      </c>
      <c r="R77" s="40">
        <v>275000</v>
      </c>
      <c r="S77" s="40">
        <f t="shared" si="3"/>
        <v>1375000</v>
      </c>
    </row>
    <row r="78" spans="1:19">
      <c r="A78" s="17"/>
      <c r="B78" s="18">
        <v>189</v>
      </c>
      <c r="C78" s="19" t="s">
        <v>773</v>
      </c>
      <c r="D78" s="20" t="s">
        <v>774</v>
      </c>
      <c r="E78" s="21" t="s">
        <v>9</v>
      </c>
      <c r="F78" s="22" t="s">
        <v>1692</v>
      </c>
      <c r="G78" s="23" t="s">
        <v>1693</v>
      </c>
      <c r="H78" s="24" t="s">
        <v>775</v>
      </c>
      <c r="I78" s="19"/>
      <c r="J78" s="19" t="s">
        <v>776</v>
      </c>
      <c r="K78" s="19"/>
      <c r="L78" s="24" t="s">
        <v>50</v>
      </c>
      <c r="M78" s="19" t="s">
        <v>777</v>
      </c>
      <c r="N78" s="36">
        <v>44561</v>
      </c>
      <c r="O78" s="37">
        <v>254545</v>
      </c>
      <c r="P78" s="19">
        <v>1</v>
      </c>
      <c r="Q78" s="40">
        <f t="shared" si="2"/>
        <v>254545</v>
      </c>
      <c r="R78" s="40">
        <v>275000</v>
      </c>
      <c r="S78" s="40">
        <f t="shared" si="3"/>
        <v>275000</v>
      </c>
    </row>
    <row r="79" spans="1:19">
      <c r="A79" s="17"/>
      <c r="B79" s="18">
        <v>190</v>
      </c>
      <c r="C79" s="19" t="s">
        <v>778</v>
      </c>
      <c r="D79" s="20" t="s">
        <v>779</v>
      </c>
      <c r="E79" s="21" t="s">
        <v>9</v>
      </c>
      <c r="F79" s="22" t="s">
        <v>1692</v>
      </c>
      <c r="G79" s="23" t="s">
        <v>1693</v>
      </c>
      <c r="H79" s="24" t="s">
        <v>780</v>
      </c>
      <c r="I79" s="19"/>
      <c r="J79" s="19" t="s">
        <v>776</v>
      </c>
      <c r="K79" s="19"/>
      <c r="L79" s="24" t="s">
        <v>50</v>
      </c>
      <c r="M79" s="19" t="s">
        <v>781</v>
      </c>
      <c r="N79" s="36">
        <v>44554</v>
      </c>
      <c r="O79" s="37">
        <v>254545</v>
      </c>
      <c r="P79" s="19">
        <v>5</v>
      </c>
      <c r="Q79" s="40">
        <f t="shared" si="2"/>
        <v>1272725</v>
      </c>
      <c r="R79" s="40">
        <v>275000</v>
      </c>
      <c r="S79" s="40">
        <f t="shared" si="3"/>
        <v>1375000</v>
      </c>
    </row>
    <row r="80" spans="1:19">
      <c r="A80" s="17"/>
      <c r="B80" s="18">
        <v>191</v>
      </c>
      <c r="C80" s="19" t="s">
        <v>782</v>
      </c>
      <c r="D80" s="20" t="s">
        <v>779</v>
      </c>
      <c r="E80" s="21" t="s">
        <v>9</v>
      </c>
      <c r="F80" s="22" t="s">
        <v>1692</v>
      </c>
      <c r="G80" s="23" t="s">
        <v>1693</v>
      </c>
      <c r="H80" s="24" t="s">
        <v>349</v>
      </c>
      <c r="I80" s="19"/>
      <c r="J80" s="19" t="s">
        <v>783</v>
      </c>
      <c r="K80" s="19"/>
      <c r="L80" s="24" t="s">
        <v>50</v>
      </c>
      <c r="M80" s="19" t="s">
        <v>784</v>
      </c>
      <c r="N80" s="36">
        <v>44554</v>
      </c>
      <c r="O80" s="37">
        <v>254545</v>
      </c>
      <c r="P80" s="19">
        <v>3</v>
      </c>
      <c r="Q80" s="40">
        <f t="shared" si="2"/>
        <v>763635</v>
      </c>
      <c r="R80" s="40">
        <v>275000</v>
      </c>
      <c r="S80" s="40">
        <f t="shared" si="3"/>
        <v>825000</v>
      </c>
    </row>
    <row r="81" spans="1:19">
      <c r="A81" s="17"/>
      <c r="B81" s="18">
        <v>192</v>
      </c>
      <c r="C81" s="19" t="s">
        <v>785</v>
      </c>
      <c r="D81" s="20" t="s">
        <v>779</v>
      </c>
      <c r="E81" s="21" t="s">
        <v>9</v>
      </c>
      <c r="F81" s="22" t="s">
        <v>1692</v>
      </c>
      <c r="G81" s="23" t="s">
        <v>1693</v>
      </c>
      <c r="H81" s="24" t="s">
        <v>786</v>
      </c>
      <c r="I81" s="19"/>
      <c r="J81" s="19" t="s">
        <v>776</v>
      </c>
      <c r="K81" s="19"/>
      <c r="L81" s="24" t="s">
        <v>50</v>
      </c>
      <c r="M81" s="19" t="s">
        <v>787</v>
      </c>
      <c r="N81" s="36">
        <v>44554</v>
      </c>
      <c r="O81" s="37">
        <v>254545</v>
      </c>
      <c r="P81" s="19">
        <v>8</v>
      </c>
      <c r="Q81" s="40">
        <f t="shared" si="2"/>
        <v>2036360</v>
      </c>
      <c r="R81" s="40">
        <v>275000</v>
      </c>
      <c r="S81" s="40">
        <f t="shared" si="3"/>
        <v>2200000</v>
      </c>
    </row>
    <row r="82" spans="1:19">
      <c r="A82" s="17"/>
      <c r="B82" s="18">
        <v>196</v>
      </c>
      <c r="C82" s="19" t="s">
        <v>794</v>
      </c>
      <c r="D82" s="20" t="s">
        <v>795</v>
      </c>
      <c r="E82" s="21" t="s">
        <v>9</v>
      </c>
      <c r="F82" s="22" t="s">
        <v>1692</v>
      </c>
      <c r="G82" s="23" t="s">
        <v>1693</v>
      </c>
      <c r="H82" s="24" t="s">
        <v>796</v>
      </c>
      <c r="I82" s="19"/>
      <c r="J82" s="19" t="s">
        <v>797</v>
      </c>
      <c r="K82" s="19"/>
      <c r="L82" s="24" t="s">
        <v>50</v>
      </c>
      <c r="M82" s="19" t="s">
        <v>798</v>
      </c>
      <c r="N82" s="36">
        <v>44561</v>
      </c>
      <c r="O82" s="37">
        <v>254545</v>
      </c>
      <c r="P82" s="19">
        <v>1</v>
      </c>
      <c r="Q82" s="40">
        <f t="shared" si="2"/>
        <v>254545</v>
      </c>
      <c r="R82" s="40">
        <v>275000</v>
      </c>
      <c r="S82" s="40">
        <f t="shared" si="3"/>
        <v>275000</v>
      </c>
    </row>
    <row r="83" spans="1:19">
      <c r="A83" s="17"/>
      <c r="B83" s="18">
        <v>197</v>
      </c>
      <c r="C83" s="19" t="s">
        <v>799</v>
      </c>
      <c r="D83" s="20" t="s">
        <v>795</v>
      </c>
      <c r="E83" s="21" t="s">
        <v>9</v>
      </c>
      <c r="F83" s="22" t="s">
        <v>1692</v>
      </c>
      <c r="G83" s="23" t="s">
        <v>1693</v>
      </c>
      <c r="H83" s="24" t="s">
        <v>800</v>
      </c>
      <c r="I83" s="19"/>
      <c r="J83" s="19" t="s">
        <v>801</v>
      </c>
      <c r="K83" s="19"/>
      <c r="L83" s="24" t="s">
        <v>50</v>
      </c>
      <c r="M83" s="19" t="s">
        <v>802</v>
      </c>
      <c r="N83" s="36">
        <v>44561</v>
      </c>
      <c r="O83" s="37">
        <v>254545</v>
      </c>
      <c r="P83" s="19">
        <v>1</v>
      </c>
      <c r="Q83" s="40">
        <f t="shared" si="2"/>
        <v>254545</v>
      </c>
      <c r="R83" s="40">
        <v>275000</v>
      </c>
      <c r="S83" s="40">
        <f t="shared" si="3"/>
        <v>275000</v>
      </c>
    </row>
    <row r="84" spans="1:19">
      <c r="A84" s="17"/>
      <c r="B84" s="18">
        <v>198</v>
      </c>
      <c r="C84" s="25" t="s">
        <v>803</v>
      </c>
      <c r="D84" s="26" t="s">
        <v>804</v>
      </c>
      <c r="E84" s="27" t="s">
        <v>9</v>
      </c>
      <c r="F84" s="28" t="s">
        <v>1692</v>
      </c>
      <c r="G84" s="29" t="s">
        <v>1693</v>
      </c>
      <c r="H84" s="30" t="s">
        <v>805</v>
      </c>
      <c r="I84" s="25"/>
      <c r="J84" s="25" t="s">
        <v>806</v>
      </c>
      <c r="K84" s="25"/>
      <c r="L84" s="30" t="s">
        <v>50</v>
      </c>
      <c r="M84" s="25" t="s">
        <v>807</v>
      </c>
      <c r="N84" s="38">
        <v>44564</v>
      </c>
      <c r="O84" s="39">
        <v>254545</v>
      </c>
      <c r="P84" s="25">
        <v>2</v>
      </c>
      <c r="Q84" s="41">
        <f>O84*P84</f>
        <v>509090</v>
      </c>
      <c r="R84" s="41">
        <v>275000</v>
      </c>
      <c r="S84" s="41">
        <f t="shared" si="3"/>
        <v>550000</v>
      </c>
    </row>
    <row r="85" spans="1:19">
      <c r="A85" s="17"/>
      <c r="B85" s="18">
        <v>199</v>
      </c>
      <c r="C85" s="25" t="s">
        <v>808</v>
      </c>
      <c r="D85" s="26" t="s">
        <v>804</v>
      </c>
      <c r="E85" s="27" t="s">
        <v>9</v>
      </c>
      <c r="F85" s="28" t="s">
        <v>1692</v>
      </c>
      <c r="G85" s="29" t="s">
        <v>1693</v>
      </c>
      <c r="H85" s="30" t="s">
        <v>809</v>
      </c>
      <c r="I85" s="25"/>
      <c r="J85" s="25" t="s">
        <v>810</v>
      </c>
      <c r="K85" s="25"/>
      <c r="L85" s="30" t="s">
        <v>50</v>
      </c>
      <c r="M85" s="25" t="s">
        <v>811</v>
      </c>
      <c r="N85" s="38">
        <v>44564</v>
      </c>
      <c r="O85" s="39">
        <v>254545</v>
      </c>
      <c r="P85" s="25">
        <v>3</v>
      </c>
      <c r="Q85" s="41">
        <f>O85*P85</f>
        <v>763635</v>
      </c>
      <c r="R85" s="41">
        <v>275001</v>
      </c>
      <c r="S85" s="41">
        <f t="shared" si="3"/>
        <v>825003</v>
      </c>
    </row>
    <row r="86" spans="1:19">
      <c r="A86" s="17"/>
      <c r="B86" s="18">
        <v>200</v>
      </c>
      <c r="C86" s="25" t="s">
        <v>812</v>
      </c>
      <c r="D86" s="26" t="s">
        <v>813</v>
      </c>
      <c r="E86" s="27" t="s">
        <v>10</v>
      </c>
      <c r="F86" s="28" t="s">
        <v>1702</v>
      </c>
      <c r="G86" s="31" t="s">
        <v>1703</v>
      </c>
      <c r="H86" s="30" t="s">
        <v>814</v>
      </c>
      <c r="I86" s="25" t="s">
        <v>815</v>
      </c>
      <c r="J86" s="25" t="s">
        <v>2</v>
      </c>
      <c r="K86" s="25"/>
      <c r="L86" s="30" t="s">
        <v>816</v>
      </c>
      <c r="M86" s="25" t="s">
        <v>817</v>
      </c>
      <c r="N86" s="38">
        <v>44568</v>
      </c>
      <c r="O86" s="39">
        <v>22727</v>
      </c>
      <c r="P86" s="25">
        <v>150</v>
      </c>
      <c r="Q86" s="41">
        <f t="shared" ref="Q86:Q222" si="4">O86*P86</f>
        <v>3409050</v>
      </c>
      <c r="R86" s="41">
        <v>29090.91</v>
      </c>
      <c r="S86" s="41">
        <f t="shared" ref="S86:S226" si="5">R86*P86</f>
        <v>4363636.5</v>
      </c>
    </row>
    <row r="87" spans="1:19">
      <c r="A87" s="17"/>
      <c r="B87" s="18">
        <v>201</v>
      </c>
      <c r="C87" s="25" t="s">
        <v>818</v>
      </c>
      <c r="D87" s="26" t="s">
        <v>819</v>
      </c>
      <c r="E87" s="27" t="s">
        <v>9</v>
      </c>
      <c r="F87" s="28" t="s">
        <v>1692</v>
      </c>
      <c r="G87" s="29" t="s">
        <v>1693</v>
      </c>
      <c r="H87" s="30" t="s">
        <v>820</v>
      </c>
      <c r="I87" s="25"/>
      <c r="J87" s="25" t="s">
        <v>821</v>
      </c>
      <c r="K87" s="25"/>
      <c r="L87" s="30" t="s">
        <v>50</v>
      </c>
      <c r="M87" s="25" t="s">
        <v>822</v>
      </c>
      <c r="N87" s="38">
        <v>44567</v>
      </c>
      <c r="O87" s="39">
        <v>254545</v>
      </c>
      <c r="P87" s="25">
        <v>7</v>
      </c>
      <c r="Q87" s="41">
        <f t="shared" si="4"/>
        <v>1781815</v>
      </c>
      <c r="R87" s="41">
        <v>275000</v>
      </c>
      <c r="S87" s="41">
        <f t="shared" si="5"/>
        <v>1925000</v>
      </c>
    </row>
    <row r="88" spans="1:19">
      <c r="A88" s="17"/>
      <c r="B88" s="18">
        <v>202</v>
      </c>
      <c r="C88" s="25" t="s">
        <v>823</v>
      </c>
      <c r="D88" s="26" t="s">
        <v>824</v>
      </c>
      <c r="E88" s="27" t="s">
        <v>9</v>
      </c>
      <c r="F88" s="28" t="s">
        <v>1692</v>
      </c>
      <c r="G88" s="29" t="s">
        <v>1693</v>
      </c>
      <c r="H88" s="30" t="s">
        <v>825</v>
      </c>
      <c r="I88" s="25"/>
      <c r="J88" s="25" t="s">
        <v>826</v>
      </c>
      <c r="K88" s="25"/>
      <c r="L88" s="30" t="s">
        <v>50</v>
      </c>
      <c r="M88" s="25" t="s">
        <v>827</v>
      </c>
      <c r="N88" s="38">
        <v>44568</v>
      </c>
      <c r="O88" s="39">
        <v>254545</v>
      </c>
      <c r="P88" s="25">
        <v>3</v>
      </c>
      <c r="Q88" s="41">
        <f t="shared" si="4"/>
        <v>763635</v>
      </c>
      <c r="R88" s="41">
        <v>275000</v>
      </c>
      <c r="S88" s="41">
        <f t="shared" si="5"/>
        <v>825000</v>
      </c>
    </row>
    <row r="89" spans="1:19">
      <c r="A89" s="17"/>
      <c r="B89" s="18">
        <v>203</v>
      </c>
      <c r="C89" s="25" t="s">
        <v>828</v>
      </c>
      <c r="D89" s="26" t="s">
        <v>824</v>
      </c>
      <c r="E89" s="27" t="s">
        <v>9</v>
      </c>
      <c r="F89" s="28" t="s">
        <v>1692</v>
      </c>
      <c r="G89" s="29" t="s">
        <v>1693</v>
      </c>
      <c r="H89" s="30" t="s">
        <v>829</v>
      </c>
      <c r="I89" s="25"/>
      <c r="J89" s="25" t="s">
        <v>826</v>
      </c>
      <c r="K89" s="25"/>
      <c r="L89" s="30" t="s">
        <v>50</v>
      </c>
      <c r="M89" s="25" t="s">
        <v>830</v>
      </c>
      <c r="N89" s="38">
        <v>44568</v>
      </c>
      <c r="O89" s="39">
        <v>254545</v>
      </c>
      <c r="P89" s="25">
        <v>3</v>
      </c>
      <c r="Q89" s="41">
        <f t="shared" si="4"/>
        <v>763635</v>
      </c>
      <c r="R89" s="41">
        <v>275000</v>
      </c>
      <c r="S89" s="41">
        <f t="shared" si="5"/>
        <v>825000</v>
      </c>
    </row>
    <row r="90" spans="1:19">
      <c r="A90" s="17"/>
      <c r="B90" s="18">
        <v>204</v>
      </c>
      <c r="C90" s="25" t="s">
        <v>831</v>
      </c>
      <c r="D90" s="26" t="s">
        <v>824</v>
      </c>
      <c r="E90" s="27" t="s">
        <v>9</v>
      </c>
      <c r="F90" s="28" t="s">
        <v>1692</v>
      </c>
      <c r="G90" s="29" t="s">
        <v>1693</v>
      </c>
      <c r="H90" s="30" t="s">
        <v>832</v>
      </c>
      <c r="I90" s="25"/>
      <c r="J90" s="25" t="s">
        <v>826</v>
      </c>
      <c r="K90" s="25"/>
      <c r="L90" s="30" t="s">
        <v>50</v>
      </c>
      <c r="M90" s="25" t="s">
        <v>833</v>
      </c>
      <c r="N90" s="38">
        <v>44568</v>
      </c>
      <c r="O90" s="39">
        <v>254545</v>
      </c>
      <c r="P90" s="25">
        <v>5</v>
      </c>
      <c r="Q90" s="41">
        <f t="shared" si="4"/>
        <v>1272725</v>
      </c>
      <c r="R90" s="41">
        <v>275000</v>
      </c>
      <c r="S90" s="41">
        <f t="shared" si="5"/>
        <v>1375000</v>
      </c>
    </row>
    <row r="91" spans="1:19">
      <c r="A91" s="17"/>
      <c r="B91" s="18">
        <v>205</v>
      </c>
      <c r="C91" s="25" t="s">
        <v>834</v>
      </c>
      <c r="D91" s="26" t="s">
        <v>835</v>
      </c>
      <c r="E91" s="27" t="s">
        <v>9</v>
      </c>
      <c r="F91" s="28" t="s">
        <v>1692</v>
      </c>
      <c r="G91" s="29" t="s">
        <v>1693</v>
      </c>
      <c r="H91" s="30" t="s">
        <v>836</v>
      </c>
      <c r="I91" s="25"/>
      <c r="J91" s="25" t="s">
        <v>837</v>
      </c>
      <c r="K91" s="25"/>
      <c r="L91" s="30" t="s">
        <v>50</v>
      </c>
      <c r="M91" s="25" t="s">
        <v>838</v>
      </c>
      <c r="N91" s="38">
        <v>44572</v>
      </c>
      <c r="O91" s="39">
        <v>254545</v>
      </c>
      <c r="P91" s="25">
        <v>2</v>
      </c>
      <c r="Q91" s="41">
        <f t="shared" si="4"/>
        <v>509090</v>
      </c>
      <c r="R91" s="41">
        <v>275000</v>
      </c>
      <c r="S91" s="41">
        <f t="shared" si="5"/>
        <v>550000</v>
      </c>
    </row>
    <row r="92" spans="1:19">
      <c r="A92" s="17"/>
      <c r="B92" s="18">
        <v>206</v>
      </c>
      <c r="C92" s="25" t="s">
        <v>839</v>
      </c>
      <c r="D92" s="26" t="s">
        <v>835</v>
      </c>
      <c r="E92" s="27" t="s">
        <v>9</v>
      </c>
      <c r="F92" s="28" t="s">
        <v>1692</v>
      </c>
      <c r="G92" s="29" t="s">
        <v>1693</v>
      </c>
      <c r="H92" s="30" t="s">
        <v>840</v>
      </c>
      <c r="I92" s="25"/>
      <c r="J92" s="25" t="s">
        <v>837</v>
      </c>
      <c r="K92" s="25"/>
      <c r="L92" s="30" t="s">
        <v>50</v>
      </c>
      <c r="M92" s="25" t="s">
        <v>841</v>
      </c>
      <c r="N92" s="38">
        <v>44572</v>
      </c>
      <c r="O92" s="39">
        <v>254545</v>
      </c>
      <c r="P92" s="25">
        <v>1</v>
      </c>
      <c r="Q92" s="41">
        <f t="shared" si="4"/>
        <v>254545</v>
      </c>
      <c r="R92" s="41">
        <v>275000</v>
      </c>
      <c r="S92" s="41">
        <f t="shared" si="5"/>
        <v>275000</v>
      </c>
    </row>
    <row r="93" spans="1:19">
      <c r="A93" s="17"/>
      <c r="B93" s="18">
        <v>207</v>
      </c>
      <c r="C93" s="25" t="s">
        <v>842</v>
      </c>
      <c r="D93" s="26" t="s">
        <v>835</v>
      </c>
      <c r="E93" s="27" t="s">
        <v>9</v>
      </c>
      <c r="F93" s="28" t="s">
        <v>1692</v>
      </c>
      <c r="G93" s="29" t="s">
        <v>1693</v>
      </c>
      <c r="H93" s="30" t="s">
        <v>843</v>
      </c>
      <c r="I93" s="25"/>
      <c r="J93" s="25" t="s">
        <v>837</v>
      </c>
      <c r="K93" s="25"/>
      <c r="L93" s="30" t="s">
        <v>50</v>
      </c>
      <c r="M93" s="25" t="s">
        <v>844</v>
      </c>
      <c r="N93" s="38">
        <v>44572</v>
      </c>
      <c r="O93" s="39">
        <v>254545</v>
      </c>
      <c r="P93" s="25">
        <v>1</v>
      </c>
      <c r="Q93" s="41">
        <f t="shared" si="4"/>
        <v>254545</v>
      </c>
      <c r="R93" s="41">
        <v>275000</v>
      </c>
      <c r="S93" s="41">
        <f t="shared" si="5"/>
        <v>275000</v>
      </c>
    </row>
    <row r="94" spans="1:19">
      <c r="A94" s="17"/>
      <c r="B94" s="18">
        <v>208</v>
      </c>
      <c r="C94" s="25" t="s">
        <v>845</v>
      </c>
      <c r="D94" s="26" t="s">
        <v>835</v>
      </c>
      <c r="E94" s="27" t="s">
        <v>9</v>
      </c>
      <c r="F94" s="28" t="s">
        <v>1692</v>
      </c>
      <c r="G94" s="29" t="s">
        <v>1693</v>
      </c>
      <c r="H94" s="30" t="s">
        <v>846</v>
      </c>
      <c r="I94" s="25"/>
      <c r="J94" s="25" t="s">
        <v>847</v>
      </c>
      <c r="K94" s="25"/>
      <c r="L94" s="30" t="s">
        <v>50</v>
      </c>
      <c r="M94" s="25" t="s">
        <v>848</v>
      </c>
      <c r="N94" s="38">
        <v>44572</v>
      </c>
      <c r="O94" s="39">
        <v>254545</v>
      </c>
      <c r="P94" s="25">
        <v>2</v>
      </c>
      <c r="Q94" s="41">
        <f t="shared" si="4"/>
        <v>509090</v>
      </c>
      <c r="R94" s="41">
        <v>275000</v>
      </c>
      <c r="S94" s="41">
        <f t="shared" si="5"/>
        <v>550000</v>
      </c>
    </row>
    <row r="95" spans="1:19">
      <c r="A95" s="17"/>
      <c r="B95" s="18">
        <v>209</v>
      </c>
      <c r="C95" s="25" t="s">
        <v>849</v>
      </c>
      <c r="D95" s="26" t="s">
        <v>835</v>
      </c>
      <c r="E95" s="27" t="s">
        <v>9</v>
      </c>
      <c r="F95" s="28" t="s">
        <v>1692</v>
      </c>
      <c r="G95" s="29" t="s">
        <v>1693</v>
      </c>
      <c r="H95" s="30" t="s">
        <v>549</v>
      </c>
      <c r="I95" s="25"/>
      <c r="J95" s="25" t="s">
        <v>837</v>
      </c>
      <c r="K95" s="25"/>
      <c r="L95" s="30" t="s">
        <v>50</v>
      </c>
      <c r="M95" s="25" t="s">
        <v>850</v>
      </c>
      <c r="N95" s="38">
        <v>44572</v>
      </c>
      <c r="O95" s="39">
        <v>254545</v>
      </c>
      <c r="P95" s="25">
        <v>1</v>
      </c>
      <c r="Q95" s="41">
        <f t="shared" si="4"/>
        <v>254545</v>
      </c>
      <c r="R95" s="41">
        <v>275000</v>
      </c>
      <c r="S95" s="41">
        <f t="shared" si="5"/>
        <v>275000</v>
      </c>
    </row>
    <row r="96" spans="1:19">
      <c r="A96" s="17"/>
      <c r="B96" s="18">
        <v>210</v>
      </c>
      <c r="C96" s="25" t="s">
        <v>851</v>
      </c>
      <c r="D96" s="26" t="s">
        <v>835</v>
      </c>
      <c r="E96" s="27" t="s">
        <v>9</v>
      </c>
      <c r="F96" s="28" t="s">
        <v>1692</v>
      </c>
      <c r="G96" s="29" t="s">
        <v>1693</v>
      </c>
      <c r="H96" s="30" t="s">
        <v>141</v>
      </c>
      <c r="I96" s="25"/>
      <c r="J96" s="25" t="s">
        <v>837</v>
      </c>
      <c r="K96" s="25"/>
      <c r="L96" s="30" t="s">
        <v>50</v>
      </c>
      <c r="M96" s="25" t="s">
        <v>852</v>
      </c>
      <c r="N96" s="38">
        <v>44572</v>
      </c>
      <c r="O96" s="39">
        <v>254545</v>
      </c>
      <c r="P96" s="25">
        <v>1</v>
      </c>
      <c r="Q96" s="41">
        <f t="shared" si="4"/>
        <v>254545</v>
      </c>
      <c r="R96" s="41">
        <v>275000</v>
      </c>
      <c r="S96" s="41">
        <f t="shared" si="5"/>
        <v>275000</v>
      </c>
    </row>
    <row r="97" spans="1:19">
      <c r="A97" s="17"/>
      <c r="B97" s="18">
        <v>212</v>
      </c>
      <c r="C97" s="25" t="s">
        <v>856</v>
      </c>
      <c r="D97" s="26" t="s">
        <v>857</v>
      </c>
      <c r="E97" s="27" t="s">
        <v>9</v>
      </c>
      <c r="F97" s="28" t="s">
        <v>1692</v>
      </c>
      <c r="G97" s="29" t="s">
        <v>1693</v>
      </c>
      <c r="H97" s="30" t="s">
        <v>858</v>
      </c>
      <c r="I97" s="25"/>
      <c r="J97" s="25" t="s">
        <v>859</v>
      </c>
      <c r="K97" s="25"/>
      <c r="L97" s="30" t="s">
        <v>50</v>
      </c>
      <c r="M97" s="25" t="s">
        <v>860</v>
      </c>
      <c r="N97" s="38">
        <v>44579</v>
      </c>
      <c r="O97" s="39">
        <v>254545</v>
      </c>
      <c r="P97" s="25">
        <v>4</v>
      </c>
      <c r="Q97" s="41">
        <f t="shared" si="4"/>
        <v>1018180</v>
      </c>
      <c r="R97" s="41">
        <v>275000</v>
      </c>
      <c r="S97" s="41">
        <f t="shared" si="5"/>
        <v>1100000</v>
      </c>
    </row>
    <row r="98" spans="1:19">
      <c r="A98" s="17"/>
      <c r="B98" s="18">
        <v>213</v>
      </c>
      <c r="C98" s="25" t="s">
        <v>861</v>
      </c>
      <c r="D98" s="26" t="s">
        <v>857</v>
      </c>
      <c r="E98" s="27" t="s">
        <v>9</v>
      </c>
      <c r="F98" s="28" t="s">
        <v>1692</v>
      </c>
      <c r="G98" s="29" t="s">
        <v>1693</v>
      </c>
      <c r="H98" s="30" t="s">
        <v>862</v>
      </c>
      <c r="I98" s="25"/>
      <c r="J98" s="25" t="s">
        <v>863</v>
      </c>
      <c r="K98" s="25"/>
      <c r="L98" s="30" t="s">
        <v>50</v>
      </c>
      <c r="M98" s="25" t="s">
        <v>864</v>
      </c>
      <c r="N98" s="38">
        <v>44579</v>
      </c>
      <c r="O98" s="39">
        <v>254545</v>
      </c>
      <c r="P98" s="25">
        <v>3</v>
      </c>
      <c r="Q98" s="41">
        <f t="shared" si="4"/>
        <v>763635</v>
      </c>
      <c r="R98" s="41">
        <v>275000</v>
      </c>
      <c r="S98" s="41">
        <f t="shared" si="5"/>
        <v>825000</v>
      </c>
    </row>
    <row r="99" spans="1:19">
      <c r="A99" s="17"/>
      <c r="B99" s="18">
        <v>214</v>
      </c>
      <c r="C99" s="25" t="s">
        <v>865</v>
      </c>
      <c r="D99" s="26" t="s">
        <v>857</v>
      </c>
      <c r="E99" s="27" t="s">
        <v>9</v>
      </c>
      <c r="F99" s="28" t="s">
        <v>1692</v>
      </c>
      <c r="G99" s="29" t="s">
        <v>1693</v>
      </c>
      <c r="H99" s="30" t="s">
        <v>866</v>
      </c>
      <c r="I99" s="25"/>
      <c r="J99" s="25" t="s">
        <v>837</v>
      </c>
      <c r="K99" s="25"/>
      <c r="L99" s="30" t="s">
        <v>50</v>
      </c>
      <c r="M99" s="25" t="s">
        <v>867</v>
      </c>
      <c r="N99" s="38">
        <v>44579</v>
      </c>
      <c r="O99" s="39">
        <v>254545</v>
      </c>
      <c r="P99" s="25">
        <v>2</v>
      </c>
      <c r="Q99" s="41">
        <f t="shared" si="4"/>
        <v>509090</v>
      </c>
      <c r="R99" s="41">
        <v>275000</v>
      </c>
      <c r="S99" s="41">
        <f t="shared" si="5"/>
        <v>550000</v>
      </c>
    </row>
    <row r="100" spans="1:19">
      <c r="A100" s="17"/>
      <c r="B100" s="18">
        <v>215</v>
      </c>
      <c r="C100" s="25" t="s">
        <v>868</v>
      </c>
      <c r="D100" s="26" t="s">
        <v>869</v>
      </c>
      <c r="E100" s="27" t="s">
        <v>9</v>
      </c>
      <c r="F100" s="28" t="s">
        <v>1692</v>
      </c>
      <c r="G100" s="29" t="s">
        <v>1693</v>
      </c>
      <c r="H100" s="30" t="s">
        <v>870</v>
      </c>
      <c r="I100" s="25"/>
      <c r="J100" s="25" t="s">
        <v>871</v>
      </c>
      <c r="K100" s="25"/>
      <c r="L100" s="30" t="s">
        <v>50</v>
      </c>
      <c r="M100" s="25" t="s">
        <v>872</v>
      </c>
      <c r="N100" s="38">
        <v>44579</v>
      </c>
      <c r="O100" s="39">
        <v>254545</v>
      </c>
      <c r="P100" s="25">
        <v>1</v>
      </c>
      <c r="Q100" s="41">
        <f t="shared" si="4"/>
        <v>254545</v>
      </c>
      <c r="R100" s="41">
        <v>275000</v>
      </c>
      <c r="S100" s="41">
        <f t="shared" si="5"/>
        <v>275000</v>
      </c>
    </row>
    <row r="101" spans="1:19">
      <c r="A101" s="17"/>
      <c r="B101" s="18">
        <v>216</v>
      </c>
      <c r="C101" s="25" t="s">
        <v>873</v>
      </c>
      <c r="D101" s="26" t="s">
        <v>874</v>
      </c>
      <c r="E101" s="27" t="s">
        <v>9</v>
      </c>
      <c r="F101" s="28" t="s">
        <v>1692</v>
      </c>
      <c r="G101" s="29" t="s">
        <v>1693</v>
      </c>
      <c r="H101" s="30" t="s">
        <v>875</v>
      </c>
      <c r="I101" s="25"/>
      <c r="J101" s="25" t="s">
        <v>876</v>
      </c>
      <c r="K101" s="25"/>
      <c r="L101" s="30" t="s">
        <v>50</v>
      </c>
      <c r="M101" s="25" t="s">
        <v>877</v>
      </c>
      <c r="N101" s="38">
        <v>44580</v>
      </c>
      <c r="O101" s="39">
        <v>254545</v>
      </c>
      <c r="P101" s="25">
        <v>140</v>
      </c>
      <c r="Q101" s="41">
        <f t="shared" si="4"/>
        <v>35636300</v>
      </c>
      <c r="R101" s="41">
        <v>275000</v>
      </c>
      <c r="S101" s="41">
        <f t="shared" si="5"/>
        <v>38500000</v>
      </c>
    </row>
    <row r="102" spans="1:19">
      <c r="A102" s="17"/>
      <c r="B102" s="18">
        <v>217</v>
      </c>
      <c r="C102" s="25" t="s">
        <v>878</v>
      </c>
      <c r="D102" s="26" t="s">
        <v>879</v>
      </c>
      <c r="E102" s="27" t="s">
        <v>11</v>
      </c>
      <c r="F102" s="28" t="s">
        <v>1696</v>
      </c>
      <c r="G102" s="31" t="s">
        <v>1697</v>
      </c>
      <c r="H102" s="30" t="s">
        <v>880</v>
      </c>
      <c r="I102" s="25"/>
      <c r="J102" s="25" t="s">
        <v>881</v>
      </c>
      <c r="K102" s="25"/>
      <c r="L102" s="30" t="s">
        <v>882</v>
      </c>
      <c r="M102" s="25" t="s">
        <v>883</v>
      </c>
      <c r="N102" s="38">
        <v>44585</v>
      </c>
      <c r="O102" s="39">
        <v>213150</v>
      </c>
      <c r="P102" s="25">
        <v>6</v>
      </c>
      <c r="Q102" s="41">
        <f t="shared" si="4"/>
        <v>1278900</v>
      </c>
      <c r="R102" s="41">
        <v>232527</v>
      </c>
      <c r="S102" s="41">
        <f t="shared" si="5"/>
        <v>1395162</v>
      </c>
    </row>
    <row r="103" spans="1:19">
      <c r="A103" s="17"/>
      <c r="B103" s="18">
        <v>218</v>
      </c>
      <c r="C103" s="25" t="s">
        <v>884</v>
      </c>
      <c r="D103" s="26" t="s">
        <v>885</v>
      </c>
      <c r="E103" s="27" t="s">
        <v>11</v>
      </c>
      <c r="F103" s="28" t="s">
        <v>1696</v>
      </c>
      <c r="G103" s="31" t="s">
        <v>1697</v>
      </c>
      <c r="H103" s="30" t="s">
        <v>880</v>
      </c>
      <c r="I103" s="25"/>
      <c r="J103" s="25" t="s">
        <v>881</v>
      </c>
      <c r="K103" s="25"/>
      <c r="L103" s="30" t="s">
        <v>886</v>
      </c>
      <c r="M103" s="25" t="s">
        <v>887</v>
      </c>
      <c r="N103" s="38">
        <v>44585</v>
      </c>
      <c r="O103" s="39">
        <v>184875</v>
      </c>
      <c r="P103" s="25">
        <v>6</v>
      </c>
      <c r="Q103" s="41">
        <f t="shared" si="4"/>
        <v>1109250</v>
      </c>
      <c r="R103" s="41">
        <v>201682</v>
      </c>
      <c r="S103" s="41">
        <f t="shared" si="5"/>
        <v>1210092</v>
      </c>
    </row>
    <row r="104" spans="1:19">
      <c r="A104" s="17"/>
      <c r="B104" s="18">
        <v>219</v>
      </c>
      <c r="C104" s="25" t="s">
        <v>888</v>
      </c>
      <c r="D104" s="26" t="s">
        <v>889</v>
      </c>
      <c r="E104" s="27" t="s">
        <v>19</v>
      </c>
      <c r="F104" s="28" t="s">
        <v>1704</v>
      </c>
      <c r="G104" s="31" t="s">
        <v>1705</v>
      </c>
      <c r="H104" s="30" t="s">
        <v>462</v>
      </c>
      <c r="I104" s="25"/>
      <c r="J104" s="25" t="s">
        <v>890</v>
      </c>
      <c r="K104" s="25"/>
      <c r="L104" s="30" t="s">
        <v>85</v>
      </c>
      <c r="M104" s="25" t="s">
        <v>891</v>
      </c>
      <c r="N104" s="38">
        <v>44586</v>
      </c>
      <c r="O104" s="39">
        <v>222727</v>
      </c>
      <c r="P104" s="25">
        <v>1</v>
      </c>
      <c r="Q104" s="41">
        <f t="shared" si="4"/>
        <v>222727</v>
      </c>
      <c r="R104" s="41">
        <v>279090.90999999997</v>
      </c>
      <c r="S104" s="41">
        <f t="shared" si="5"/>
        <v>279090.90999999997</v>
      </c>
    </row>
    <row r="105" spans="1:19">
      <c r="A105" s="17"/>
      <c r="B105" s="18">
        <v>220</v>
      </c>
      <c r="C105" s="25" t="s">
        <v>892</v>
      </c>
      <c r="D105" s="26" t="s">
        <v>893</v>
      </c>
      <c r="E105" s="27" t="s">
        <v>9</v>
      </c>
      <c r="F105" s="28" t="s">
        <v>1692</v>
      </c>
      <c r="G105" s="29" t="s">
        <v>1693</v>
      </c>
      <c r="H105" s="30" t="s">
        <v>894</v>
      </c>
      <c r="I105" s="25"/>
      <c r="J105" s="25" t="s">
        <v>895</v>
      </c>
      <c r="K105" s="25"/>
      <c r="L105" s="30" t="s">
        <v>50</v>
      </c>
      <c r="M105" s="25" t="s">
        <v>896</v>
      </c>
      <c r="N105" s="38">
        <v>44579</v>
      </c>
      <c r="O105" s="39">
        <v>254545</v>
      </c>
      <c r="P105" s="25">
        <v>7</v>
      </c>
      <c r="Q105" s="41">
        <f t="shared" si="4"/>
        <v>1781815</v>
      </c>
      <c r="R105" s="41">
        <v>275000</v>
      </c>
      <c r="S105" s="41">
        <f t="shared" si="5"/>
        <v>1925000</v>
      </c>
    </row>
    <row r="106" spans="1:19">
      <c r="A106" s="17"/>
      <c r="B106" s="18">
        <v>222</v>
      </c>
      <c r="C106" s="25" t="s">
        <v>900</v>
      </c>
      <c r="D106" s="26" t="s">
        <v>901</v>
      </c>
      <c r="E106" s="27" t="s">
        <v>9</v>
      </c>
      <c r="F106" s="28" t="s">
        <v>1692</v>
      </c>
      <c r="G106" s="29" t="s">
        <v>1693</v>
      </c>
      <c r="H106" s="27" t="s">
        <v>902</v>
      </c>
      <c r="I106" s="25"/>
      <c r="J106" s="25" t="s">
        <v>903</v>
      </c>
      <c r="K106" s="25"/>
      <c r="L106" s="30" t="s">
        <v>50</v>
      </c>
      <c r="M106" s="25" t="s">
        <v>904</v>
      </c>
      <c r="N106" s="38">
        <v>44588</v>
      </c>
      <c r="O106" s="39">
        <v>254545</v>
      </c>
      <c r="P106" s="25">
        <v>1</v>
      </c>
      <c r="Q106" s="41">
        <f t="shared" si="4"/>
        <v>254545</v>
      </c>
      <c r="R106" s="41">
        <v>275000</v>
      </c>
      <c r="S106" s="41">
        <f t="shared" si="5"/>
        <v>275000</v>
      </c>
    </row>
    <row r="107" spans="1:19">
      <c r="A107" s="17"/>
      <c r="B107" s="18">
        <v>223</v>
      </c>
      <c r="C107" s="25" t="s">
        <v>905</v>
      </c>
      <c r="D107" s="26" t="s">
        <v>901</v>
      </c>
      <c r="E107" s="27" t="s">
        <v>9</v>
      </c>
      <c r="F107" s="28" t="s">
        <v>1692</v>
      </c>
      <c r="G107" s="29" t="s">
        <v>1693</v>
      </c>
      <c r="H107" s="27" t="s">
        <v>906</v>
      </c>
      <c r="I107" s="25"/>
      <c r="J107" s="25" t="s">
        <v>903</v>
      </c>
      <c r="K107" s="25"/>
      <c r="L107" s="30" t="s">
        <v>50</v>
      </c>
      <c r="M107" s="25" t="s">
        <v>907</v>
      </c>
      <c r="N107" s="38">
        <v>44588</v>
      </c>
      <c r="O107" s="39">
        <v>254545</v>
      </c>
      <c r="P107" s="25">
        <v>3</v>
      </c>
      <c r="Q107" s="41">
        <f t="shared" si="4"/>
        <v>763635</v>
      </c>
      <c r="R107" s="41">
        <v>275000</v>
      </c>
      <c r="S107" s="41">
        <f t="shared" si="5"/>
        <v>825000</v>
      </c>
    </row>
    <row r="108" spans="1:19">
      <c r="A108" s="17"/>
      <c r="B108" s="18">
        <v>224</v>
      </c>
      <c r="C108" s="25" t="s">
        <v>908</v>
      </c>
      <c r="D108" s="26" t="s">
        <v>909</v>
      </c>
      <c r="E108" s="27" t="s">
        <v>10</v>
      </c>
      <c r="F108" s="28" t="s">
        <v>1702</v>
      </c>
      <c r="G108" s="31" t="s">
        <v>1703</v>
      </c>
      <c r="H108" s="30" t="s">
        <v>814</v>
      </c>
      <c r="I108" s="25" t="s">
        <v>910</v>
      </c>
      <c r="J108" s="25" t="s">
        <v>2</v>
      </c>
      <c r="K108" s="25"/>
      <c r="L108" s="30" t="s">
        <v>816</v>
      </c>
      <c r="M108" s="25" t="s">
        <v>817</v>
      </c>
      <c r="N108" s="38">
        <v>44588</v>
      </c>
      <c r="O108" s="39">
        <v>22727</v>
      </c>
      <c r="P108" s="25">
        <v>150</v>
      </c>
      <c r="Q108" s="41">
        <f t="shared" si="4"/>
        <v>3409050</v>
      </c>
      <c r="R108" s="41">
        <v>29090.91</v>
      </c>
      <c r="S108" s="41">
        <f t="shared" si="5"/>
        <v>4363636.5</v>
      </c>
    </row>
    <row r="109" spans="1:19">
      <c r="A109" s="17"/>
      <c r="B109" s="18">
        <v>225</v>
      </c>
      <c r="C109" s="25" t="s">
        <v>911</v>
      </c>
      <c r="D109" s="26" t="s">
        <v>912</v>
      </c>
      <c r="E109" s="27" t="s">
        <v>11</v>
      </c>
      <c r="F109" s="28" t="s">
        <v>1696</v>
      </c>
      <c r="G109" s="31" t="s">
        <v>1697</v>
      </c>
      <c r="H109" s="30" t="s">
        <v>733</v>
      </c>
      <c r="I109" s="25"/>
      <c r="J109" s="25" t="s">
        <v>913</v>
      </c>
      <c r="K109" s="25"/>
      <c r="L109" s="30" t="s">
        <v>85</v>
      </c>
      <c r="M109" s="25" t="s">
        <v>914</v>
      </c>
      <c r="N109" s="38">
        <v>44588</v>
      </c>
      <c r="O109" s="39">
        <v>222727</v>
      </c>
      <c r="P109" s="25">
        <v>15</v>
      </c>
      <c r="Q109" s="41">
        <f t="shared" si="4"/>
        <v>3340905</v>
      </c>
      <c r="R109" s="41">
        <v>297091</v>
      </c>
      <c r="S109" s="41">
        <f t="shared" si="5"/>
        <v>4456365</v>
      </c>
    </row>
    <row r="110" spans="1:19">
      <c r="A110" s="17"/>
      <c r="B110" s="18">
        <v>226</v>
      </c>
      <c r="C110" s="19" t="s">
        <v>915</v>
      </c>
      <c r="D110" s="20" t="s">
        <v>916</v>
      </c>
      <c r="E110" s="21" t="s">
        <v>9</v>
      </c>
      <c r="F110" s="22" t="s">
        <v>1692</v>
      </c>
      <c r="G110" s="23" t="s">
        <v>1693</v>
      </c>
      <c r="H110" s="24" t="s">
        <v>917</v>
      </c>
      <c r="I110" s="19"/>
      <c r="J110" s="19" t="s">
        <v>918</v>
      </c>
      <c r="K110" s="19"/>
      <c r="L110" s="24" t="s">
        <v>50</v>
      </c>
      <c r="M110" s="19" t="s">
        <v>919</v>
      </c>
      <c r="N110" s="36">
        <v>44594</v>
      </c>
      <c r="O110" s="37">
        <v>254545</v>
      </c>
      <c r="P110" s="19">
        <v>1</v>
      </c>
      <c r="Q110" s="40">
        <f t="shared" si="4"/>
        <v>254545</v>
      </c>
      <c r="R110" s="40">
        <v>275000</v>
      </c>
      <c r="S110" s="40">
        <f t="shared" si="5"/>
        <v>275000</v>
      </c>
    </row>
    <row r="111" spans="1:19">
      <c r="A111" s="17"/>
      <c r="B111" s="18">
        <v>227</v>
      </c>
      <c r="C111" s="19" t="s">
        <v>920</v>
      </c>
      <c r="D111" s="20" t="s">
        <v>916</v>
      </c>
      <c r="E111" s="21" t="s">
        <v>9</v>
      </c>
      <c r="F111" s="22" t="s">
        <v>1692</v>
      </c>
      <c r="G111" s="23" t="s">
        <v>1693</v>
      </c>
      <c r="H111" s="24" t="s">
        <v>921</v>
      </c>
      <c r="I111" s="19"/>
      <c r="J111" s="19" t="s">
        <v>922</v>
      </c>
      <c r="K111" s="19"/>
      <c r="L111" s="24" t="s">
        <v>50</v>
      </c>
      <c r="M111" s="19" t="s">
        <v>923</v>
      </c>
      <c r="N111" s="36">
        <v>44594</v>
      </c>
      <c r="O111" s="37">
        <v>254545</v>
      </c>
      <c r="P111" s="19">
        <v>1</v>
      </c>
      <c r="Q111" s="40">
        <f t="shared" si="4"/>
        <v>254545</v>
      </c>
      <c r="R111" s="40">
        <v>275000</v>
      </c>
      <c r="S111" s="40">
        <f t="shared" si="5"/>
        <v>275000</v>
      </c>
    </row>
    <row r="112" spans="1:19">
      <c r="A112" s="17"/>
      <c r="B112" s="18">
        <v>228</v>
      </c>
      <c r="C112" s="19" t="s">
        <v>924</v>
      </c>
      <c r="D112" s="20" t="s">
        <v>916</v>
      </c>
      <c r="E112" s="21" t="s">
        <v>9</v>
      </c>
      <c r="F112" s="22" t="s">
        <v>1692</v>
      </c>
      <c r="G112" s="23" t="s">
        <v>1693</v>
      </c>
      <c r="H112" s="24" t="s">
        <v>925</v>
      </c>
      <c r="I112" s="19"/>
      <c r="J112" s="19" t="s">
        <v>926</v>
      </c>
      <c r="K112" s="19"/>
      <c r="L112" s="24" t="s">
        <v>50</v>
      </c>
      <c r="M112" s="19" t="s">
        <v>927</v>
      </c>
      <c r="N112" s="36">
        <v>44594</v>
      </c>
      <c r="O112" s="37">
        <v>254545</v>
      </c>
      <c r="P112" s="19">
        <v>2</v>
      </c>
      <c r="Q112" s="40">
        <f t="shared" si="4"/>
        <v>509090</v>
      </c>
      <c r="R112" s="40">
        <v>275000</v>
      </c>
      <c r="S112" s="40">
        <f t="shared" si="5"/>
        <v>550000</v>
      </c>
    </row>
    <row r="113" spans="1:19">
      <c r="A113" s="17"/>
      <c r="B113" s="18">
        <v>229</v>
      </c>
      <c r="C113" s="19" t="s">
        <v>928</v>
      </c>
      <c r="D113" s="20" t="s">
        <v>929</v>
      </c>
      <c r="E113" s="21" t="s">
        <v>9</v>
      </c>
      <c r="F113" s="22" t="s">
        <v>1692</v>
      </c>
      <c r="G113" s="23" t="s">
        <v>1693</v>
      </c>
      <c r="H113" s="24" t="s">
        <v>930</v>
      </c>
      <c r="I113" s="19"/>
      <c r="J113" s="19" t="s">
        <v>931</v>
      </c>
      <c r="K113" s="19"/>
      <c r="L113" s="24" t="s">
        <v>50</v>
      </c>
      <c r="M113" s="19" t="s">
        <v>932</v>
      </c>
      <c r="N113" s="36">
        <v>44594</v>
      </c>
      <c r="O113" s="37">
        <v>254545</v>
      </c>
      <c r="P113" s="19">
        <v>3</v>
      </c>
      <c r="Q113" s="40">
        <f t="shared" si="4"/>
        <v>763635</v>
      </c>
      <c r="R113" s="40">
        <v>275000</v>
      </c>
      <c r="S113" s="40">
        <f t="shared" si="5"/>
        <v>825000</v>
      </c>
    </row>
    <row r="114" spans="1:19">
      <c r="A114" s="17"/>
      <c r="B114" s="18">
        <v>230</v>
      </c>
      <c r="C114" s="19" t="s">
        <v>933</v>
      </c>
      <c r="D114" s="20" t="s">
        <v>929</v>
      </c>
      <c r="E114" s="21" t="s">
        <v>9</v>
      </c>
      <c r="F114" s="22" t="s">
        <v>1692</v>
      </c>
      <c r="G114" s="23" t="s">
        <v>1693</v>
      </c>
      <c r="H114" s="24" t="s">
        <v>934</v>
      </c>
      <c r="I114" s="19"/>
      <c r="J114" s="19" t="s">
        <v>931</v>
      </c>
      <c r="K114" s="19"/>
      <c r="L114" s="24" t="s">
        <v>50</v>
      </c>
      <c r="M114" s="19" t="s">
        <v>935</v>
      </c>
      <c r="N114" s="36">
        <v>44594</v>
      </c>
      <c r="O114" s="37">
        <v>254545</v>
      </c>
      <c r="P114" s="19">
        <v>5</v>
      </c>
      <c r="Q114" s="40">
        <f t="shared" si="4"/>
        <v>1272725</v>
      </c>
      <c r="R114" s="40">
        <v>275000</v>
      </c>
      <c r="S114" s="40">
        <f t="shared" si="5"/>
        <v>1375000</v>
      </c>
    </row>
    <row r="115" spans="1:19">
      <c r="A115" s="17"/>
      <c r="B115" s="18">
        <v>234</v>
      </c>
      <c r="C115" s="19" t="s">
        <v>948</v>
      </c>
      <c r="D115" s="20" t="s">
        <v>949</v>
      </c>
      <c r="E115" s="21" t="s">
        <v>9</v>
      </c>
      <c r="F115" s="22" t="s">
        <v>1692</v>
      </c>
      <c r="G115" s="23" t="s">
        <v>1693</v>
      </c>
      <c r="H115" s="24" t="s">
        <v>950</v>
      </c>
      <c r="I115" s="19"/>
      <c r="J115" s="19" t="s">
        <v>951</v>
      </c>
      <c r="K115" s="19"/>
      <c r="L115" s="24" t="s">
        <v>50</v>
      </c>
      <c r="M115" s="19" t="s">
        <v>952</v>
      </c>
      <c r="N115" s="36">
        <v>44601</v>
      </c>
      <c r="O115" s="37">
        <v>254545</v>
      </c>
      <c r="P115" s="19">
        <v>3</v>
      </c>
      <c r="Q115" s="40">
        <f t="shared" si="4"/>
        <v>763635</v>
      </c>
      <c r="R115" s="40">
        <v>275000</v>
      </c>
      <c r="S115" s="40">
        <f t="shared" si="5"/>
        <v>825000</v>
      </c>
    </row>
    <row r="116" spans="1:19">
      <c r="A116" s="17"/>
      <c r="B116" s="18">
        <v>235</v>
      </c>
      <c r="C116" s="19" t="s">
        <v>953</v>
      </c>
      <c r="D116" s="20" t="s">
        <v>949</v>
      </c>
      <c r="E116" s="21" t="s">
        <v>9</v>
      </c>
      <c r="F116" s="22" t="s">
        <v>1692</v>
      </c>
      <c r="G116" s="23" t="s">
        <v>1693</v>
      </c>
      <c r="H116" s="24" t="s">
        <v>684</v>
      </c>
      <c r="I116" s="19"/>
      <c r="J116" s="19" t="s">
        <v>954</v>
      </c>
      <c r="K116" s="19"/>
      <c r="L116" s="24" t="s">
        <v>50</v>
      </c>
      <c r="M116" s="19" t="s">
        <v>955</v>
      </c>
      <c r="N116" s="36">
        <v>44601</v>
      </c>
      <c r="O116" s="37">
        <v>254545</v>
      </c>
      <c r="P116" s="19">
        <v>1</v>
      </c>
      <c r="Q116" s="40">
        <f t="shared" si="4"/>
        <v>254545</v>
      </c>
      <c r="R116" s="40">
        <v>275000</v>
      </c>
      <c r="S116" s="40">
        <f t="shared" si="5"/>
        <v>275000</v>
      </c>
    </row>
    <row r="117" spans="1:19">
      <c r="A117" s="17"/>
      <c r="B117" s="18">
        <v>236</v>
      </c>
      <c r="C117" s="19" t="s">
        <v>956</v>
      </c>
      <c r="D117" s="20" t="s">
        <v>949</v>
      </c>
      <c r="E117" s="21" t="s">
        <v>9</v>
      </c>
      <c r="F117" s="22" t="s">
        <v>1692</v>
      </c>
      <c r="G117" s="23" t="s">
        <v>1693</v>
      </c>
      <c r="H117" s="24" t="s">
        <v>957</v>
      </c>
      <c r="I117" s="19"/>
      <c r="J117" s="19" t="s">
        <v>958</v>
      </c>
      <c r="K117" s="19"/>
      <c r="L117" s="24" t="s">
        <v>50</v>
      </c>
      <c r="M117" s="19" t="s">
        <v>959</v>
      </c>
      <c r="N117" s="36">
        <v>44601</v>
      </c>
      <c r="O117" s="37">
        <v>254545</v>
      </c>
      <c r="P117" s="19">
        <v>9</v>
      </c>
      <c r="Q117" s="40">
        <f t="shared" si="4"/>
        <v>2290905</v>
      </c>
      <c r="R117" s="40">
        <v>275000</v>
      </c>
      <c r="S117" s="40">
        <f t="shared" si="5"/>
        <v>2475000</v>
      </c>
    </row>
    <row r="118" spans="1:19">
      <c r="A118" s="17"/>
      <c r="B118" s="18">
        <v>237</v>
      </c>
      <c r="C118" s="19" t="s">
        <v>960</v>
      </c>
      <c r="D118" s="20" t="s">
        <v>949</v>
      </c>
      <c r="E118" s="21" t="s">
        <v>9</v>
      </c>
      <c r="F118" s="22" t="s">
        <v>1692</v>
      </c>
      <c r="G118" s="23" t="s">
        <v>1693</v>
      </c>
      <c r="H118" s="24" t="s">
        <v>961</v>
      </c>
      <c r="I118" s="19"/>
      <c r="J118" s="19" t="s">
        <v>951</v>
      </c>
      <c r="K118" s="19"/>
      <c r="L118" s="24" t="s">
        <v>50</v>
      </c>
      <c r="M118" s="19" t="s">
        <v>962</v>
      </c>
      <c r="N118" s="36">
        <v>44601</v>
      </c>
      <c r="O118" s="37">
        <v>254545</v>
      </c>
      <c r="P118" s="19">
        <v>2</v>
      </c>
      <c r="Q118" s="40">
        <f t="shared" si="4"/>
        <v>509090</v>
      </c>
      <c r="R118" s="40">
        <v>275000</v>
      </c>
      <c r="S118" s="40">
        <f t="shared" si="5"/>
        <v>550000</v>
      </c>
    </row>
    <row r="119" spans="1:19">
      <c r="A119" s="17"/>
      <c r="B119" s="18">
        <v>239</v>
      </c>
      <c r="C119" s="19" t="s">
        <v>966</v>
      </c>
      <c r="D119" s="20" t="s">
        <v>967</v>
      </c>
      <c r="E119" s="21" t="s">
        <v>11</v>
      </c>
      <c r="F119" s="22" t="s">
        <v>1696</v>
      </c>
      <c r="G119" s="32" t="s">
        <v>1697</v>
      </c>
      <c r="H119" s="24" t="s">
        <v>880</v>
      </c>
      <c r="I119" s="19"/>
      <c r="J119" s="19" t="s">
        <v>968</v>
      </c>
      <c r="K119" s="19"/>
      <c r="L119" s="24" t="s">
        <v>886</v>
      </c>
      <c r="M119" s="19" t="s">
        <v>969</v>
      </c>
      <c r="N119" s="36">
        <v>44607</v>
      </c>
      <c r="O119" s="37">
        <v>184875</v>
      </c>
      <c r="P119" s="19">
        <v>25</v>
      </c>
      <c r="Q119" s="40">
        <f t="shared" si="4"/>
        <v>4621875</v>
      </c>
      <c r="R119" s="40">
        <v>201682</v>
      </c>
      <c r="S119" s="40">
        <f t="shared" si="5"/>
        <v>5042050</v>
      </c>
    </row>
    <row r="120" spans="1:19">
      <c r="A120" s="17"/>
      <c r="B120" s="18">
        <v>240</v>
      </c>
      <c r="C120" s="19" t="s">
        <v>970</v>
      </c>
      <c r="D120" s="20" t="s">
        <v>971</v>
      </c>
      <c r="E120" s="21" t="s">
        <v>10</v>
      </c>
      <c r="F120" s="22" t="s">
        <v>1702</v>
      </c>
      <c r="G120" s="31" t="s">
        <v>1703</v>
      </c>
      <c r="H120" s="24" t="s">
        <v>814</v>
      </c>
      <c r="I120" s="19" t="s">
        <v>972</v>
      </c>
      <c r="J120" s="19" t="s">
        <v>2</v>
      </c>
      <c r="K120" s="19"/>
      <c r="L120" s="24" t="s">
        <v>816</v>
      </c>
      <c r="M120" s="19" t="s">
        <v>973</v>
      </c>
      <c r="N120" s="36">
        <v>44607</v>
      </c>
      <c r="O120" s="37">
        <v>22727</v>
      </c>
      <c r="P120" s="19">
        <v>120</v>
      </c>
      <c r="Q120" s="40">
        <f t="shared" si="4"/>
        <v>2727240</v>
      </c>
      <c r="R120" s="40">
        <v>29090.91</v>
      </c>
      <c r="S120" s="40">
        <f t="shared" si="5"/>
        <v>3490909.2</v>
      </c>
    </row>
    <row r="121" spans="1:19">
      <c r="A121" s="17"/>
      <c r="B121" s="18">
        <v>243</v>
      </c>
      <c r="C121" s="19" t="s">
        <v>977</v>
      </c>
      <c r="D121" s="20" t="s">
        <v>978</v>
      </c>
      <c r="E121" s="21" t="s">
        <v>9</v>
      </c>
      <c r="F121" s="22" t="s">
        <v>1692</v>
      </c>
      <c r="G121" s="23" t="s">
        <v>1693</v>
      </c>
      <c r="H121" s="24" t="s">
        <v>979</v>
      </c>
      <c r="I121" s="19"/>
      <c r="J121" s="19" t="s">
        <v>801</v>
      </c>
      <c r="K121" s="19"/>
      <c r="L121" s="24" t="s">
        <v>50</v>
      </c>
      <c r="M121" s="19" t="s">
        <v>980</v>
      </c>
      <c r="N121" s="36">
        <v>44609</v>
      </c>
      <c r="O121" s="37">
        <v>254545</v>
      </c>
      <c r="P121" s="19">
        <v>1</v>
      </c>
      <c r="Q121" s="40">
        <f t="shared" si="4"/>
        <v>254545</v>
      </c>
      <c r="R121" s="40">
        <v>275000</v>
      </c>
      <c r="S121" s="40">
        <f t="shared" si="5"/>
        <v>275000</v>
      </c>
    </row>
    <row r="122" spans="1:19">
      <c r="A122" s="17"/>
      <c r="B122" s="18">
        <v>244</v>
      </c>
      <c r="C122" s="19" t="s">
        <v>981</v>
      </c>
      <c r="D122" s="20" t="s">
        <v>978</v>
      </c>
      <c r="E122" s="21" t="s">
        <v>9</v>
      </c>
      <c r="F122" s="22" t="s">
        <v>1692</v>
      </c>
      <c r="G122" s="23" t="s">
        <v>1693</v>
      </c>
      <c r="H122" s="24" t="s">
        <v>982</v>
      </c>
      <c r="I122" s="19"/>
      <c r="J122" s="19" t="s">
        <v>983</v>
      </c>
      <c r="K122" s="19"/>
      <c r="L122" s="24" t="s">
        <v>50</v>
      </c>
      <c r="M122" s="19" t="s">
        <v>984</v>
      </c>
      <c r="N122" s="36">
        <v>44609</v>
      </c>
      <c r="O122" s="37">
        <v>254545</v>
      </c>
      <c r="P122" s="19">
        <v>1</v>
      </c>
      <c r="Q122" s="40">
        <f t="shared" si="4"/>
        <v>254545</v>
      </c>
      <c r="R122" s="40">
        <v>275000</v>
      </c>
      <c r="S122" s="40">
        <f t="shared" si="5"/>
        <v>275000</v>
      </c>
    </row>
    <row r="123" spans="1:19">
      <c r="A123" s="17"/>
      <c r="B123" s="18">
        <v>245</v>
      </c>
      <c r="C123" s="19" t="s">
        <v>985</v>
      </c>
      <c r="D123" s="20" t="s">
        <v>978</v>
      </c>
      <c r="E123" s="21" t="s">
        <v>9</v>
      </c>
      <c r="F123" s="22" t="s">
        <v>1692</v>
      </c>
      <c r="G123" s="23" t="s">
        <v>1693</v>
      </c>
      <c r="H123" s="24" t="s">
        <v>986</v>
      </c>
      <c r="I123" s="19"/>
      <c r="J123" s="19" t="s">
        <v>983</v>
      </c>
      <c r="K123" s="19"/>
      <c r="L123" s="24" t="s">
        <v>50</v>
      </c>
      <c r="M123" s="19" t="s">
        <v>987</v>
      </c>
      <c r="N123" s="36">
        <v>44609</v>
      </c>
      <c r="O123" s="37">
        <v>254545</v>
      </c>
      <c r="P123" s="19">
        <v>4</v>
      </c>
      <c r="Q123" s="40">
        <f t="shared" si="4"/>
        <v>1018180</v>
      </c>
      <c r="R123" s="40">
        <v>275000</v>
      </c>
      <c r="S123" s="40">
        <f t="shared" si="5"/>
        <v>1100000</v>
      </c>
    </row>
    <row r="124" spans="1:19">
      <c r="A124" s="17"/>
      <c r="B124" s="18">
        <v>246</v>
      </c>
      <c r="C124" s="19" t="s">
        <v>988</v>
      </c>
      <c r="D124" s="20" t="s">
        <v>989</v>
      </c>
      <c r="E124" s="21" t="s">
        <v>16</v>
      </c>
      <c r="F124" s="22" t="s">
        <v>1706</v>
      </c>
      <c r="G124" s="32" t="s">
        <v>1707</v>
      </c>
      <c r="H124" s="24" t="s">
        <v>165</v>
      </c>
      <c r="I124" s="19"/>
      <c r="J124" s="19" t="s">
        <v>990</v>
      </c>
      <c r="K124" s="19"/>
      <c r="L124" s="24" t="s">
        <v>85</v>
      </c>
      <c r="M124" s="19" t="s">
        <v>991</v>
      </c>
      <c r="N124" s="36">
        <v>44613</v>
      </c>
      <c r="O124" s="37">
        <v>222727</v>
      </c>
      <c r="P124" s="19">
        <v>160</v>
      </c>
      <c r="Q124" s="40">
        <f t="shared" si="4"/>
        <v>35636320</v>
      </c>
      <c r="R124" s="40">
        <v>279090.90999999997</v>
      </c>
      <c r="S124" s="40">
        <f t="shared" si="5"/>
        <v>44654545.599999994</v>
      </c>
    </row>
    <row r="125" spans="1:19">
      <c r="A125" s="17"/>
      <c r="B125" s="18">
        <v>247</v>
      </c>
      <c r="C125" s="19" t="s">
        <v>992</v>
      </c>
      <c r="D125" s="20" t="s">
        <v>978</v>
      </c>
      <c r="E125" s="21" t="s">
        <v>9</v>
      </c>
      <c r="F125" s="22" t="s">
        <v>1692</v>
      </c>
      <c r="G125" s="23" t="s">
        <v>1693</v>
      </c>
      <c r="H125" s="24" t="s">
        <v>445</v>
      </c>
      <c r="I125" s="19"/>
      <c r="J125" s="19" t="s">
        <v>993</v>
      </c>
      <c r="K125" s="19"/>
      <c r="L125" s="24" t="s">
        <v>50</v>
      </c>
      <c r="M125" s="19" t="s">
        <v>994</v>
      </c>
      <c r="N125" s="36">
        <v>44613</v>
      </c>
      <c r="O125" s="37">
        <v>254545</v>
      </c>
      <c r="P125" s="19">
        <v>3</v>
      </c>
      <c r="Q125" s="40">
        <f t="shared" si="4"/>
        <v>763635</v>
      </c>
      <c r="R125" s="40">
        <v>275000</v>
      </c>
      <c r="S125" s="40">
        <f t="shared" si="5"/>
        <v>825000</v>
      </c>
    </row>
    <row r="126" spans="1:19">
      <c r="A126" s="17"/>
      <c r="B126" s="18">
        <v>248</v>
      </c>
      <c r="C126" s="19" t="s">
        <v>995</v>
      </c>
      <c r="D126" s="20" t="s">
        <v>978</v>
      </c>
      <c r="E126" s="21" t="s">
        <v>9</v>
      </c>
      <c r="F126" s="22" t="s">
        <v>1692</v>
      </c>
      <c r="G126" s="23" t="s">
        <v>1693</v>
      </c>
      <c r="H126" s="24" t="s">
        <v>445</v>
      </c>
      <c r="I126" s="19"/>
      <c r="J126" s="19" t="s">
        <v>996</v>
      </c>
      <c r="K126" s="19"/>
      <c r="L126" s="24" t="s">
        <v>50</v>
      </c>
      <c r="M126" s="19" t="s">
        <v>997</v>
      </c>
      <c r="N126" s="36">
        <v>44613</v>
      </c>
      <c r="O126" s="37">
        <v>254545</v>
      </c>
      <c r="P126" s="19">
        <v>3</v>
      </c>
      <c r="Q126" s="40">
        <f t="shared" si="4"/>
        <v>763635</v>
      </c>
      <c r="R126" s="40">
        <v>275000</v>
      </c>
      <c r="S126" s="40">
        <f t="shared" si="5"/>
        <v>825000</v>
      </c>
    </row>
    <row r="127" spans="1:19">
      <c r="A127" s="17"/>
      <c r="B127" s="18">
        <v>249</v>
      </c>
      <c r="C127" s="19" t="s">
        <v>998</v>
      </c>
      <c r="D127" s="20" t="s">
        <v>978</v>
      </c>
      <c r="E127" s="21" t="s">
        <v>9</v>
      </c>
      <c r="F127" s="22" t="s">
        <v>1692</v>
      </c>
      <c r="G127" s="23" t="s">
        <v>1693</v>
      </c>
      <c r="H127" s="24" t="s">
        <v>999</v>
      </c>
      <c r="I127" s="19"/>
      <c r="J127" s="19" t="s">
        <v>1000</v>
      </c>
      <c r="K127" s="19"/>
      <c r="L127" s="24" t="s">
        <v>50</v>
      </c>
      <c r="M127" s="19" t="s">
        <v>1001</v>
      </c>
      <c r="N127" s="36">
        <v>44613</v>
      </c>
      <c r="O127" s="37">
        <v>254545</v>
      </c>
      <c r="P127" s="19">
        <v>2</v>
      </c>
      <c r="Q127" s="40">
        <f t="shared" si="4"/>
        <v>509090</v>
      </c>
      <c r="R127" s="40">
        <v>275000</v>
      </c>
      <c r="S127" s="40">
        <f t="shared" si="5"/>
        <v>550000</v>
      </c>
    </row>
    <row r="128" spans="1:19">
      <c r="A128" s="17"/>
      <c r="B128" s="18">
        <v>250</v>
      </c>
      <c r="C128" s="19" t="s">
        <v>1002</v>
      </c>
      <c r="D128" s="20" t="s">
        <v>978</v>
      </c>
      <c r="E128" s="21" t="s">
        <v>9</v>
      </c>
      <c r="F128" s="22" t="s">
        <v>1692</v>
      </c>
      <c r="G128" s="23" t="s">
        <v>1693</v>
      </c>
      <c r="H128" s="24" t="s">
        <v>1003</v>
      </c>
      <c r="I128" s="19"/>
      <c r="J128" s="19" t="s">
        <v>996</v>
      </c>
      <c r="K128" s="19"/>
      <c r="L128" s="24" t="s">
        <v>50</v>
      </c>
      <c r="M128" s="19" t="s">
        <v>1004</v>
      </c>
      <c r="N128" s="36">
        <v>44613</v>
      </c>
      <c r="O128" s="37">
        <v>254545</v>
      </c>
      <c r="P128" s="19">
        <v>8</v>
      </c>
      <c r="Q128" s="40">
        <f t="shared" si="4"/>
        <v>2036360</v>
      </c>
      <c r="R128" s="40">
        <v>275000</v>
      </c>
      <c r="S128" s="40">
        <f t="shared" si="5"/>
        <v>2200000</v>
      </c>
    </row>
    <row r="129" spans="1:19">
      <c r="A129" s="17"/>
      <c r="B129" s="18">
        <v>251</v>
      </c>
      <c r="C129" s="19" t="s">
        <v>1005</v>
      </c>
      <c r="D129" s="20" t="s">
        <v>978</v>
      </c>
      <c r="E129" s="21" t="s">
        <v>9</v>
      </c>
      <c r="F129" s="22" t="s">
        <v>1692</v>
      </c>
      <c r="G129" s="23" t="s">
        <v>1693</v>
      </c>
      <c r="H129" s="24" t="s">
        <v>1006</v>
      </c>
      <c r="I129" s="19"/>
      <c r="J129" s="19" t="s">
        <v>1000</v>
      </c>
      <c r="K129" s="19"/>
      <c r="L129" s="24" t="s">
        <v>50</v>
      </c>
      <c r="M129" s="19" t="s">
        <v>1007</v>
      </c>
      <c r="N129" s="36">
        <v>44613</v>
      </c>
      <c r="O129" s="37">
        <v>254545</v>
      </c>
      <c r="P129" s="19">
        <v>1</v>
      </c>
      <c r="Q129" s="40">
        <f t="shared" si="4"/>
        <v>254545</v>
      </c>
      <c r="R129" s="40">
        <v>275000</v>
      </c>
      <c r="S129" s="40">
        <f t="shared" si="5"/>
        <v>275000</v>
      </c>
    </row>
    <row r="130" spans="1:19">
      <c r="A130" s="17"/>
      <c r="B130" s="18">
        <v>252</v>
      </c>
      <c r="C130" s="19" t="s">
        <v>1008</v>
      </c>
      <c r="D130" s="20" t="s">
        <v>1009</v>
      </c>
      <c r="E130" s="21" t="s">
        <v>9</v>
      </c>
      <c r="F130" s="22" t="s">
        <v>1692</v>
      </c>
      <c r="G130" s="23" t="s">
        <v>1693</v>
      </c>
      <c r="H130" s="24" t="s">
        <v>925</v>
      </c>
      <c r="I130" s="19"/>
      <c r="J130" s="19" t="s">
        <v>1010</v>
      </c>
      <c r="K130" s="19"/>
      <c r="L130" s="24" t="s">
        <v>50</v>
      </c>
      <c r="M130" s="19" t="s">
        <v>1011</v>
      </c>
      <c r="N130" s="36">
        <v>44617</v>
      </c>
      <c r="O130" s="37">
        <v>254545</v>
      </c>
      <c r="P130" s="19">
        <v>3</v>
      </c>
      <c r="Q130" s="40">
        <f t="shared" si="4"/>
        <v>763635</v>
      </c>
      <c r="R130" s="40">
        <v>275000</v>
      </c>
      <c r="S130" s="40">
        <f t="shared" si="5"/>
        <v>825000</v>
      </c>
    </row>
    <row r="131" spans="1:19">
      <c r="A131" s="17"/>
      <c r="B131" s="18">
        <v>253</v>
      </c>
      <c r="C131" s="19" t="s">
        <v>1012</v>
      </c>
      <c r="D131" s="20" t="s">
        <v>1009</v>
      </c>
      <c r="E131" s="21" t="s">
        <v>9</v>
      </c>
      <c r="F131" s="22" t="s">
        <v>1692</v>
      </c>
      <c r="G131" s="23" t="s">
        <v>1693</v>
      </c>
      <c r="H131" s="24" t="s">
        <v>1013</v>
      </c>
      <c r="I131" s="19"/>
      <c r="J131" s="19" t="s">
        <v>1010</v>
      </c>
      <c r="K131" s="19"/>
      <c r="L131" s="24" t="s">
        <v>50</v>
      </c>
      <c r="M131" s="19" t="s">
        <v>1014</v>
      </c>
      <c r="N131" s="36">
        <v>44617</v>
      </c>
      <c r="O131" s="37">
        <v>254545</v>
      </c>
      <c r="P131" s="19">
        <v>2</v>
      </c>
      <c r="Q131" s="40">
        <f t="shared" si="4"/>
        <v>509090</v>
      </c>
      <c r="R131" s="40">
        <v>275000</v>
      </c>
      <c r="S131" s="40">
        <f t="shared" si="5"/>
        <v>550000</v>
      </c>
    </row>
    <row r="132" spans="1:19">
      <c r="A132" s="17"/>
      <c r="B132" s="18">
        <v>255</v>
      </c>
      <c r="C132" s="25" t="s">
        <v>1019</v>
      </c>
      <c r="D132" s="26" t="s">
        <v>1020</v>
      </c>
      <c r="E132" s="27" t="s">
        <v>9</v>
      </c>
      <c r="F132" s="28" t="s">
        <v>1692</v>
      </c>
      <c r="G132" s="29" t="s">
        <v>1693</v>
      </c>
      <c r="H132" s="30" t="s">
        <v>1021</v>
      </c>
      <c r="I132" s="25"/>
      <c r="J132" s="25" t="s">
        <v>1022</v>
      </c>
      <c r="K132" s="25"/>
      <c r="L132" s="30" t="s">
        <v>50</v>
      </c>
      <c r="M132" s="25" t="s">
        <v>1023</v>
      </c>
      <c r="N132" s="38">
        <v>44628</v>
      </c>
      <c r="O132" s="39">
        <v>254545</v>
      </c>
      <c r="P132" s="25">
        <v>1</v>
      </c>
      <c r="Q132" s="41">
        <f t="shared" si="4"/>
        <v>254545</v>
      </c>
      <c r="R132" s="41">
        <v>275000</v>
      </c>
      <c r="S132" s="41">
        <f t="shared" si="5"/>
        <v>275000</v>
      </c>
    </row>
    <row r="133" spans="1:19">
      <c r="A133" s="17"/>
      <c r="B133" s="18">
        <v>256</v>
      </c>
      <c r="C133" s="25" t="s">
        <v>1024</v>
      </c>
      <c r="D133" s="26" t="s">
        <v>1020</v>
      </c>
      <c r="E133" s="27" t="s">
        <v>9</v>
      </c>
      <c r="F133" s="28" t="s">
        <v>1692</v>
      </c>
      <c r="G133" s="29" t="s">
        <v>1693</v>
      </c>
      <c r="H133" s="30" t="s">
        <v>1025</v>
      </c>
      <c r="I133" s="25"/>
      <c r="J133" s="25" t="s">
        <v>1026</v>
      </c>
      <c r="K133" s="25"/>
      <c r="L133" s="30" t="s">
        <v>50</v>
      </c>
      <c r="M133" s="25" t="s">
        <v>1027</v>
      </c>
      <c r="N133" s="38">
        <v>44628</v>
      </c>
      <c r="O133" s="39">
        <v>254545</v>
      </c>
      <c r="P133" s="25">
        <v>1</v>
      </c>
      <c r="Q133" s="41">
        <f t="shared" si="4"/>
        <v>254545</v>
      </c>
      <c r="R133" s="41">
        <v>275000</v>
      </c>
      <c r="S133" s="41">
        <f t="shared" si="5"/>
        <v>275000</v>
      </c>
    </row>
    <row r="134" spans="1:19">
      <c r="A134" s="17"/>
      <c r="B134" s="18">
        <v>257</v>
      </c>
      <c r="C134" s="25" t="s">
        <v>1028</v>
      </c>
      <c r="D134" s="26" t="s">
        <v>1020</v>
      </c>
      <c r="E134" s="27" t="s">
        <v>9</v>
      </c>
      <c r="F134" s="28" t="s">
        <v>1692</v>
      </c>
      <c r="G134" s="29" t="s">
        <v>1693</v>
      </c>
      <c r="H134" s="30" t="s">
        <v>1029</v>
      </c>
      <c r="I134" s="25"/>
      <c r="J134" s="25" t="s">
        <v>1030</v>
      </c>
      <c r="K134" s="25"/>
      <c r="L134" s="30" t="s">
        <v>50</v>
      </c>
      <c r="M134" s="25" t="s">
        <v>1031</v>
      </c>
      <c r="N134" s="38">
        <v>44628</v>
      </c>
      <c r="O134" s="39">
        <v>254545</v>
      </c>
      <c r="P134" s="25">
        <v>2</v>
      </c>
      <c r="Q134" s="41">
        <f t="shared" si="4"/>
        <v>509090</v>
      </c>
      <c r="R134" s="41">
        <v>275000</v>
      </c>
      <c r="S134" s="41">
        <f t="shared" si="5"/>
        <v>550000</v>
      </c>
    </row>
    <row r="135" spans="1:19">
      <c r="A135" s="17"/>
      <c r="B135" s="18">
        <v>258</v>
      </c>
      <c r="C135" s="25" t="s">
        <v>1032</v>
      </c>
      <c r="D135" s="26" t="s">
        <v>1020</v>
      </c>
      <c r="E135" s="27" t="s">
        <v>9</v>
      </c>
      <c r="F135" s="28" t="s">
        <v>1692</v>
      </c>
      <c r="G135" s="29" t="s">
        <v>1693</v>
      </c>
      <c r="H135" s="30" t="s">
        <v>1033</v>
      </c>
      <c r="I135" s="25"/>
      <c r="J135" s="25" t="s">
        <v>1030</v>
      </c>
      <c r="K135" s="25"/>
      <c r="L135" s="30" t="s">
        <v>50</v>
      </c>
      <c r="M135" s="25" t="s">
        <v>1034</v>
      </c>
      <c r="N135" s="38">
        <v>44628</v>
      </c>
      <c r="O135" s="39">
        <v>254545</v>
      </c>
      <c r="P135" s="25">
        <v>1</v>
      </c>
      <c r="Q135" s="41">
        <f t="shared" si="4"/>
        <v>254545</v>
      </c>
      <c r="R135" s="41">
        <v>275000</v>
      </c>
      <c r="S135" s="41">
        <f t="shared" si="5"/>
        <v>275000</v>
      </c>
    </row>
    <row r="136" spans="1:19">
      <c r="A136" s="17"/>
      <c r="B136" s="18">
        <v>259</v>
      </c>
      <c r="C136" s="25" t="s">
        <v>1035</v>
      </c>
      <c r="D136" s="26" t="s">
        <v>1036</v>
      </c>
      <c r="E136" s="27" t="s">
        <v>11</v>
      </c>
      <c r="F136" s="28" t="s">
        <v>1696</v>
      </c>
      <c r="G136" s="31" t="s">
        <v>1697</v>
      </c>
      <c r="H136" s="30" t="s">
        <v>880</v>
      </c>
      <c r="I136" s="25"/>
      <c r="J136" s="25" t="s">
        <v>1037</v>
      </c>
      <c r="K136" s="25"/>
      <c r="L136" s="30" t="s">
        <v>1038</v>
      </c>
      <c r="M136" s="25" t="s">
        <v>1039</v>
      </c>
      <c r="N136" s="38">
        <v>44629</v>
      </c>
      <c r="O136" s="39">
        <v>184875</v>
      </c>
      <c r="P136" s="25">
        <v>15</v>
      </c>
      <c r="Q136" s="41">
        <f t="shared" si="4"/>
        <v>2773125</v>
      </c>
      <c r="R136" s="41">
        <v>201682</v>
      </c>
      <c r="S136" s="41">
        <f t="shared" si="5"/>
        <v>3025230</v>
      </c>
    </row>
    <row r="137" spans="1:19">
      <c r="A137" s="17"/>
      <c r="B137" s="18">
        <v>260</v>
      </c>
      <c r="C137" s="25" t="s">
        <v>1040</v>
      </c>
      <c r="D137" s="26" t="s">
        <v>1041</v>
      </c>
      <c r="E137" s="27" t="s">
        <v>9</v>
      </c>
      <c r="F137" s="28" t="s">
        <v>1692</v>
      </c>
      <c r="G137" s="29" t="s">
        <v>1693</v>
      </c>
      <c r="H137" s="30" t="s">
        <v>1042</v>
      </c>
      <c r="I137" s="25"/>
      <c r="J137" s="25" t="s">
        <v>1043</v>
      </c>
      <c r="K137" s="25"/>
      <c r="L137" s="30" t="s">
        <v>50</v>
      </c>
      <c r="M137" s="25" t="s">
        <v>1044</v>
      </c>
      <c r="N137" s="38">
        <v>44631</v>
      </c>
      <c r="O137" s="39">
        <v>254545</v>
      </c>
      <c r="P137" s="25">
        <v>1</v>
      </c>
      <c r="Q137" s="41">
        <f t="shared" si="4"/>
        <v>254545</v>
      </c>
      <c r="R137" s="41">
        <v>275000</v>
      </c>
      <c r="S137" s="41">
        <f t="shared" si="5"/>
        <v>275000</v>
      </c>
    </row>
    <row r="138" spans="1:19">
      <c r="A138" s="17"/>
      <c r="B138" s="18">
        <v>261</v>
      </c>
      <c r="C138" s="25" t="s">
        <v>1045</v>
      </c>
      <c r="D138" s="26" t="s">
        <v>1046</v>
      </c>
      <c r="E138" s="27" t="s">
        <v>9</v>
      </c>
      <c r="F138" s="28" t="s">
        <v>1692</v>
      </c>
      <c r="G138" s="29" t="s">
        <v>1693</v>
      </c>
      <c r="H138" s="30" t="s">
        <v>1047</v>
      </c>
      <c r="I138" s="25"/>
      <c r="J138" s="25" t="s">
        <v>1048</v>
      </c>
      <c r="K138" s="25"/>
      <c r="L138" s="30" t="s">
        <v>50</v>
      </c>
      <c r="M138" s="25" t="s">
        <v>1049</v>
      </c>
      <c r="N138" s="38">
        <v>44635</v>
      </c>
      <c r="O138" s="39">
        <v>254545</v>
      </c>
      <c r="P138" s="25">
        <v>1</v>
      </c>
      <c r="Q138" s="41">
        <f t="shared" si="4"/>
        <v>254545</v>
      </c>
      <c r="R138" s="41">
        <v>275000</v>
      </c>
      <c r="S138" s="41">
        <f t="shared" si="5"/>
        <v>275000</v>
      </c>
    </row>
    <row r="139" spans="1:19">
      <c r="A139" s="17"/>
      <c r="B139" s="18">
        <v>262</v>
      </c>
      <c r="C139" s="25" t="s">
        <v>1050</v>
      </c>
      <c r="D139" s="26" t="s">
        <v>1046</v>
      </c>
      <c r="E139" s="27" t="s">
        <v>9</v>
      </c>
      <c r="F139" s="28" t="s">
        <v>1692</v>
      </c>
      <c r="G139" s="29" t="s">
        <v>1693</v>
      </c>
      <c r="H139" s="30" t="s">
        <v>1051</v>
      </c>
      <c r="I139" s="25"/>
      <c r="J139" s="25" t="s">
        <v>1048</v>
      </c>
      <c r="K139" s="25"/>
      <c r="L139" s="30" t="s">
        <v>50</v>
      </c>
      <c r="M139" s="25" t="s">
        <v>1052</v>
      </c>
      <c r="N139" s="38">
        <v>44635</v>
      </c>
      <c r="O139" s="39">
        <v>254545</v>
      </c>
      <c r="P139" s="25">
        <v>1</v>
      </c>
      <c r="Q139" s="41">
        <f t="shared" si="4"/>
        <v>254545</v>
      </c>
      <c r="R139" s="41">
        <v>275000</v>
      </c>
      <c r="S139" s="41">
        <f t="shared" si="5"/>
        <v>275000</v>
      </c>
    </row>
    <row r="140" spans="1:19">
      <c r="A140" s="17"/>
      <c r="B140" s="18">
        <v>263</v>
      </c>
      <c r="C140" s="25" t="s">
        <v>1053</v>
      </c>
      <c r="D140" s="26" t="s">
        <v>1054</v>
      </c>
      <c r="E140" s="27" t="s">
        <v>6</v>
      </c>
      <c r="F140" s="28" t="s">
        <v>1694</v>
      </c>
      <c r="G140" s="31" t="s">
        <v>1695</v>
      </c>
      <c r="H140" s="30" t="s">
        <v>509</v>
      </c>
      <c r="I140" s="25"/>
      <c r="J140" s="25" t="s">
        <v>1055</v>
      </c>
      <c r="K140" s="25"/>
      <c r="L140" s="30" t="s">
        <v>50</v>
      </c>
      <c r="M140" s="25" t="s">
        <v>1056</v>
      </c>
      <c r="N140" s="38">
        <v>44637</v>
      </c>
      <c r="O140" s="39">
        <v>444545</v>
      </c>
      <c r="P140" s="25">
        <v>116</v>
      </c>
      <c r="Q140" s="41">
        <f t="shared" si="4"/>
        <v>51567220</v>
      </c>
      <c r="R140" s="41">
        <v>556363.64</v>
      </c>
      <c r="S140" s="41">
        <f t="shared" si="5"/>
        <v>64538182.240000002</v>
      </c>
    </row>
    <row r="141" spans="1:19">
      <c r="A141" s="17"/>
      <c r="B141" s="18">
        <v>264</v>
      </c>
      <c r="C141" s="25" t="s">
        <v>1057</v>
      </c>
      <c r="D141" s="26" t="s">
        <v>1058</v>
      </c>
      <c r="E141" s="27" t="s">
        <v>9</v>
      </c>
      <c r="F141" s="28" t="s">
        <v>1692</v>
      </c>
      <c r="G141" s="29" t="s">
        <v>1693</v>
      </c>
      <c r="H141" s="30" t="s">
        <v>1059</v>
      </c>
      <c r="I141" s="25"/>
      <c r="J141" s="25" t="s">
        <v>1060</v>
      </c>
      <c r="K141" s="25"/>
      <c r="L141" s="30" t="s">
        <v>50</v>
      </c>
      <c r="M141" s="25" t="s">
        <v>1061</v>
      </c>
      <c r="N141" s="38">
        <v>44641</v>
      </c>
      <c r="O141" s="39">
        <v>254545</v>
      </c>
      <c r="P141" s="25">
        <v>7</v>
      </c>
      <c r="Q141" s="41">
        <f t="shared" si="4"/>
        <v>1781815</v>
      </c>
      <c r="R141" s="41">
        <v>275000</v>
      </c>
      <c r="S141" s="41">
        <f t="shared" si="5"/>
        <v>1925000</v>
      </c>
    </row>
    <row r="142" spans="1:19">
      <c r="A142" s="17"/>
      <c r="B142" s="18">
        <v>265</v>
      </c>
      <c r="C142" s="25" t="s">
        <v>1062</v>
      </c>
      <c r="D142" s="26" t="s">
        <v>1058</v>
      </c>
      <c r="E142" s="27" t="s">
        <v>9</v>
      </c>
      <c r="F142" s="28" t="s">
        <v>1692</v>
      </c>
      <c r="G142" s="29" t="s">
        <v>1693</v>
      </c>
      <c r="H142" s="30" t="s">
        <v>1063</v>
      </c>
      <c r="I142" s="25"/>
      <c r="J142" s="25" t="s">
        <v>1060</v>
      </c>
      <c r="K142" s="25"/>
      <c r="L142" s="30" t="s">
        <v>50</v>
      </c>
      <c r="M142" s="25" t="s">
        <v>1064</v>
      </c>
      <c r="N142" s="38">
        <v>44641</v>
      </c>
      <c r="O142" s="39">
        <v>254545</v>
      </c>
      <c r="P142" s="25">
        <v>2</v>
      </c>
      <c r="Q142" s="41">
        <f t="shared" si="4"/>
        <v>509090</v>
      </c>
      <c r="R142" s="41">
        <v>275000</v>
      </c>
      <c r="S142" s="41">
        <f t="shared" si="5"/>
        <v>550000</v>
      </c>
    </row>
    <row r="143" spans="1:19">
      <c r="A143" s="17"/>
      <c r="B143" s="18">
        <v>266</v>
      </c>
      <c r="C143" s="25" t="s">
        <v>1065</v>
      </c>
      <c r="D143" s="26" t="s">
        <v>1058</v>
      </c>
      <c r="E143" s="27" t="s">
        <v>9</v>
      </c>
      <c r="F143" s="28" t="s">
        <v>1692</v>
      </c>
      <c r="G143" s="29" t="s">
        <v>1693</v>
      </c>
      <c r="H143" s="30" t="s">
        <v>832</v>
      </c>
      <c r="I143" s="25"/>
      <c r="J143" s="25" t="s">
        <v>1060</v>
      </c>
      <c r="K143" s="25"/>
      <c r="L143" s="30" t="s">
        <v>50</v>
      </c>
      <c r="M143" s="25" t="s">
        <v>1066</v>
      </c>
      <c r="N143" s="38">
        <v>44641</v>
      </c>
      <c r="O143" s="39">
        <v>254545</v>
      </c>
      <c r="P143" s="25">
        <v>3</v>
      </c>
      <c r="Q143" s="41">
        <f t="shared" si="4"/>
        <v>763635</v>
      </c>
      <c r="R143" s="41">
        <v>275000</v>
      </c>
      <c r="S143" s="41">
        <f t="shared" si="5"/>
        <v>825000</v>
      </c>
    </row>
    <row r="144" spans="1:19">
      <c r="A144" s="17"/>
      <c r="B144" s="18">
        <v>267</v>
      </c>
      <c r="C144" s="25" t="s">
        <v>1067</v>
      </c>
      <c r="D144" s="26" t="s">
        <v>1068</v>
      </c>
      <c r="E144" s="27" t="s">
        <v>9</v>
      </c>
      <c r="F144" s="28" t="s">
        <v>1692</v>
      </c>
      <c r="G144" s="29" t="s">
        <v>1693</v>
      </c>
      <c r="H144" s="30" t="s">
        <v>1069</v>
      </c>
      <c r="I144" s="25"/>
      <c r="J144" s="25" t="s">
        <v>1070</v>
      </c>
      <c r="K144" s="25"/>
      <c r="L144" s="30" t="s">
        <v>50</v>
      </c>
      <c r="M144" s="25" t="s">
        <v>1071</v>
      </c>
      <c r="N144" s="38">
        <v>44644</v>
      </c>
      <c r="O144" s="39">
        <v>254545</v>
      </c>
      <c r="P144" s="25">
        <v>1</v>
      </c>
      <c r="Q144" s="41">
        <f t="shared" si="4"/>
        <v>254545</v>
      </c>
      <c r="R144" s="41">
        <v>275000</v>
      </c>
      <c r="S144" s="41">
        <f t="shared" si="5"/>
        <v>275000</v>
      </c>
    </row>
    <row r="145" spans="1:19">
      <c r="A145" s="17"/>
      <c r="B145" s="18">
        <v>268</v>
      </c>
      <c r="C145" s="25" t="s">
        <v>1072</v>
      </c>
      <c r="D145" s="26" t="s">
        <v>1068</v>
      </c>
      <c r="E145" s="27" t="s">
        <v>9</v>
      </c>
      <c r="F145" s="28" t="s">
        <v>1692</v>
      </c>
      <c r="G145" s="29" t="s">
        <v>1693</v>
      </c>
      <c r="H145" s="30" t="s">
        <v>1073</v>
      </c>
      <c r="I145" s="25"/>
      <c r="J145" s="25" t="s">
        <v>1070</v>
      </c>
      <c r="K145" s="25"/>
      <c r="L145" s="30" t="s">
        <v>50</v>
      </c>
      <c r="M145" s="25" t="s">
        <v>1074</v>
      </c>
      <c r="N145" s="38">
        <v>44644</v>
      </c>
      <c r="O145" s="39">
        <v>254545</v>
      </c>
      <c r="P145" s="25">
        <v>1</v>
      </c>
      <c r="Q145" s="41">
        <f t="shared" si="4"/>
        <v>254545</v>
      </c>
      <c r="R145" s="41">
        <v>275000</v>
      </c>
      <c r="S145" s="41">
        <f t="shared" si="5"/>
        <v>275000</v>
      </c>
    </row>
    <row r="146" spans="1:19">
      <c r="A146" s="17"/>
      <c r="B146" s="18">
        <v>269</v>
      </c>
      <c r="C146" s="25" t="s">
        <v>1075</v>
      </c>
      <c r="D146" s="26" t="s">
        <v>1068</v>
      </c>
      <c r="E146" s="27" t="s">
        <v>9</v>
      </c>
      <c r="F146" s="28" t="s">
        <v>1692</v>
      </c>
      <c r="G146" s="29" t="s">
        <v>1693</v>
      </c>
      <c r="H146" s="30" t="s">
        <v>206</v>
      </c>
      <c r="I146" s="25"/>
      <c r="J146" s="25" t="s">
        <v>1070</v>
      </c>
      <c r="K146" s="25"/>
      <c r="L146" s="30" t="s">
        <v>50</v>
      </c>
      <c r="M146" s="25" t="s">
        <v>1076</v>
      </c>
      <c r="N146" s="38">
        <v>44644</v>
      </c>
      <c r="O146" s="39">
        <v>254545</v>
      </c>
      <c r="P146" s="25">
        <v>2</v>
      </c>
      <c r="Q146" s="41">
        <f t="shared" si="4"/>
        <v>509090</v>
      </c>
      <c r="R146" s="41">
        <v>275000</v>
      </c>
      <c r="S146" s="41">
        <f t="shared" si="5"/>
        <v>550000</v>
      </c>
    </row>
    <row r="147" spans="1:19">
      <c r="A147" s="17"/>
      <c r="B147" s="18">
        <v>270</v>
      </c>
      <c r="C147" s="25" t="s">
        <v>1077</v>
      </c>
      <c r="D147" s="26" t="s">
        <v>1078</v>
      </c>
      <c r="E147" s="27" t="s">
        <v>9</v>
      </c>
      <c r="F147" s="28" t="s">
        <v>1692</v>
      </c>
      <c r="G147" s="29" t="s">
        <v>1693</v>
      </c>
      <c r="H147" s="30" t="s">
        <v>645</v>
      </c>
      <c r="I147" s="25"/>
      <c r="J147" s="25" t="s">
        <v>1079</v>
      </c>
      <c r="K147" s="25"/>
      <c r="L147" s="30" t="s">
        <v>50</v>
      </c>
      <c r="M147" s="25" t="s">
        <v>1080</v>
      </c>
      <c r="N147" s="38">
        <v>44645</v>
      </c>
      <c r="O147" s="39">
        <v>254545</v>
      </c>
      <c r="P147" s="25">
        <v>2</v>
      </c>
      <c r="Q147" s="41">
        <f t="shared" si="4"/>
        <v>509090</v>
      </c>
      <c r="R147" s="41">
        <v>275000</v>
      </c>
      <c r="S147" s="41">
        <f t="shared" si="5"/>
        <v>550000</v>
      </c>
    </row>
    <row r="148" spans="1:19">
      <c r="A148" s="17"/>
      <c r="B148" s="18">
        <v>271</v>
      </c>
      <c r="C148" s="25" t="s">
        <v>1081</v>
      </c>
      <c r="D148" s="26" t="s">
        <v>1078</v>
      </c>
      <c r="E148" s="27" t="s">
        <v>9</v>
      </c>
      <c r="F148" s="28" t="s">
        <v>1692</v>
      </c>
      <c r="G148" s="29" t="s">
        <v>1693</v>
      </c>
      <c r="H148" s="30" t="s">
        <v>1082</v>
      </c>
      <c r="I148" s="25"/>
      <c r="J148" s="25" t="s">
        <v>1070</v>
      </c>
      <c r="K148" s="25"/>
      <c r="L148" s="30" t="s">
        <v>50</v>
      </c>
      <c r="M148" s="25" t="s">
        <v>1083</v>
      </c>
      <c r="N148" s="38">
        <v>44645</v>
      </c>
      <c r="O148" s="39">
        <v>254545</v>
      </c>
      <c r="P148" s="25">
        <v>3</v>
      </c>
      <c r="Q148" s="41">
        <f t="shared" si="4"/>
        <v>763635</v>
      </c>
      <c r="R148" s="41">
        <v>275000</v>
      </c>
      <c r="S148" s="41">
        <f t="shared" si="5"/>
        <v>825000</v>
      </c>
    </row>
    <row r="149" spans="1:19">
      <c r="A149" s="17"/>
      <c r="B149" s="18">
        <v>272</v>
      </c>
      <c r="C149" s="25" t="s">
        <v>1084</v>
      </c>
      <c r="D149" s="26" t="s">
        <v>1078</v>
      </c>
      <c r="E149" s="27" t="s">
        <v>9</v>
      </c>
      <c r="F149" s="28" t="s">
        <v>1692</v>
      </c>
      <c r="G149" s="29" t="s">
        <v>1693</v>
      </c>
      <c r="H149" s="30" t="s">
        <v>1082</v>
      </c>
      <c r="I149" s="25"/>
      <c r="J149" s="25" t="s">
        <v>1070</v>
      </c>
      <c r="K149" s="25"/>
      <c r="L149" s="30" t="s">
        <v>50</v>
      </c>
      <c r="M149" s="25" t="s">
        <v>1085</v>
      </c>
      <c r="N149" s="38">
        <v>44645</v>
      </c>
      <c r="O149" s="39">
        <v>254545</v>
      </c>
      <c r="P149" s="25">
        <v>1</v>
      </c>
      <c r="Q149" s="41">
        <f t="shared" si="4"/>
        <v>254545</v>
      </c>
      <c r="R149" s="41">
        <v>275000</v>
      </c>
      <c r="S149" s="41">
        <f t="shared" si="5"/>
        <v>275000</v>
      </c>
    </row>
    <row r="150" spans="1:19">
      <c r="A150" s="17"/>
      <c r="B150" s="18">
        <v>273</v>
      </c>
      <c r="C150" s="25" t="s">
        <v>1086</v>
      </c>
      <c r="D150" s="26" t="s">
        <v>1087</v>
      </c>
      <c r="E150" s="27" t="s">
        <v>9</v>
      </c>
      <c r="F150" s="28" t="s">
        <v>1692</v>
      </c>
      <c r="G150" s="29" t="s">
        <v>1693</v>
      </c>
      <c r="H150" s="30" t="s">
        <v>1003</v>
      </c>
      <c r="I150" s="25"/>
      <c r="J150" s="25" t="s">
        <v>1088</v>
      </c>
      <c r="K150" s="25"/>
      <c r="L150" s="30" t="s">
        <v>50</v>
      </c>
      <c r="M150" s="25" t="s">
        <v>1089</v>
      </c>
      <c r="N150" s="38">
        <v>44649</v>
      </c>
      <c r="O150" s="39">
        <v>254545</v>
      </c>
      <c r="P150" s="25">
        <v>5</v>
      </c>
      <c r="Q150" s="41">
        <f t="shared" si="4"/>
        <v>1272725</v>
      </c>
      <c r="R150" s="41">
        <v>275000</v>
      </c>
      <c r="S150" s="41">
        <f t="shared" si="5"/>
        <v>1375000</v>
      </c>
    </row>
    <row r="151" spans="1:19">
      <c r="A151" s="17"/>
      <c r="B151" s="18">
        <v>274</v>
      </c>
      <c r="C151" s="25" t="s">
        <v>1090</v>
      </c>
      <c r="D151" s="26" t="s">
        <v>1087</v>
      </c>
      <c r="E151" s="27" t="s">
        <v>9</v>
      </c>
      <c r="F151" s="28" t="s">
        <v>1692</v>
      </c>
      <c r="G151" s="29" t="s">
        <v>1693</v>
      </c>
      <c r="H151" s="30" t="s">
        <v>1091</v>
      </c>
      <c r="I151" s="25"/>
      <c r="J151" s="25" t="s">
        <v>1088</v>
      </c>
      <c r="K151" s="25"/>
      <c r="L151" s="30" t="s">
        <v>50</v>
      </c>
      <c r="M151" s="25" t="s">
        <v>1092</v>
      </c>
      <c r="N151" s="38">
        <v>44649</v>
      </c>
      <c r="O151" s="39">
        <v>254545</v>
      </c>
      <c r="P151" s="25">
        <v>1</v>
      </c>
      <c r="Q151" s="41">
        <f t="shared" si="4"/>
        <v>254545</v>
      </c>
      <c r="R151" s="41">
        <v>275000</v>
      </c>
      <c r="S151" s="41">
        <f t="shared" si="5"/>
        <v>275000</v>
      </c>
    </row>
    <row r="152" spans="1:19">
      <c r="A152" s="17"/>
      <c r="B152" s="18">
        <v>275</v>
      </c>
      <c r="C152" s="25" t="s">
        <v>1093</v>
      </c>
      <c r="D152" s="26" t="s">
        <v>1087</v>
      </c>
      <c r="E152" s="27" t="s">
        <v>9</v>
      </c>
      <c r="F152" s="28" t="s">
        <v>1692</v>
      </c>
      <c r="G152" s="29" t="s">
        <v>1693</v>
      </c>
      <c r="H152" s="30" t="s">
        <v>1094</v>
      </c>
      <c r="I152" s="25"/>
      <c r="J152" s="25" t="s">
        <v>1088</v>
      </c>
      <c r="K152" s="25"/>
      <c r="L152" s="30" t="s">
        <v>50</v>
      </c>
      <c r="M152" s="25" t="s">
        <v>1095</v>
      </c>
      <c r="N152" s="38">
        <v>44649</v>
      </c>
      <c r="O152" s="39">
        <v>254545</v>
      </c>
      <c r="P152" s="25">
        <v>1</v>
      </c>
      <c r="Q152" s="41">
        <f t="shared" si="4"/>
        <v>254545</v>
      </c>
      <c r="R152" s="41">
        <v>275000</v>
      </c>
      <c r="S152" s="41">
        <f t="shared" si="5"/>
        <v>275000</v>
      </c>
    </row>
    <row r="153" spans="1:19">
      <c r="A153" s="17"/>
      <c r="B153" s="18">
        <v>276</v>
      </c>
      <c r="C153" s="25" t="s">
        <v>1096</v>
      </c>
      <c r="D153" s="26" t="s">
        <v>1087</v>
      </c>
      <c r="E153" s="27" t="s">
        <v>9</v>
      </c>
      <c r="F153" s="28" t="s">
        <v>1692</v>
      </c>
      <c r="G153" s="29" t="s">
        <v>1693</v>
      </c>
      <c r="H153" s="30" t="s">
        <v>1091</v>
      </c>
      <c r="I153" s="25"/>
      <c r="J153" s="25" t="s">
        <v>1088</v>
      </c>
      <c r="K153" s="25"/>
      <c r="L153" s="30" t="s">
        <v>50</v>
      </c>
      <c r="M153" s="25" t="s">
        <v>1097</v>
      </c>
      <c r="N153" s="38">
        <v>44649</v>
      </c>
      <c r="O153" s="39">
        <v>254545</v>
      </c>
      <c r="P153" s="25">
        <v>1</v>
      </c>
      <c r="Q153" s="41">
        <f t="shared" si="4"/>
        <v>254545</v>
      </c>
      <c r="R153" s="41">
        <v>275000</v>
      </c>
      <c r="S153" s="41">
        <f t="shared" si="5"/>
        <v>275000</v>
      </c>
    </row>
    <row r="154" spans="1:19">
      <c r="A154" s="17"/>
      <c r="B154" s="18">
        <v>277</v>
      </c>
      <c r="C154" s="25" t="s">
        <v>1098</v>
      </c>
      <c r="D154" s="26" t="s">
        <v>1087</v>
      </c>
      <c r="E154" s="27" t="s">
        <v>9</v>
      </c>
      <c r="F154" s="28" t="s">
        <v>1692</v>
      </c>
      <c r="G154" s="29" t="s">
        <v>1693</v>
      </c>
      <c r="H154" s="30" t="s">
        <v>1094</v>
      </c>
      <c r="I154" s="25"/>
      <c r="J154" s="25" t="s">
        <v>1088</v>
      </c>
      <c r="K154" s="25"/>
      <c r="L154" s="30" t="s">
        <v>50</v>
      </c>
      <c r="M154" s="25" t="s">
        <v>1099</v>
      </c>
      <c r="N154" s="38">
        <v>44649</v>
      </c>
      <c r="O154" s="39">
        <v>254545</v>
      </c>
      <c r="P154" s="25">
        <v>2</v>
      </c>
      <c r="Q154" s="41">
        <f t="shared" si="4"/>
        <v>509090</v>
      </c>
      <c r="R154" s="41">
        <v>275000</v>
      </c>
      <c r="S154" s="41">
        <f t="shared" si="5"/>
        <v>550000</v>
      </c>
    </row>
    <row r="155" spans="1:19">
      <c r="A155" s="17"/>
      <c r="B155" s="18">
        <v>278</v>
      </c>
      <c r="C155" s="25" t="s">
        <v>1100</v>
      </c>
      <c r="D155" s="26" t="s">
        <v>1087</v>
      </c>
      <c r="E155" s="27" t="s">
        <v>9</v>
      </c>
      <c r="F155" s="28" t="s">
        <v>1692</v>
      </c>
      <c r="G155" s="29" t="s">
        <v>1693</v>
      </c>
      <c r="H155" s="30" t="s">
        <v>1101</v>
      </c>
      <c r="I155" s="25"/>
      <c r="J155" s="25" t="s">
        <v>1088</v>
      </c>
      <c r="K155" s="25"/>
      <c r="L155" s="30" t="s">
        <v>50</v>
      </c>
      <c r="M155" s="25" t="s">
        <v>1102</v>
      </c>
      <c r="N155" s="38">
        <v>44649</v>
      </c>
      <c r="O155" s="39">
        <v>254545</v>
      </c>
      <c r="P155" s="25">
        <v>1</v>
      </c>
      <c r="Q155" s="41">
        <f t="shared" si="4"/>
        <v>254545</v>
      </c>
      <c r="R155" s="41">
        <v>275000</v>
      </c>
      <c r="S155" s="41">
        <f t="shared" si="5"/>
        <v>275000</v>
      </c>
    </row>
    <row r="156" spans="1:19">
      <c r="A156" s="17"/>
      <c r="B156" s="18">
        <v>279</v>
      </c>
      <c r="C156" s="25" t="s">
        <v>1103</v>
      </c>
      <c r="D156" s="26" t="s">
        <v>1087</v>
      </c>
      <c r="E156" s="27" t="s">
        <v>9</v>
      </c>
      <c r="F156" s="28" t="s">
        <v>1692</v>
      </c>
      <c r="G156" s="29" t="s">
        <v>1693</v>
      </c>
      <c r="H156" s="30" t="s">
        <v>1104</v>
      </c>
      <c r="I156" s="25"/>
      <c r="J156" s="25" t="s">
        <v>1088</v>
      </c>
      <c r="K156" s="25"/>
      <c r="L156" s="30" t="s">
        <v>50</v>
      </c>
      <c r="M156" s="25" t="s">
        <v>1105</v>
      </c>
      <c r="N156" s="38">
        <v>44649</v>
      </c>
      <c r="O156" s="39">
        <v>254545</v>
      </c>
      <c r="P156" s="25">
        <v>6</v>
      </c>
      <c r="Q156" s="41">
        <f t="shared" si="4"/>
        <v>1527270</v>
      </c>
      <c r="R156" s="41">
        <v>275000</v>
      </c>
      <c r="S156" s="41">
        <f t="shared" si="5"/>
        <v>1650000</v>
      </c>
    </row>
    <row r="157" spans="1:19">
      <c r="A157" s="17"/>
      <c r="B157" s="18">
        <v>280</v>
      </c>
      <c r="C157" s="25" t="s">
        <v>1106</v>
      </c>
      <c r="D157" s="26" t="s">
        <v>1087</v>
      </c>
      <c r="E157" s="27" t="s">
        <v>9</v>
      </c>
      <c r="F157" s="28" t="s">
        <v>1692</v>
      </c>
      <c r="G157" s="29" t="s">
        <v>1693</v>
      </c>
      <c r="H157" s="30" t="s">
        <v>1107</v>
      </c>
      <c r="I157" s="25"/>
      <c r="J157" s="25" t="s">
        <v>1088</v>
      </c>
      <c r="K157" s="25"/>
      <c r="L157" s="30" t="s">
        <v>50</v>
      </c>
      <c r="M157" s="25" t="s">
        <v>1108</v>
      </c>
      <c r="N157" s="38">
        <v>44649</v>
      </c>
      <c r="O157" s="39">
        <v>254545</v>
      </c>
      <c r="P157" s="25">
        <v>1</v>
      </c>
      <c r="Q157" s="41">
        <f t="shared" si="4"/>
        <v>254545</v>
      </c>
      <c r="R157" s="41">
        <v>275000</v>
      </c>
      <c r="S157" s="41">
        <f t="shared" si="5"/>
        <v>275000</v>
      </c>
    </row>
    <row r="158" spans="1:19">
      <c r="A158" s="17"/>
      <c r="B158" s="18">
        <v>281</v>
      </c>
      <c r="C158" s="25" t="s">
        <v>1109</v>
      </c>
      <c r="D158" s="26" t="s">
        <v>1087</v>
      </c>
      <c r="E158" s="27" t="s">
        <v>9</v>
      </c>
      <c r="F158" s="28" t="s">
        <v>1692</v>
      </c>
      <c r="G158" s="29" t="s">
        <v>1693</v>
      </c>
      <c r="H158" s="30" t="s">
        <v>1110</v>
      </c>
      <c r="I158" s="25"/>
      <c r="J158" s="25" t="s">
        <v>1088</v>
      </c>
      <c r="K158" s="25"/>
      <c r="L158" s="30" t="s">
        <v>50</v>
      </c>
      <c r="M158" s="25" t="s">
        <v>1111</v>
      </c>
      <c r="N158" s="38">
        <v>44649</v>
      </c>
      <c r="O158" s="39">
        <v>254545</v>
      </c>
      <c r="P158" s="25">
        <v>1</v>
      </c>
      <c r="Q158" s="41">
        <f t="shared" si="4"/>
        <v>254545</v>
      </c>
      <c r="R158" s="41">
        <v>275000</v>
      </c>
      <c r="S158" s="41">
        <f t="shared" si="5"/>
        <v>275000</v>
      </c>
    </row>
    <row r="159" spans="1:19">
      <c r="A159" s="17"/>
      <c r="B159" s="18">
        <v>282</v>
      </c>
      <c r="C159" s="25" t="s">
        <v>1112</v>
      </c>
      <c r="D159" s="26" t="s">
        <v>1113</v>
      </c>
      <c r="E159" s="27" t="s">
        <v>9</v>
      </c>
      <c r="F159" s="28" t="s">
        <v>1692</v>
      </c>
      <c r="G159" s="29" t="s">
        <v>1693</v>
      </c>
      <c r="H159" s="30" t="s">
        <v>222</v>
      </c>
      <c r="I159" s="25"/>
      <c r="J159" s="25" t="s">
        <v>1114</v>
      </c>
      <c r="K159" s="25"/>
      <c r="L159" s="30" t="s">
        <v>50</v>
      </c>
      <c r="M159" s="25" t="s">
        <v>1115</v>
      </c>
      <c r="N159" s="38">
        <v>44651</v>
      </c>
      <c r="O159" s="39">
        <v>254545</v>
      </c>
      <c r="P159" s="25">
        <v>1</v>
      </c>
      <c r="Q159" s="41">
        <f t="shared" si="4"/>
        <v>254545</v>
      </c>
      <c r="R159" s="41">
        <v>275000</v>
      </c>
      <c r="S159" s="41">
        <f t="shared" si="5"/>
        <v>275000</v>
      </c>
    </row>
    <row r="160" spans="1:19">
      <c r="A160" s="17"/>
      <c r="B160" s="18">
        <v>283</v>
      </c>
      <c r="C160" s="25" t="s">
        <v>1116</v>
      </c>
      <c r="D160" s="26" t="s">
        <v>1113</v>
      </c>
      <c r="E160" s="27" t="s">
        <v>9</v>
      </c>
      <c r="F160" s="28" t="s">
        <v>1692</v>
      </c>
      <c r="G160" s="29" t="s">
        <v>1693</v>
      </c>
      <c r="H160" s="30" t="s">
        <v>1117</v>
      </c>
      <c r="I160" s="25"/>
      <c r="J160" s="25" t="s">
        <v>1114</v>
      </c>
      <c r="K160" s="25"/>
      <c r="L160" s="30" t="s">
        <v>50</v>
      </c>
      <c r="M160" s="25" t="s">
        <v>1118</v>
      </c>
      <c r="N160" s="38">
        <v>44651</v>
      </c>
      <c r="O160" s="39">
        <v>254545</v>
      </c>
      <c r="P160" s="25">
        <v>2</v>
      </c>
      <c r="Q160" s="41">
        <f t="shared" si="4"/>
        <v>509090</v>
      </c>
      <c r="R160" s="41">
        <v>275000</v>
      </c>
      <c r="S160" s="41">
        <f t="shared" si="5"/>
        <v>550000</v>
      </c>
    </row>
    <row r="161" spans="1:19">
      <c r="A161" s="17"/>
      <c r="B161" s="18">
        <v>284</v>
      </c>
      <c r="C161" s="19" t="s">
        <v>1119</v>
      </c>
      <c r="D161" s="20" t="s">
        <v>1120</v>
      </c>
      <c r="E161" s="21" t="s">
        <v>9</v>
      </c>
      <c r="F161" s="22" t="s">
        <v>1692</v>
      </c>
      <c r="G161" s="23" t="s">
        <v>1693</v>
      </c>
      <c r="H161" s="24" t="s">
        <v>1121</v>
      </c>
      <c r="I161" s="19"/>
      <c r="J161" s="19" t="s">
        <v>1114</v>
      </c>
      <c r="K161" s="19"/>
      <c r="L161" s="24" t="s">
        <v>50</v>
      </c>
      <c r="M161" s="19" t="s">
        <v>1122</v>
      </c>
      <c r="N161" s="36">
        <v>44652</v>
      </c>
      <c r="O161" s="37">
        <v>254545</v>
      </c>
      <c r="P161" s="19">
        <v>2</v>
      </c>
      <c r="Q161" s="40">
        <f t="shared" si="4"/>
        <v>509090</v>
      </c>
      <c r="R161" s="40">
        <v>275000</v>
      </c>
      <c r="S161" s="40">
        <f t="shared" si="5"/>
        <v>550000</v>
      </c>
    </row>
    <row r="162" spans="1:19">
      <c r="A162" s="17"/>
      <c r="B162" s="18">
        <v>285</v>
      </c>
      <c r="C162" s="19" t="s">
        <v>1123</v>
      </c>
      <c r="D162" s="20" t="s">
        <v>1120</v>
      </c>
      <c r="E162" s="21" t="s">
        <v>9</v>
      </c>
      <c r="F162" s="22" t="s">
        <v>1692</v>
      </c>
      <c r="G162" s="23" t="s">
        <v>1693</v>
      </c>
      <c r="H162" s="24" t="s">
        <v>1124</v>
      </c>
      <c r="I162" s="19"/>
      <c r="J162" s="19" t="s">
        <v>1114</v>
      </c>
      <c r="K162" s="19"/>
      <c r="L162" s="24" t="s">
        <v>50</v>
      </c>
      <c r="M162" s="19" t="s">
        <v>1125</v>
      </c>
      <c r="N162" s="36">
        <v>44652</v>
      </c>
      <c r="O162" s="37">
        <v>254545</v>
      </c>
      <c r="P162" s="19">
        <v>9</v>
      </c>
      <c r="Q162" s="40">
        <f t="shared" si="4"/>
        <v>2290905</v>
      </c>
      <c r="R162" s="40">
        <v>275000</v>
      </c>
      <c r="S162" s="40">
        <f t="shared" si="5"/>
        <v>2475000</v>
      </c>
    </row>
    <row r="163" spans="1:19">
      <c r="A163" s="17"/>
      <c r="B163" s="18">
        <v>286</v>
      </c>
      <c r="C163" s="19" t="s">
        <v>1126</v>
      </c>
      <c r="D163" s="20" t="s">
        <v>1120</v>
      </c>
      <c r="E163" s="21" t="s">
        <v>9</v>
      </c>
      <c r="F163" s="22" t="s">
        <v>1692</v>
      </c>
      <c r="G163" s="23" t="s">
        <v>1693</v>
      </c>
      <c r="H163" s="24" t="s">
        <v>1127</v>
      </c>
      <c r="I163" s="19"/>
      <c r="J163" s="19" t="s">
        <v>1114</v>
      </c>
      <c r="K163" s="19"/>
      <c r="L163" s="24" t="s">
        <v>50</v>
      </c>
      <c r="M163" s="19" t="s">
        <v>1128</v>
      </c>
      <c r="N163" s="36">
        <v>44652</v>
      </c>
      <c r="O163" s="37">
        <v>254545</v>
      </c>
      <c r="P163" s="19">
        <v>3</v>
      </c>
      <c r="Q163" s="40">
        <f t="shared" si="4"/>
        <v>763635</v>
      </c>
      <c r="R163" s="40">
        <v>275000</v>
      </c>
      <c r="S163" s="40">
        <f t="shared" si="5"/>
        <v>825000</v>
      </c>
    </row>
    <row r="164" spans="1:19">
      <c r="A164" s="17"/>
      <c r="B164" s="18">
        <v>287</v>
      </c>
      <c r="C164" s="19" t="s">
        <v>1129</v>
      </c>
      <c r="D164" s="20" t="s">
        <v>1120</v>
      </c>
      <c r="E164" s="21" t="s">
        <v>9</v>
      </c>
      <c r="F164" s="22" t="s">
        <v>1692</v>
      </c>
      <c r="G164" s="23" t="s">
        <v>1693</v>
      </c>
      <c r="H164" s="24" t="s">
        <v>1130</v>
      </c>
      <c r="I164" s="19"/>
      <c r="J164" s="19" t="s">
        <v>1114</v>
      </c>
      <c r="K164" s="19"/>
      <c r="L164" s="24" t="s">
        <v>50</v>
      </c>
      <c r="M164" s="19" t="s">
        <v>1131</v>
      </c>
      <c r="N164" s="36">
        <v>44652</v>
      </c>
      <c r="O164" s="37">
        <v>254545</v>
      </c>
      <c r="P164" s="19">
        <v>2</v>
      </c>
      <c r="Q164" s="40">
        <f t="shared" si="4"/>
        <v>509090</v>
      </c>
      <c r="R164" s="40">
        <v>275000</v>
      </c>
      <c r="S164" s="40">
        <f t="shared" si="5"/>
        <v>550000</v>
      </c>
    </row>
    <row r="165" spans="1:19">
      <c r="A165" s="17"/>
      <c r="B165" s="18">
        <v>288</v>
      </c>
      <c r="C165" s="19" t="s">
        <v>1132</v>
      </c>
      <c r="D165" s="20" t="s">
        <v>1120</v>
      </c>
      <c r="E165" s="21" t="s">
        <v>9</v>
      </c>
      <c r="F165" s="22" t="s">
        <v>1692</v>
      </c>
      <c r="G165" s="23" t="s">
        <v>1693</v>
      </c>
      <c r="H165" s="24" t="s">
        <v>1133</v>
      </c>
      <c r="I165" s="19"/>
      <c r="J165" s="19" t="s">
        <v>1114</v>
      </c>
      <c r="K165" s="19"/>
      <c r="L165" s="24" t="s">
        <v>50</v>
      </c>
      <c r="M165" s="19" t="s">
        <v>1134</v>
      </c>
      <c r="N165" s="36">
        <v>44652</v>
      </c>
      <c r="O165" s="37">
        <v>254545</v>
      </c>
      <c r="P165" s="19">
        <v>4</v>
      </c>
      <c r="Q165" s="40">
        <f t="shared" si="4"/>
        <v>1018180</v>
      </c>
      <c r="R165" s="40">
        <v>275000</v>
      </c>
      <c r="S165" s="40">
        <f t="shared" si="5"/>
        <v>1100000</v>
      </c>
    </row>
    <row r="166" spans="1:19">
      <c r="A166" s="17"/>
      <c r="B166" s="18">
        <v>289</v>
      </c>
      <c r="C166" s="19" t="s">
        <v>1135</v>
      </c>
      <c r="D166" s="20" t="s">
        <v>1120</v>
      </c>
      <c r="E166" s="21" t="s">
        <v>9</v>
      </c>
      <c r="F166" s="22" t="s">
        <v>1692</v>
      </c>
      <c r="G166" s="23" t="s">
        <v>1693</v>
      </c>
      <c r="H166" s="24" t="s">
        <v>1136</v>
      </c>
      <c r="I166" s="19"/>
      <c r="J166" s="19" t="s">
        <v>1114</v>
      </c>
      <c r="K166" s="19"/>
      <c r="L166" s="24" t="s">
        <v>50</v>
      </c>
      <c r="M166" s="19" t="s">
        <v>1137</v>
      </c>
      <c r="N166" s="36">
        <v>44652</v>
      </c>
      <c r="O166" s="37">
        <v>254545</v>
      </c>
      <c r="P166" s="19">
        <v>4</v>
      </c>
      <c r="Q166" s="40">
        <f t="shared" si="4"/>
        <v>1018180</v>
      </c>
      <c r="R166" s="40">
        <v>275000</v>
      </c>
      <c r="S166" s="40">
        <f t="shared" si="5"/>
        <v>1100000</v>
      </c>
    </row>
    <row r="167" spans="1:19">
      <c r="A167" s="17"/>
      <c r="B167" s="18">
        <v>290</v>
      </c>
      <c r="C167" s="19" t="s">
        <v>1138</v>
      </c>
      <c r="D167" s="20" t="s">
        <v>1139</v>
      </c>
      <c r="E167" s="21" t="s">
        <v>9</v>
      </c>
      <c r="F167" s="22" t="s">
        <v>1692</v>
      </c>
      <c r="G167" s="23" t="s">
        <v>1693</v>
      </c>
      <c r="H167" s="24" t="s">
        <v>1140</v>
      </c>
      <c r="I167" s="19"/>
      <c r="J167" s="19" t="s">
        <v>1141</v>
      </c>
      <c r="K167" s="19"/>
      <c r="L167" s="24" t="s">
        <v>50</v>
      </c>
      <c r="M167" s="19" t="s">
        <v>1142</v>
      </c>
      <c r="N167" s="36">
        <v>44657</v>
      </c>
      <c r="O167" s="37">
        <v>254545</v>
      </c>
      <c r="P167" s="19">
        <v>4</v>
      </c>
      <c r="Q167" s="40">
        <f t="shared" si="4"/>
        <v>1018180</v>
      </c>
      <c r="R167" s="40">
        <v>275000</v>
      </c>
      <c r="S167" s="40">
        <f t="shared" si="5"/>
        <v>1100000</v>
      </c>
    </row>
    <row r="168" spans="1:19">
      <c r="A168" s="17"/>
      <c r="B168" s="18">
        <v>291</v>
      </c>
      <c r="C168" s="19" t="s">
        <v>1143</v>
      </c>
      <c r="D168" s="20" t="s">
        <v>1139</v>
      </c>
      <c r="E168" s="21" t="s">
        <v>9</v>
      </c>
      <c r="F168" s="22" t="s">
        <v>1692</v>
      </c>
      <c r="G168" s="23" t="s">
        <v>1693</v>
      </c>
      <c r="H168" s="24" t="s">
        <v>1144</v>
      </c>
      <c r="I168" s="19"/>
      <c r="J168" s="19" t="s">
        <v>1141</v>
      </c>
      <c r="K168" s="19"/>
      <c r="L168" s="24" t="s">
        <v>50</v>
      </c>
      <c r="M168" s="19" t="s">
        <v>1145</v>
      </c>
      <c r="N168" s="36">
        <v>44657</v>
      </c>
      <c r="O168" s="37">
        <v>254545</v>
      </c>
      <c r="P168" s="19">
        <v>2</v>
      </c>
      <c r="Q168" s="40">
        <f t="shared" si="4"/>
        <v>509090</v>
      </c>
      <c r="R168" s="40">
        <v>275000</v>
      </c>
      <c r="S168" s="40">
        <f t="shared" si="5"/>
        <v>550000</v>
      </c>
    </row>
    <row r="169" spans="1:19">
      <c r="A169" s="17"/>
      <c r="B169" s="18">
        <v>292</v>
      </c>
      <c r="C169" s="19" t="s">
        <v>1146</v>
      </c>
      <c r="D169" s="20" t="s">
        <v>1139</v>
      </c>
      <c r="E169" s="21" t="s">
        <v>9</v>
      </c>
      <c r="F169" s="22" t="s">
        <v>1692</v>
      </c>
      <c r="G169" s="23" t="s">
        <v>1693</v>
      </c>
      <c r="H169" s="24" t="s">
        <v>1147</v>
      </c>
      <c r="I169" s="19"/>
      <c r="J169" s="19" t="s">
        <v>1141</v>
      </c>
      <c r="K169" s="19"/>
      <c r="L169" s="24" t="s">
        <v>50</v>
      </c>
      <c r="M169" s="19" t="s">
        <v>1148</v>
      </c>
      <c r="N169" s="36">
        <v>44657</v>
      </c>
      <c r="O169" s="37">
        <v>254545</v>
      </c>
      <c r="P169" s="19">
        <v>12</v>
      </c>
      <c r="Q169" s="40">
        <f t="shared" si="4"/>
        <v>3054540</v>
      </c>
      <c r="R169" s="40">
        <v>275000</v>
      </c>
      <c r="S169" s="40">
        <f t="shared" si="5"/>
        <v>3300000</v>
      </c>
    </row>
    <row r="170" spans="1:19">
      <c r="A170" s="17"/>
      <c r="B170" s="18">
        <v>293</v>
      </c>
      <c r="C170" s="19" t="s">
        <v>1149</v>
      </c>
      <c r="D170" s="20" t="s">
        <v>1139</v>
      </c>
      <c r="E170" s="21" t="s">
        <v>9</v>
      </c>
      <c r="F170" s="22" t="s">
        <v>1692</v>
      </c>
      <c r="G170" s="23" t="s">
        <v>1693</v>
      </c>
      <c r="H170" s="24" t="s">
        <v>1150</v>
      </c>
      <c r="I170" s="19"/>
      <c r="J170" s="19" t="s">
        <v>1141</v>
      </c>
      <c r="K170" s="19"/>
      <c r="L170" s="24" t="s">
        <v>50</v>
      </c>
      <c r="M170" s="19" t="s">
        <v>1151</v>
      </c>
      <c r="N170" s="36">
        <v>44657</v>
      </c>
      <c r="O170" s="37">
        <v>254545</v>
      </c>
      <c r="P170" s="19">
        <v>3</v>
      </c>
      <c r="Q170" s="40">
        <f t="shared" si="4"/>
        <v>763635</v>
      </c>
      <c r="R170" s="40">
        <v>275000</v>
      </c>
      <c r="S170" s="40">
        <f t="shared" si="5"/>
        <v>825000</v>
      </c>
    </row>
    <row r="171" spans="1:19">
      <c r="A171" s="17"/>
      <c r="B171" s="18">
        <v>294</v>
      </c>
      <c r="C171" s="19" t="s">
        <v>1152</v>
      </c>
      <c r="D171" s="20" t="s">
        <v>1139</v>
      </c>
      <c r="E171" s="21" t="s">
        <v>9</v>
      </c>
      <c r="F171" s="22" t="s">
        <v>1692</v>
      </c>
      <c r="G171" s="23" t="s">
        <v>1693</v>
      </c>
      <c r="H171" s="24" t="s">
        <v>1153</v>
      </c>
      <c r="I171" s="19"/>
      <c r="J171" s="19" t="s">
        <v>1141</v>
      </c>
      <c r="K171" s="19"/>
      <c r="L171" s="24" t="s">
        <v>50</v>
      </c>
      <c r="M171" s="19" t="s">
        <v>1154</v>
      </c>
      <c r="N171" s="36">
        <v>44657</v>
      </c>
      <c r="O171" s="37">
        <v>254545</v>
      </c>
      <c r="P171" s="19">
        <v>8</v>
      </c>
      <c r="Q171" s="40">
        <f t="shared" si="4"/>
        <v>2036360</v>
      </c>
      <c r="R171" s="40">
        <v>275000</v>
      </c>
      <c r="S171" s="40">
        <f t="shared" si="5"/>
        <v>2200000</v>
      </c>
    </row>
    <row r="172" spans="1:19">
      <c r="A172" s="17"/>
      <c r="B172" s="18">
        <v>295</v>
      </c>
      <c r="C172" s="19" t="s">
        <v>1155</v>
      </c>
      <c r="D172" s="20" t="s">
        <v>1139</v>
      </c>
      <c r="E172" s="21" t="s">
        <v>9</v>
      </c>
      <c r="F172" s="22" t="s">
        <v>1692</v>
      </c>
      <c r="G172" s="23" t="s">
        <v>1693</v>
      </c>
      <c r="H172" s="24" t="s">
        <v>1156</v>
      </c>
      <c r="I172" s="19"/>
      <c r="J172" s="19" t="s">
        <v>1141</v>
      </c>
      <c r="K172" s="19"/>
      <c r="L172" s="24" t="s">
        <v>50</v>
      </c>
      <c r="M172" s="19" t="s">
        <v>1157</v>
      </c>
      <c r="N172" s="36">
        <v>44657</v>
      </c>
      <c r="O172" s="37">
        <v>254545</v>
      </c>
      <c r="P172" s="19">
        <v>1</v>
      </c>
      <c r="Q172" s="40">
        <f t="shared" si="4"/>
        <v>254545</v>
      </c>
      <c r="R172" s="40">
        <v>275000</v>
      </c>
      <c r="S172" s="40">
        <f t="shared" si="5"/>
        <v>275000</v>
      </c>
    </row>
    <row r="173" spans="1:19">
      <c r="A173" s="17"/>
      <c r="B173" s="18">
        <v>296</v>
      </c>
      <c r="C173" s="19" t="s">
        <v>1158</v>
      </c>
      <c r="D173" s="20" t="s">
        <v>1139</v>
      </c>
      <c r="E173" s="21" t="s">
        <v>9</v>
      </c>
      <c r="F173" s="22" t="s">
        <v>1692</v>
      </c>
      <c r="G173" s="23" t="s">
        <v>1693</v>
      </c>
      <c r="H173" s="24" t="s">
        <v>1159</v>
      </c>
      <c r="I173" s="19"/>
      <c r="J173" s="19" t="s">
        <v>1141</v>
      </c>
      <c r="K173" s="19"/>
      <c r="L173" s="24" t="s">
        <v>50</v>
      </c>
      <c r="M173" s="19" t="s">
        <v>1160</v>
      </c>
      <c r="N173" s="36">
        <v>44657</v>
      </c>
      <c r="O173" s="37">
        <v>254545</v>
      </c>
      <c r="P173" s="19">
        <v>1</v>
      </c>
      <c r="Q173" s="40">
        <f t="shared" si="4"/>
        <v>254545</v>
      </c>
      <c r="R173" s="40">
        <v>275000</v>
      </c>
      <c r="S173" s="40">
        <f t="shared" si="5"/>
        <v>275000</v>
      </c>
    </row>
    <row r="174" spans="1:19">
      <c r="A174" s="17"/>
      <c r="B174" s="18">
        <v>297</v>
      </c>
      <c r="C174" s="19" t="s">
        <v>1161</v>
      </c>
      <c r="D174" s="20" t="s">
        <v>1139</v>
      </c>
      <c r="E174" s="21" t="s">
        <v>9</v>
      </c>
      <c r="F174" s="22" t="s">
        <v>1692</v>
      </c>
      <c r="G174" s="23" t="s">
        <v>1693</v>
      </c>
      <c r="H174" s="24" t="s">
        <v>1162</v>
      </c>
      <c r="I174" s="19"/>
      <c r="J174" s="19" t="s">
        <v>1141</v>
      </c>
      <c r="K174" s="19"/>
      <c r="L174" s="24" t="s">
        <v>50</v>
      </c>
      <c r="M174" s="19" t="s">
        <v>1163</v>
      </c>
      <c r="N174" s="36">
        <v>44657</v>
      </c>
      <c r="O174" s="37">
        <v>254545</v>
      </c>
      <c r="P174" s="19">
        <v>1</v>
      </c>
      <c r="Q174" s="40">
        <f t="shared" si="4"/>
        <v>254545</v>
      </c>
      <c r="R174" s="40">
        <v>275000</v>
      </c>
      <c r="S174" s="40">
        <f t="shared" si="5"/>
        <v>275000</v>
      </c>
    </row>
    <row r="175" spans="1:19">
      <c r="A175" s="17"/>
      <c r="B175" s="18">
        <v>298</v>
      </c>
      <c r="C175" s="19" t="s">
        <v>1164</v>
      </c>
      <c r="D175" s="20" t="s">
        <v>1165</v>
      </c>
      <c r="E175" s="21" t="s">
        <v>11</v>
      </c>
      <c r="F175" s="22" t="s">
        <v>1696</v>
      </c>
      <c r="G175" s="32" t="s">
        <v>1697</v>
      </c>
      <c r="H175" s="24" t="s">
        <v>733</v>
      </c>
      <c r="I175" s="19"/>
      <c r="J175" s="19" t="s">
        <v>1166</v>
      </c>
      <c r="K175" s="19"/>
      <c r="L175" s="24" t="s">
        <v>85</v>
      </c>
      <c r="M175" s="19" t="s">
        <v>1167</v>
      </c>
      <c r="N175" s="36">
        <v>44657</v>
      </c>
      <c r="O175" s="37">
        <v>222727</v>
      </c>
      <c r="P175" s="19">
        <v>5</v>
      </c>
      <c r="Q175" s="40">
        <f t="shared" si="4"/>
        <v>1113635</v>
      </c>
      <c r="R175" s="40">
        <v>279091</v>
      </c>
      <c r="S175" s="40">
        <f t="shared" si="5"/>
        <v>1395455</v>
      </c>
    </row>
    <row r="176" spans="1:19">
      <c r="A176" s="17"/>
      <c r="B176" s="18">
        <v>299</v>
      </c>
      <c r="C176" s="19" t="s">
        <v>1168</v>
      </c>
      <c r="D176" s="20" t="s">
        <v>1169</v>
      </c>
      <c r="E176" s="21" t="s">
        <v>9</v>
      </c>
      <c r="F176" s="22" t="s">
        <v>1692</v>
      </c>
      <c r="G176" s="23" t="s">
        <v>1693</v>
      </c>
      <c r="H176" s="24" t="s">
        <v>1170</v>
      </c>
      <c r="I176" s="19"/>
      <c r="J176" s="19" t="s">
        <v>801</v>
      </c>
      <c r="K176" s="19"/>
      <c r="L176" s="24" t="s">
        <v>50</v>
      </c>
      <c r="M176" s="19" t="s">
        <v>1171</v>
      </c>
      <c r="N176" s="36">
        <v>44659</v>
      </c>
      <c r="O176" s="37">
        <v>254545</v>
      </c>
      <c r="P176" s="19">
        <v>4</v>
      </c>
      <c r="Q176" s="40">
        <f t="shared" si="4"/>
        <v>1018180</v>
      </c>
      <c r="R176" s="40">
        <v>275000</v>
      </c>
      <c r="S176" s="40">
        <f t="shared" si="5"/>
        <v>1100000</v>
      </c>
    </row>
    <row r="177" spans="1:19">
      <c r="A177" s="17"/>
      <c r="B177" s="18">
        <v>300</v>
      </c>
      <c r="C177" s="19" t="s">
        <v>1172</v>
      </c>
      <c r="D177" s="20" t="s">
        <v>1169</v>
      </c>
      <c r="E177" s="21" t="s">
        <v>9</v>
      </c>
      <c r="F177" s="22" t="s">
        <v>1692</v>
      </c>
      <c r="G177" s="23" t="s">
        <v>1693</v>
      </c>
      <c r="H177" s="24" t="s">
        <v>1173</v>
      </c>
      <c r="I177" s="19"/>
      <c r="J177" s="19" t="s">
        <v>801</v>
      </c>
      <c r="K177" s="19"/>
      <c r="L177" s="24" t="s">
        <v>50</v>
      </c>
      <c r="M177" s="19" t="s">
        <v>1174</v>
      </c>
      <c r="N177" s="36">
        <v>44659</v>
      </c>
      <c r="O177" s="37">
        <v>254545</v>
      </c>
      <c r="P177" s="19">
        <v>4</v>
      </c>
      <c r="Q177" s="40">
        <f t="shared" si="4"/>
        <v>1018180</v>
      </c>
      <c r="R177" s="40">
        <v>275000</v>
      </c>
      <c r="S177" s="40">
        <f t="shared" si="5"/>
        <v>1100000</v>
      </c>
    </row>
    <row r="178" spans="1:19">
      <c r="A178" s="17"/>
      <c r="B178" s="18">
        <v>301</v>
      </c>
      <c r="C178" s="19" t="s">
        <v>1175</v>
      </c>
      <c r="D178" s="20" t="s">
        <v>1169</v>
      </c>
      <c r="E178" s="21" t="s">
        <v>9</v>
      </c>
      <c r="F178" s="22" t="s">
        <v>1692</v>
      </c>
      <c r="G178" s="23" t="s">
        <v>1693</v>
      </c>
      <c r="H178" s="24" t="s">
        <v>1176</v>
      </c>
      <c r="I178" s="19"/>
      <c r="J178" s="19" t="s">
        <v>801</v>
      </c>
      <c r="K178" s="19"/>
      <c r="L178" s="24" t="s">
        <v>50</v>
      </c>
      <c r="M178" s="19" t="s">
        <v>1177</v>
      </c>
      <c r="N178" s="36">
        <v>44659</v>
      </c>
      <c r="O178" s="37">
        <v>254545</v>
      </c>
      <c r="P178" s="19">
        <v>8</v>
      </c>
      <c r="Q178" s="40">
        <f t="shared" si="4"/>
        <v>2036360</v>
      </c>
      <c r="R178" s="40">
        <v>275000</v>
      </c>
      <c r="S178" s="40">
        <f t="shared" si="5"/>
        <v>2200000</v>
      </c>
    </row>
    <row r="179" spans="1:19">
      <c r="A179" s="17"/>
      <c r="B179" s="18">
        <v>302</v>
      </c>
      <c r="C179" s="19" t="s">
        <v>1178</v>
      </c>
      <c r="D179" s="20" t="s">
        <v>1169</v>
      </c>
      <c r="E179" s="21" t="s">
        <v>9</v>
      </c>
      <c r="F179" s="22" t="s">
        <v>1692</v>
      </c>
      <c r="G179" s="23" t="s">
        <v>1693</v>
      </c>
      <c r="H179" s="24" t="s">
        <v>1179</v>
      </c>
      <c r="I179" s="19"/>
      <c r="J179" s="19" t="s">
        <v>801</v>
      </c>
      <c r="K179" s="19"/>
      <c r="L179" s="24" t="s">
        <v>50</v>
      </c>
      <c r="M179" s="19" t="s">
        <v>1180</v>
      </c>
      <c r="N179" s="36">
        <v>44659</v>
      </c>
      <c r="O179" s="37">
        <v>254545</v>
      </c>
      <c r="P179" s="19">
        <v>5</v>
      </c>
      <c r="Q179" s="40">
        <f t="shared" si="4"/>
        <v>1272725</v>
      </c>
      <c r="R179" s="40">
        <v>275000</v>
      </c>
      <c r="S179" s="40">
        <f t="shared" si="5"/>
        <v>1375000</v>
      </c>
    </row>
    <row r="180" spans="1:19">
      <c r="A180" s="17"/>
      <c r="B180" s="18">
        <v>303</v>
      </c>
      <c r="C180" s="19" t="s">
        <v>1181</v>
      </c>
      <c r="D180" s="20" t="s">
        <v>1169</v>
      </c>
      <c r="E180" s="21" t="s">
        <v>9</v>
      </c>
      <c r="F180" s="22" t="s">
        <v>1692</v>
      </c>
      <c r="G180" s="23" t="s">
        <v>1693</v>
      </c>
      <c r="H180" s="24" t="s">
        <v>1182</v>
      </c>
      <c r="I180" s="19"/>
      <c r="J180" s="19" t="s">
        <v>801</v>
      </c>
      <c r="K180" s="19"/>
      <c r="L180" s="24" t="s">
        <v>50</v>
      </c>
      <c r="M180" s="19" t="s">
        <v>1183</v>
      </c>
      <c r="N180" s="36">
        <v>44659</v>
      </c>
      <c r="O180" s="37">
        <v>254545</v>
      </c>
      <c r="P180" s="19">
        <v>4</v>
      </c>
      <c r="Q180" s="40">
        <f t="shared" si="4"/>
        <v>1018180</v>
      </c>
      <c r="R180" s="40">
        <v>275000</v>
      </c>
      <c r="S180" s="40">
        <f t="shared" si="5"/>
        <v>1100000</v>
      </c>
    </row>
    <row r="181" spans="1:19">
      <c r="A181" s="17"/>
      <c r="B181" s="18">
        <v>304</v>
      </c>
      <c r="C181" s="19" t="s">
        <v>1184</v>
      </c>
      <c r="D181" s="20" t="s">
        <v>1169</v>
      </c>
      <c r="E181" s="21" t="s">
        <v>9</v>
      </c>
      <c r="F181" s="22" t="s">
        <v>1692</v>
      </c>
      <c r="G181" s="23" t="s">
        <v>1693</v>
      </c>
      <c r="H181" s="24" t="s">
        <v>999</v>
      </c>
      <c r="I181" s="19"/>
      <c r="J181" s="19" t="s">
        <v>801</v>
      </c>
      <c r="K181" s="19"/>
      <c r="L181" s="24" t="s">
        <v>50</v>
      </c>
      <c r="M181" s="19" t="s">
        <v>1185</v>
      </c>
      <c r="N181" s="36">
        <v>44659</v>
      </c>
      <c r="O181" s="37">
        <v>254545</v>
      </c>
      <c r="P181" s="19">
        <v>1</v>
      </c>
      <c r="Q181" s="40">
        <f>O181*P181</f>
        <v>254545</v>
      </c>
      <c r="R181" s="40">
        <v>275000</v>
      </c>
      <c r="S181" s="40">
        <f t="shared" si="5"/>
        <v>275000</v>
      </c>
    </row>
    <row r="182" spans="1:19">
      <c r="A182" s="17"/>
      <c r="B182" s="18">
        <v>305</v>
      </c>
      <c r="C182" s="19" t="s">
        <v>1186</v>
      </c>
      <c r="D182" s="20" t="s">
        <v>1187</v>
      </c>
      <c r="E182" s="21" t="s">
        <v>11</v>
      </c>
      <c r="F182" s="22" t="s">
        <v>1696</v>
      </c>
      <c r="G182" s="32" t="s">
        <v>1697</v>
      </c>
      <c r="H182" s="24" t="s">
        <v>1188</v>
      </c>
      <c r="I182" s="19"/>
      <c r="J182" s="19" t="s">
        <v>801</v>
      </c>
      <c r="K182" s="19"/>
      <c r="L182" s="24" t="s">
        <v>50</v>
      </c>
      <c r="M182" s="19" t="s">
        <v>1189</v>
      </c>
      <c r="N182" s="36">
        <v>44662</v>
      </c>
      <c r="O182" s="37">
        <v>444545</v>
      </c>
      <c r="P182" s="19">
        <v>2</v>
      </c>
      <c r="Q182" s="40">
        <f t="shared" ref="Q182:Q208" si="6">O182*P182</f>
        <v>889090</v>
      </c>
      <c r="R182" s="40">
        <v>556363.63</v>
      </c>
      <c r="S182" s="40">
        <f t="shared" si="5"/>
        <v>1112727.26</v>
      </c>
    </row>
    <row r="183" spans="1:19">
      <c r="A183" s="17"/>
      <c r="B183" s="18">
        <v>306</v>
      </c>
      <c r="C183" s="19" t="s">
        <v>1186</v>
      </c>
      <c r="D183" s="20" t="s">
        <v>1187</v>
      </c>
      <c r="E183" s="21" t="s">
        <v>11</v>
      </c>
      <c r="F183" s="22" t="s">
        <v>1696</v>
      </c>
      <c r="G183" s="32" t="s">
        <v>1697</v>
      </c>
      <c r="H183" s="24" t="s">
        <v>1188</v>
      </c>
      <c r="I183" s="19"/>
      <c r="J183" s="19" t="s">
        <v>1190</v>
      </c>
      <c r="K183" s="19"/>
      <c r="L183" s="24" t="s">
        <v>50</v>
      </c>
      <c r="M183" s="19" t="s">
        <v>1191</v>
      </c>
      <c r="N183" s="36">
        <v>44662</v>
      </c>
      <c r="O183" s="37">
        <v>444545</v>
      </c>
      <c r="P183" s="19">
        <v>5</v>
      </c>
      <c r="Q183" s="40">
        <f t="shared" si="6"/>
        <v>2222725</v>
      </c>
      <c r="R183" s="40">
        <v>556363.63</v>
      </c>
      <c r="S183" s="40">
        <f t="shared" si="5"/>
        <v>2781818.15</v>
      </c>
    </row>
    <row r="184" spans="1:19">
      <c r="A184" s="17"/>
      <c r="B184" s="18">
        <v>307</v>
      </c>
      <c r="C184" s="19" t="s">
        <v>1186</v>
      </c>
      <c r="D184" s="20" t="s">
        <v>1187</v>
      </c>
      <c r="E184" s="21" t="s">
        <v>11</v>
      </c>
      <c r="F184" s="22" t="s">
        <v>1696</v>
      </c>
      <c r="G184" s="32" t="s">
        <v>1697</v>
      </c>
      <c r="H184" s="24" t="s">
        <v>1188</v>
      </c>
      <c r="I184" s="19"/>
      <c r="J184" s="19" t="s">
        <v>1192</v>
      </c>
      <c r="K184" s="19"/>
      <c r="L184" s="24" t="s">
        <v>50</v>
      </c>
      <c r="M184" s="19" t="s">
        <v>1193</v>
      </c>
      <c r="N184" s="36">
        <v>44662</v>
      </c>
      <c r="O184" s="37">
        <v>444545</v>
      </c>
      <c r="P184" s="19">
        <v>5</v>
      </c>
      <c r="Q184" s="40">
        <f t="shared" si="6"/>
        <v>2222725</v>
      </c>
      <c r="R184" s="40">
        <v>556363.63</v>
      </c>
      <c r="S184" s="40">
        <f t="shared" si="5"/>
        <v>2781818.15</v>
      </c>
    </row>
    <row r="185" spans="1:19">
      <c r="A185" s="17"/>
      <c r="B185" s="18">
        <v>308</v>
      </c>
      <c r="C185" s="19" t="s">
        <v>1194</v>
      </c>
      <c r="D185" s="20" t="s">
        <v>1195</v>
      </c>
      <c r="E185" s="21" t="s">
        <v>9</v>
      </c>
      <c r="F185" s="22" t="s">
        <v>1692</v>
      </c>
      <c r="G185" s="23" t="s">
        <v>1693</v>
      </c>
      <c r="H185" s="24" t="s">
        <v>1196</v>
      </c>
      <c r="I185" s="19"/>
      <c r="J185" s="19" t="s">
        <v>1197</v>
      </c>
      <c r="K185" s="19"/>
      <c r="L185" s="24" t="s">
        <v>50</v>
      </c>
      <c r="M185" s="19" t="s">
        <v>1198</v>
      </c>
      <c r="N185" s="36">
        <v>44663</v>
      </c>
      <c r="O185" s="37">
        <v>254545</v>
      </c>
      <c r="P185" s="19">
        <v>1</v>
      </c>
      <c r="Q185" s="40">
        <f t="shared" si="6"/>
        <v>254545</v>
      </c>
      <c r="R185" s="40">
        <v>275000</v>
      </c>
      <c r="S185" s="40">
        <f t="shared" si="5"/>
        <v>275000</v>
      </c>
    </row>
    <row r="186" spans="1:19">
      <c r="A186" s="17"/>
      <c r="B186" s="18">
        <v>309</v>
      </c>
      <c r="C186" s="19" t="s">
        <v>1199</v>
      </c>
      <c r="D186" s="20" t="s">
        <v>1195</v>
      </c>
      <c r="E186" s="21" t="s">
        <v>9</v>
      </c>
      <c r="F186" s="22" t="s">
        <v>1692</v>
      </c>
      <c r="G186" s="23" t="s">
        <v>1693</v>
      </c>
      <c r="H186" s="24" t="s">
        <v>1063</v>
      </c>
      <c r="I186" s="19"/>
      <c r="J186" s="19" t="s">
        <v>1197</v>
      </c>
      <c r="K186" s="19"/>
      <c r="L186" s="24" t="s">
        <v>50</v>
      </c>
      <c r="M186" s="19" t="s">
        <v>1200</v>
      </c>
      <c r="N186" s="36">
        <v>44663</v>
      </c>
      <c r="O186" s="37">
        <v>254545</v>
      </c>
      <c r="P186" s="19">
        <v>1</v>
      </c>
      <c r="Q186" s="40">
        <f t="shared" si="6"/>
        <v>254545</v>
      </c>
      <c r="R186" s="40">
        <v>275000</v>
      </c>
      <c r="S186" s="40">
        <f t="shared" si="5"/>
        <v>275000</v>
      </c>
    </row>
    <row r="187" spans="1:19">
      <c r="A187" s="17"/>
      <c r="B187" s="18">
        <v>310</v>
      </c>
      <c r="C187" s="19" t="s">
        <v>1201</v>
      </c>
      <c r="D187" s="20" t="s">
        <v>1202</v>
      </c>
      <c r="E187" s="21" t="s">
        <v>9</v>
      </c>
      <c r="F187" s="22" t="s">
        <v>1692</v>
      </c>
      <c r="G187" s="23" t="s">
        <v>1693</v>
      </c>
      <c r="H187" s="24" t="s">
        <v>1203</v>
      </c>
      <c r="I187" s="19"/>
      <c r="J187" s="19" t="s">
        <v>1204</v>
      </c>
      <c r="K187" s="19"/>
      <c r="L187" s="24" t="s">
        <v>50</v>
      </c>
      <c r="M187" s="19" t="s">
        <v>1205</v>
      </c>
      <c r="N187" s="36">
        <v>44669</v>
      </c>
      <c r="O187" s="37">
        <v>254545</v>
      </c>
      <c r="P187" s="19">
        <v>1</v>
      </c>
      <c r="Q187" s="40">
        <f t="shared" si="6"/>
        <v>254545</v>
      </c>
      <c r="R187" s="40">
        <v>275000</v>
      </c>
      <c r="S187" s="40">
        <f t="shared" si="5"/>
        <v>275000</v>
      </c>
    </row>
    <row r="188" spans="1:19">
      <c r="A188" s="17"/>
      <c r="B188" s="18">
        <v>311</v>
      </c>
      <c r="C188" s="19" t="s">
        <v>1206</v>
      </c>
      <c r="D188" s="20" t="s">
        <v>1202</v>
      </c>
      <c r="E188" s="21" t="s">
        <v>9</v>
      </c>
      <c r="F188" s="22" t="s">
        <v>1692</v>
      </c>
      <c r="G188" s="23" t="s">
        <v>1693</v>
      </c>
      <c r="H188" s="24" t="s">
        <v>1207</v>
      </c>
      <c r="I188" s="19"/>
      <c r="J188" s="19" t="s">
        <v>1204</v>
      </c>
      <c r="K188" s="19"/>
      <c r="L188" s="24" t="s">
        <v>50</v>
      </c>
      <c r="M188" s="19" t="s">
        <v>1208</v>
      </c>
      <c r="N188" s="36">
        <v>44669</v>
      </c>
      <c r="O188" s="37">
        <v>254545</v>
      </c>
      <c r="P188" s="19">
        <v>9</v>
      </c>
      <c r="Q188" s="40">
        <f t="shared" si="6"/>
        <v>2290905</v>
      </c>
      <c r="R188" s="40">
        <v>275000</v>
      </c>
      <c r="S188" s="40">
        <f t="shared" si="5"/>
        <v>2475000</v>
      </c>
    </row>
    <row r="189" spans="1:19">
      <c r="A189" s="17"/>
      <c r="B189" s="18">
        <v>312</v>
      </c>
      <c r="C189" s="19" t="s">
        <v>1209</v>
      </c>
      <c r="D189" s="20" t="s">
        <v>1202</v>
      </c>
      <c r="E189" s="21" t="s">
        <v>9</v>
      </c>
      <c r="F189" s="22" t="s">
        <v>1692</v>
      </c>
      <c r="G189" s="23" t="s">
        <v>1693</v>
      </c>
      <c r="H189" s="24" t="s">
        <v>1210</v>
      </c>
      <c r="I189" s="19"/>
      <c r="J189" s="19" t="s">
        <v>1204</v>
      </c>
      <c r="K189" s="19"/>
      <c r="L189" s="24" t="s">
        <v>50</v>
      </c>
      <c r="M189" s="19" t="s">
        <v>1211</v>
      </c>
      <c r="N189" s="36">
        <v>44669</v>
      </c>
      <c r="O189" s="37">
        <v>254545</v>
      </c>
      <c r="P189" s="19">
        <v>2</v>
      </c>
      <c r="Q189" s="40">
        <f t="shared" si="6"/>
        <v>509090</v>
      </c>
      <c r="R189" s="40">
        <v>275000</v>
      </c>
      <c r="S189" s="40">
        <f t="shared" si="5"/>
        <v>550000</v>
      </c>
    </row>
    <row r="190" spans="1:19">
      <c r="A190" s="17"/>
      <c r="B190" s="18">
        <v>313</v>
      </c>
      <c r="C190" s="19" t="s">
        <v>1212</v>
      </c>
      <c r="D190" s="20" t="s">
        <v>1213</v>
      </c>
      <c r="E190" s="21" t="s">
        <v>9</v>
      </c>
      <c r="F190" s="22" t="s">
        <v>1692</v>
      </c>
      <c r="G190" s="23" t="s">
        <v>1693</v>
      </c>
      <c r="H190" s="24" t="s">
        <v>1214</v>
      </c>
      <c r="I190" s="19"/>
      <c r="J190" s="19" t="s">
        <v>1215</v>
      </c>
      <c r="K190" s="19"/>
      <c r="L190" s="24" t="s">
        <v>50</v>
      </c>
      <c r="M190" s="19" t="s">
        <v>1216</v>
      </c>
      <c r="N190" s="36">
        <v>44676</v>
      </c>
      <c r="O190" s="37">
        <v>254545</v>
      </c>
      <c r="P190" s="19">
        <v>2</v>
      </c>
      <c r="Q190" s="40">
        <f t="shared" si="6"/>
        <v>509090</v>
      </c>
      <c r="R190" s="40">
        <v>275000</v>
      </c>
      <c r="S190" s="40">
        <f t="shared" si="5"/>
        <v>550000</v>
      </c>
    </row>
    <row r="191" spans="1:19">
      <c r="A191" s="17"/>
      <c r="B191" s="18">
        <v>314</v>
      </c>
      <c r="C191" s="19" t="s">
        <v>1217</v>
      </c>
      <c r="D191" s="20" t="s">
        <v>1213</v>
      </c>
      <c r="E191" s="21" t="s">
        <v>9</v>
      </c>
      <c r="F191" s="22" t="s">
        <v>1692</v>
      </c>
      <c r="G191" s="23" t="s">
        <v>1693</v>
      </c>
      <c r="H191" s="24" t="s">
        <v>1218</v>
      </c>
      <c r="I191" s="19"/>
      <c r="J191" s="19" t="s">
        <v>1215</v>
      </c>
      <c r="K191" s="19"/>
      <c r="L191" s="24" t="s">
        <v>50</v>
      </c>
      <c r="M191" s="19" t="s">
        <v>1219</v>
      </c>
      <c r="N191" s="36">
        <v>44676</v>
      </c>
      <c r="O191" s="37">
        <v>254545</v>
      </c>
      <c r="P191" s="19">
        <v>2</v>
      </c>
      <c r="Q191" s="40">
        <f t="shared" si="6"/>
        <v>509090</v>
      </c>
      <c r="R191" s="40">
        <v>275000</v>
      </c>
      <c r="S191" s="40">
        <f t="shared" si="5"/>
        <v>550000</v>
      </c>
    </row>
    <row r="192" spans="1:19">
      <c r="A192" s="17"/>
      <c r="B192" s="18">
        <v>315</v>
      </c>
      <c r="C192" s="19" t="s">
        <v>1220</v>
      </c>
      <c r="D192" s="20" t="s">
        <v>1213</v>
      </c>
      <c r="E192" s="21" t="s">
        <v>9</v>
      </c>
      <c r="F192" s="22" t="s">
        <v>1692</v>
      </c>
      <c r="G192" s="23" t="s">
        <v>1693</v>
      </c>
      <c r="H192" s="24" t="s">
        <v>445</v>
      </c>
      <c r="I192" s="19"/>
      <c r="J192" s="19" t="s">
        <v>1221</v>
      </c>
      <c r="K192" s="19"/>
      <c r="L192" s="24" t="s">
        <v>50</v>
      </c>
      <c r="M192" s="19" t="s">
        <v>1222</v>
      </c>
      <c r="N192" s="36">
        <v>44676</v>
      </c>
      <c r="O192" s="37">
        <v>254545</v>
      </c>
      <c r="P192" s="19">
        <v>1</v>
      </c>
      <c r="Q192" s="40">
        <f t="shared" si="6"/>
        <v>254545</v>
      </c>
      <c r="R192" s="40">
        <v>275000</v>
      </c>
      <c r="S192" s="40">
        <f t="shared" si="5"/>
        <v>275000</v>
      </c>
    </row>
    <row r="193" spans="1:19">
      <c r="A193" s="17"/>
      <c r="B193" s="18">
        <v>316</v>
      </c>
      <c r="C193" s="25" t="s">
        <v>1223</v>
      </c>
      <c r="D193" s="26" t="s">
        <v>1224</v>
      </c>
      <c r="E193" s="27" t="s">
        <v>9</v>
      </c>
      <c r="F193" s="28" t="s">
        <v>1692</v>
      </c>
      <c r="G193" s="29" t="s">
        <v>1693</v>
      </c>
      <c r="H193" s="30" t="s">
        <v>665</v>
      </c>
      <c r="I193" s="25"/>
      <c r="J193" s="25" t="s">
        <v>1225</v>
      </c>
      <c r="K193" s="25"/>
      <c r="L193" s="30" t="s">
        <v>50</v>
      </c>
      <c r="M193" s="25" t="s">
        <v>1226</v>
      </c>
      <c r="N193" s="38">
        <v>44690</v>
      </c>
      <c r="O193" s="39">
        <v>254545</v>
      </c>
      <c r="P193" s="25">
        <v>2</v>
      </c>
      <c r="Q193" s="41">
        <f t="shared" si="6"/>
        <v>509090</v>
      </c>
      <c r="R193" s="41">
        <v>275000</v>
      </c>
      <c r="S193" s="41">
        <f t="shared" si="5"/>
        <v>550000</v>
      </c>
    </row>
    <row r="194" spans="1:19">
      <c r="A194" s="17"/>
      <c r="B194" s="18">
        <v>317</v>
      </c>
      <c r="C194" s="25" t="s">
        <v>1227</v>
      </c>
      <c r="D194" s="26" t="s">
        <v>1224</v>
      </c>
      <c r="E194" s="27" t="s">
        <v>9</v>
      </c>
      <c r="F194" s="28" t="s">
        <v>1692</v>
      </c>
      <c r="G194" s="29" t="s">
        <v>1693</v>
      </c>
      <c r="H194" s="30" t="s">
        <v>1228</v>
      </c>
      <c r="I194" s="25"/>
      <c r="J194" s="25" t="s">
        <v>1225</v>
      </c>
      <c r="K194" s="25"/>
      <c r="L194" s="30" t="s">
        <v>50</v>
      </c>
      <c r="M194" s="25" t="s">
        <v>1229</v>
      </c>
      <c r="N194" s="38">
        <v>44690</v>
      </c>
      <c r="O194" s="39">
        <v>254545</v>
      </c>
      <c r="P194" s="25">
        <v>3</v>
      </c>
      <c r="Q194" s="41">
        <f t="shared" si="6"/>
        <v>763635</v>
      </c>
      <c r="R194" s="41">
        <v>275000</v>
      </c>
      <c r="S194" s="41">
        <f t="shared" si="5"/>
        <v>825000</v>
      </c>
    </row>
    <row r="195" spans="1:19">
      <c r="A195" s="17"/>
      <c r="B195" s="18">
        <v>318</v>
      </c>
      <c r="C195" s="25" t="s">
        <v>1230</v>
      </c>
      <c r="D195" s="26" t="s">
        <v>1231</v>
      </c>
      <c r="E195" s="27" t="s">
        <v>11</v>
      </c>
      <c r="F195" s="28" t="s">
        <v>1696</v>
      </c>
      <c r="G195" s="31" t="s">
        <v>1697</v>
      </c>
      <c r="H195" s="30" t="s">
        <v>6</v>
      </c>
      <c r="I195" s="25"/>
      <c r="J195" s="25" t="s">
        <v>1232</v>
      </c>
      <c r="K195" s="25"/>
      <c r="L195" s="30" t="s">
        <v>50</v>
      </c>
      <c r="M195" s="25" t="s">
        <v>1233</v>
      </c>
      <c r="N195" s="38">
        <v>44690</v>
      </c>
      <c r="O195" s="39">
        <v>184875</v>
      </c>
      <c r="P195" s="25">
        <v>3</v>
      </c>
      <c r="Q195" s="41">
        <f t="shared" si="6"/>
        <v>554625</v>
      </c>
      <c r="R195" s="41">
        <v>201682</v>
      </c>
      <c r="S195" s="41">
        <f t="shared" si="5"/>
        <v>605046</v>
      </c>
    </row>
    <row r="196" spans="1:19">
      <c r="A196" s="17"/>
      <c r="B196" s="18">
        <v>319</v>
      </c>
      <c r="C196" s="25" t="s">
        <v>1234</v>
      </c>
      <c r="D196" s="26" t="s">
        <v>1235</v>
      </c>
      <c r="E196" s="27" t="s">
        <v>9</v>
      </c>
      <c r="F196" s="28" t="s">
        <v>1692</v>
      </c>
      <c r="G196" s="29" t="s">
        <v>1693</v>
      </c>
      <c r="H196" s="30" t="s">
        <v>1047</v>
      </c>
      <c r="I196" s="25"/>
      <c r="J196" s="25" t="s">
        <v>1236</v>
      </c>
      <c r="K196" s="25"/>
      <c r="L196" s="30" t="s">
        <v>50</v>
      </c>
      <c r="M196" s="25" t="s">
        <v>1237</v>
      </c>
      <c r="N196" s="38">
        <v>44690</v>
      </c>
      <c r="O196" s="39">
        <v>254545</v>
      </c>
      <c r="P196" s="25">
        <v>1</v>
      </c>
      <c r="Q196" s="41">
        <f t="shared" si="6"/>
        <v>254545</v>
      </c>
      <c r="R196" s="41">
        <v>275000</v>
      </c>
      <c r="S196" s="41">
        <f t="shared" si="5"/>
        <v>275000</v>
      </c>
    </row>
    <row r="197" spans="1:19">
      <c r="A197" s="17"/>
      <c r="B197" s="18">
        <v>320</v>
      </c>
      <c r="C197" s="25" t="s">
        <v>1238</v>
      </c>
      <c r="D197" s="26" t="s">
        <v>1235</v>
      </c>
      <c r="E197" s="27" t="s">
        <v>9</v>
      </c>
      <c r="F197" s="28" t="s">
        <v>1692</v>
      </c>
      <c r="G197" s="29" t="s">
        <v>1693</v>
      </c>
      <c r="H197" s="30" t="s">
        <v>1173</v>
      </c>
      <c r="I197" s="25"/>
      <c r="J197" s="25" t="s">
        <v>1236</v>
      </c>
      <c r="K197" s="25"/>
      <c r="L197" s="30" t="s">
        <v>50</v>
      </c>
      <c r="M197" s="25" t="s">
        <v>1239</v>
      </c>
      <c r="N197" s="38">
        <v>44690</v>
      </c>
      <c r="O197" s="39">
        <v>254545</v>
      </c>
      <c r="P197" s="25">
        <v>2</v>
      </c>
      <c r="Q197" s="41">
        <f t="shared" si="6"/>
        <v>509090</v>
      </c>
      <c r="R197" s="41">
        <v>275000</v>
      </c>
      <c r="S197" s="41">
        <f t="shared" si="5"/>
        <v>550000</v>
      </c>
    </row>
    <row r="198" spans="1:19">
      <c r="A198" s="17"/>
      <c r="B198" s="18">
        <v>321</v>
      </c>
      <c r="C198" s="25" t="s">
        <v>1240</v>
      </c>
      <c r="D198" s="26" t="s">
        <v>1241</v>
      </c>
      <c r="E198" s="27" t="s">
        <v>9</v>
      </c>
      <c r="F198" s="28" t="s">
        <v>1692</v>
      </c>
      <c r="G198" s="29" t="s">
        <v>1693</v>
      </c>
      <c r="H198" s="30" t="s">
        <v>1242</v>
      </c>
      <c r="I198" s="25"/>
      <c r="J198" s="25" t="s">
        <v>1243</v>
      </c>
      <c r="K198" s="25"/>
      <c r="L198" s="30" t="s">
        <v>50</v>
      </c>
      <c r="M198" s="25" t="s">
        <v>1244</v>
      </c>
      <c r="N198" s="38">
        <v>44693</v>
      </c>
      <c r="O198" s="39">
        <v>254545</v>
      </c>
      <c r="P198" s="25">
        <v>1</v>
      </c>
      <c r="Q198" s="41">
        <f t="shared" si="6"/>
        <v>254545</v>
      </c>
      <c r="R198" s="41">
        <v>275000</v>
      </c>
      <c r="S198" s="41">
        <f t="shared" si="5"/>
        <v>275000</v>
      </c>
    </row>
    <row r="199" spans="1:19">
      <c r="A199" s="17"/>
      <c r="B199" s="18">
        <v>322</v>
      </c>
      <c r="C199" s="25" t="s">
        <v>1245</v>
      </c>
      <c r="D199" s="26" t="s">
        <v>1241</v>
      </c>
      <c r="E199" s="27" t="s">
        <v>9</v>
      </c>
      <c r="F199" s="28" t="s">
        <v>1692</v>
      </c>
      <c r="G199" s="29" t="s">
        <v>1693</v>
      </c>
      <c r="H199" s="30" t="s">
        <v>1246</v>
      </c>
      <c r="I199" s="25"/>
      <c r="J199" s="25" t="s">
        <v>1247</v>
      </c>
      <c r="K199" s="25"/>
      <c r="L199" s="30" t="s">
        <v>50</v>
      </c>
      <c r="M199" s="25" t="s">
        <v>1248</v>
      </c>
      <c r="N199" s="38">
        <v>44693</v>
      </c>
      <c r="O199" s="39">
        <v>254545</v>
      </c>
      <c r="P199" s="25">
        <v>1</v>
      </c>
      <c r="Q199" s="41">
        <f t="shared" si="6"/>
        <v>254545</v>
      </c>
      <c r="R199" s="41">
        <v>275000</v>
      </c>
      <c r="S199" s="41">
        <f t="shared" si="5"/>
        <v>275000</v>
      </c>
    </row>
    <row r="200" spans="1:19">
      <c r="A200" s="17"/>
      <c r="B200" s="18">
        <v>323</v>
      </c>
      <c r="C200" s="25" t="s">
        <v>1249</v>
      </c>
      <c r="D200" s="26" t="s">
        <v>1250</v>
      </c>
      <c r="E200" s="27" t="s">
        <v>9</v>
      </c>
      <c r="F200" s="28" t="s">
        <v>1692</v>
      </c>
      <c r="G200" s="29" t="s">
        <v>1693</v>
      </c>
      <c r="H200" s="30" t="s">
        <v>1251</v>
      </c>
      <c r="I200" s="25"/>
      <c r="J200" s="25" t="s">
        <v>1252</v>
      </c>
      <c r="K200" s="25"/>
      <c r="L200" s="30" t="s">
        <v>50</v>
      </c>
      <c r="M200" s="25" t="s">
        <v>1253</v>
      </c>
      <c r="N200" s="38">
        <v>44701</v>
      </c>
      <c r="O200" s="39">
        <v>254545</v>
      </c>
      <c r="P200" s="25">
        <v>1</v>
      </c>
      <c r="Q200" s="41">
        <f t="shared" si="6"/>
        <v>254545</v>
      </c>
      <c r="R200" s="41">
        <v>275000</v>
      </c>
      <c r="S200" s="41">
        <f t="shared" si="5"/>
        <v>275000</v>
      </c>
    </row>
    <row r="201" spans="1:19">
      <c r="A201" s="17"/>
      <c r="B201" s="18">
        <v>324</v>
      </c>
      <c r="C201" s="25" t="s">
        <v>1254</v>
      </c>
      <c r="D201" s="26" t="s">
        <v>1250</v>
      </c>
      <c r="E201" s="27" t="s">
        <v>9</v>
      </c>
      <c r="F201" s="28" t="s">
        <v>1692</v>
      </c>
      <c r="G201" s="29" t="s">
        <v>1693</v>
      </c>
      <c r="H201" s="30" t="s">
        <v>1255</v>
      </c>
      <c r="I201" s="25"/>
      <c r="J201" s="25" t="s">
        <v>1247</v>
      </c>
      <c r="K201" s="25"/>
      <c r="L201" s="30" t="s">
        <v>50</v>
      </c>
      <c r="M201" s="25" t="s">
        <v>1256</v>
      </c>
      <c r="N201" s="38">
        <v>44701</v>
      </c>
      <c r="O201" s="39">
        <v>254545</v>
      </c>
      <c r="P201" s="25">
        <v>3</v>
      </c>
      <c r="Q201" s="41">
        <f t="shared" si="6"/>
        <v>763635</v>
      </c>
      <c r="R201" s="41">
        <v>275000</v>
      </c>
      <c r="S201" s="41">
        <f t="shared" si="5"/>
        <v>825000</v>
      </c>
    </row>
    <row r="202" spans="1:19">
      <c r="A202" s="17"/>
      <c r="B202" s="18">
        <v>326</v>
      </c>
      <c r="C202" s="25" t="s">
        <v>1261</v>
      </c>
      <c r="D202" s="26" t="s">
        <v>1262</v>
      </c>
      <c r="E202" s="27" t="s">
        <v>9</v>
      </c>
      <c r="F202" s="28" t="s">
        <v>1692</v>
      </c>
      <c r="G202" s="29" t="s">
        <v>1693</v>
      </c>
      <c r="H202" s="30" t="s">
        <v>1263</v>
      </c>
      <c r="I202" s="25"/>
      <c r="J202" s="25" t="s">
        <v>1264</v>
      </c>
      <c r="K202" s="25"/>
      <c r="L202" s="30" t="s">
        <v>50</v>
      </c>
      <c r="M202" s="25" t="s">
        <v>1265</v>
      </c>
      <c r="N202" s="38">
        <v>44706</v>
      </c>
      <c r="O202" s="39">
        <v>254545</v>
      </c>
      <c r="P202" s="25">
        <v>6</v>
      </c>
      <c r="Q202" s="41">
        <f t="shared" si="6"/>
        <v>1527270</v>
      </c>
      <c r="R202" s="41">
        <v>275000</v>
      </c>
      <c r="S202" s="41">
        <f t="shared" si="5"/>
        <v>1650000</v>
      </c>
    </row>
    <row r="203" spans="1:19">
      <c r="A203" s="17"/>
      <c r="B203" s="18">
        <v>327</v>
      </c>
      <c r="C203" s="19" t="s">
        <v>1266</v>
      </c>
      <c r="D203" s="20" t="s">
        <v>1267</v>
      </c>
      <c r="E203" s="21" t="s">
        <v>9</v>
      </c>
      <c r="F203" s="22" t="s">
        <v>1692</v>
      </c>
      <c r="G203" s="23" t="s">
        <v>1693</v>
      </c>
      <c r="H203" s="21" t="s">
        <v>660</v>
      </c>
      <c r="I203" s="19"/>
      <c r="J203" s="19" t="s">
        <v>1268</v>
      </c>
      <c r="K203" s="19"/>
      <c r="L203" s="24" t="s">
        <v>50</v>
      </c>
      <c r="M203" s="19" t="s">
        <v>1269</v>
      </c>
      <c r="N203" s="36">
        <v>44715</v>
      </c>
      <c r="O203" s="37">
        <v>254545</v>
      </c>
      <c r="P203" s="19">
        <v>1</v>
      </c>
      <c r="Q203" s="40">
        <f t="shared" si="6"/>
        <v>254545</v>
      </c>
      <c r="R203" s="40">
        <v>275000</v>
      </c>
      <c r="S203" s="40">
        <f t="shared" si="5"/>
        <v>275000</v>
      </c>
    </row>
    <row r="204" spans="1:19">
      <c r="A204" s="17"/>
      <c r="B204" s="18">
        <v>328</v>
      </c>
      <c r="C204" s="19" t="s">
        <v>1270</v>
      </c>
      <c r="D204" s="20" t="s">
        <v>1267</v>
      </c>
      <c r="E204" s="21" t="s">
        <v>9</v>
      </c>
      <c r="F204" s="22" t="s">
        <v>1692</v>
      </c>
      <c r="G204" s="23" t="s">
        <v>1693</v>
      </c>
      <c r="H204" s="21" t="s">
        <v>1271</v>
      </c>
      <c r="I204" s="19"/>
      <c r="J204" s="19" t="s">
        <v>1272</v>
      </c>
      <c r="K204" s="19"/>
      <c r="L204" s="24" t="s">
        <v>50</v>
      </c>
      <c r="M204" s="19" t="s">
        <v>1273</v>
      </c>
      <c r="N204" s="36">
        <v>44715</v>
      </c>
      <c r="O204" s="37">
        <v>254545</v>
      </c>
      <c r="P204" s="19">
        <v>3</v>
      </c>
      <c r="Q204" s="40">
        <f t="shared" si="6"/>
        <v>763635</v>
      </c>
      <c r="R204" s="40">
        <v>275000</v>
      </c>
      <c r="S204" s="40">
        <f t="shared" si="5"/>
        <v>825000</v>
      </c>
    </row>
    <row r="205" spans="1:19">
      <c r="A205" s="17"/>
      <c r="B205" s="18">
        <v>330</v>
      </c>
      <c r="C205" s="19" t="s">
        <v>1279</v>
      </c>
      <c r="D205" s="20" t="s">
        <v>1280</v>
      </c>
      <c r="E205" s="21" t="s">
        <v>9</v>
      </c>
      <c r="F205" s="22" t="s">
        <v>1692</v>
      </c>
      <c r="G205" s="23" t="s">
        <v>1693</v>
      </c>
      <c r="H205" s="24" t="s">
        <v>1281</v>
      </c>
      <c r="I205" s="19"/>
      <c r="J205" s="19" t="s">
        <v>1282</v>
      </c>
      <c r="K205" s="19"/>
      <c r="L205" s="24" t="s">
        <v>50</v>
      </c>
      <c r="M205" s="19" t="s">
        <v>1283</v>
      </c>
      <c r="N205" s="36">
        <v>44720</v>
      </c>
      <c r="O205" s="37">
        <v>254545</v>
      </c>
      <c r="P205" s="19">
        <v>3</v>
      </c>
      <c r="Q205" s="40">
        <f t="shared" si="6"/>
        <v>763635</v>
      </c>
      <c r="R205" s="40">
        <v>275000</v>
      </c>
      <c r="S205" s="40">
        <f t="shared" si="5"/>
        <v>825000</v>
      </c>
    </row>
    <row r="206" spans="1:19">
      <c r="A206" s="17"/>
      <c r="B206" s="18">
        <v>331</v>
      </c>
      <c r="C206" s="19" t="s">
        <v>1284</v>
      </c>
      <c r="D206" s="20" t="s">
        <v>1280</v>
      </c>
      <c r="E206" s="21" t="s">
        <v>9</v>
      </c>
      <c r="F206" s="22" t="s">
        <v>1692</v>
      </c>
      <c r="G206" s="23" t="s">
        <v>1693</v>
      </c>
      <c r="H206" s="24" t="s">
        <v>1285</v>
      </c>
      <c r="I206" s="19"/>
      <c r="J206" s="19" t="s">
        <v>1286</v>
      </c>
      <c r="K206" s="19"/>
      <c r="L206" s="24" t="s">
        <v>50</v>
      </c>
      <c r="M206" s="19" t="s">
        <v>1287</v>
      </c>
      <c r="N206" s="36">
        <v>44720</v>
      </c>
      <c r="O206" s="37">
        <v>254545</v>
      </c>
      <c r="P206" s="19">
        <v>1</v>
      </c>
      <c r="Q206" s="40">
        <f t="shared" si="6"/>
        <v>254545</v>
      </c>
      <c r="R206" s="40">
        <v>275000</v>
      </c>
      <c r="S206" s="40">
        <f t="shared" si="5"/>
        <v>275000</v>
      </c>
    </row>
    <row r="207" spans="1:19">
      <c r="A207" s="17"/>
      <c r="B207" s="18">
        <v>334</v>
      </c>
      <c r="C207" s="19" t="s">
        <v>1294</v>
      </c>
      <c r="D207" s="20" t="s">
        <v>1295</v>
      </c>
      <c r="E207" s="21" t="s">
        <v>1296</v>
      </c>
      <c r="F207" s="22" t="s">
        <v>1696</v>
      </c>
      <c r="G207" s="32" t="s">
        <v>1697</v>
      </c>
      <c r="H207" s="24" t="s">
        <v>1297</v>
      </c>
      <c r="I207" s="19"/>
      <c r="J207" s="19" t="s">
        <v>1298</v>
      </c>
      <c r="K207" s="19"/>
      <c r="L207" s="24" t="s">
        <v>85</v>
      </c>
      <c r="M207" s="19" t="s">
        <v>1299</v>
      </c>
      <c r="N207" s="36">
        <v>44739</v>
      </c>
      <c r="O207" s="37">
        <v>222727</v>
      </c>
      <c r="P207" s="19">
        <v>9</v>
      </c>
      <c r="Q207" s="40">
        <f t="shared" si="6"/>
        <v>2004543</v>
      </c>
      <c r="R207" s="40">
        <v>279091</v>
      </c>
      <c r="S207" s="40">
        <f t="shared" si="5"/>
        <v>2511819</v>
      </c>
    </row>
    <row r="208" spans="1:19">
      <c r="A208" s="17"/>
      <c r="B208" s="18">
        <v>335</v>
      </c>
      <c r="C208" s="19" t="s">
        <v>1300</v>
      </c>
      <c r="D208" s="20" t="s">
        <v>1295</v>
      </c>
      <c r="E208" s="21" t="s">
        <v>1296</v>
      </c>
      <c r="F208" s="22" t="s">
        <v>1696</v>
      </c>
      <c r="G208" s="32" t="s">
        <v>1697</v>
      </c>
      <c r="H208" s="24" t="s">
        <v>733</v>
      </c>
      <c r="I208" s="19"/>
      <c r="J208" s="19" t="s">
        <v>1298</v>
      </c>
      <c r="K208" s="19"/>
      <c r="L208" s="24" t="s">
        <v>85</v>
      </c>
      <c r="M208" s="19" t="s">
        <v>1301</v>
      </c>
      <c r="N208" s="36">
        <v>44739</v>
      </c>
      <c r="O208" s="37">
        <v>222727</v>
      </c>
      <c r="P208" s="19">
        <v>6</v>
      </c>
      <c r="Q208" s="40">
        <f t="shared" si="6"/>
        <v>1336362</v>
      </c>
      <c r="R208" s="40">
        <v>279091</v>
      </c>
      <c r="S208" s="40">
        <f t="shared" si="5"/>
        <v>1674546</v>
      </c>
    </row>
    <row r="209" spans="1:19">
      <c r="A209" s="17"/>
      <c r="B209" s="18">
        <v>336</v>
      </c>
      <c r="C209" s="19" t="s">
        <v>1302</v>
      </c>
      <c r="D209" s="20" t="s">
        <v>1303</v>
      </c>
      <c r="E209" s="21" t="s">
        <v>11</v>
      </c>
      <c r="F209" s="22" t="s">
        <v>1696</v>
      </c>
      <c r="G209" s="32" t="s">
        <v>1697</v>
      </c>
      <c r="H209" s="24" t="s">
        <v>320</v>
      </c>
      <c r="I209" s="19"/>
      <c r="J209" s="19" t="s">
        <v>1304</v>
      </c>
      <c r="K209" s="19"/>
      <c r="L209" s="24" t="s">
        <v>50</v>
      </c>
      <c r="M209" s="19" t="s">
        <v>1305</v>
      </c>
      <c r="N209" s="36">
        <v>44736</v>
      </c>
      <c r="O209" s="37">
        <v>444545</v>
      </c>
      <c r="P209" s="19">
        <v>35</v>
      </c>
      <c r="Q209" s="40">
        <f t="shared" si="4"/>
        <v>15559075</v>
      </c>
      <c r="R209" s="40">
        <v>556363.63</v>
      </c>
      <c r="S209" s="40">
        <f t="shared" si="5"/>
        <v>19472727.050000001</v>
      </c>
    </row>
    <row r="210" spans="1:19">
      <c r="A210" s="17"/>
      <c r="B210" s="18">
        <v>337</v>
      </c>
      <c r="C210" s="19" t="s">
        <v>1306</v>
      </c>
      <c r="D210" s="20" t="s">
        <v>1307</v>
      </c>
      <c r="E210" s="21" t="s">
        <v>9</v>
      </c>
      <c r="F210" s="22" t="s">
        <v>1692</v>
      </c>
      <c r="G210" s="23" t="s">
        <v>1693</v>
      </c>
      <c r="H210" s="24" t="s">
        <v>1308</v>
      </c>
      <c r="I210" s="19"/>
      <c r="J210" s="19" t="s">
        <v>1309</v>
      </c>
      <c r="K210" s="19"/>
      <c r="L210" s="24" t="s">
        <v>50</v>
      </c>
      <c r="M210" s="19" t="s">
        <v>1310</v>
      </c>
      <c r="N210" s="36">
        <v>44726</v>
      </c>
      <c r="O210" s="37">
        <v>254545</v>
      </c>
      <c r="P210" s="19">
        <v>1</v>
      </c>
      <c r="Q210" s="40">
        <f t="shared" si="4"/>
        <v>254545</v>
      </c>
      <c r="R210" s="40">
        <v>275000</v>
      </c>
      <c r="S210" s="40">
        <f t="shared" si="5"/>
        <v>275000</v>
      </c>
    </row>
    <row r="211" spans="1:19">
      <c r="A211" s="17"/>
      <c r="B211" s="18">
        <v>338</v>
      </c>
      <c r="C211" s="19" t="s">
        <v>1311</v>
      </c>
      <c r="D211" s="20" t="s">
        <v>1307</v>
      </c>
      <c r="E211" s="21" t="s">
        <v>9</v>
      </c>
      <c r="F211" s="22" t="s">
        <v>1692</v>
      </c>
      <c r="G211" s="23" t="s">
        <v>1693</v>
      </c>
      <c r="H211" s="24" t="s">
        <v>1312</v>
      </c>
      <c r="I211" s="19"/>
      <c r="J211" s="19" t="s">
        <v>1309</v>
      </c>
      <c r="K211" s="19"/>
      <c r="L211" s="24" t="s">
        <v>50</v>
      </c>
      <c r="M211" s="19" t="s">
        <v>1313</v>
      </c>
      <c r="N211" s="36">
        <v>44726</v>
      </c>
      <c r="O211" s="37">
        <v>254545</v>
      </c>
      <c r="P211" s="19">
        <v>2</v>
      </c>
      <c r="Q211" s="40">
        <f t="shared" si="4"/>
        <v>509090</v>
      </c>
      <c r="R211" s="40">
        <v>275000</v>
      </c>
      <c r="S211" s="40">
        <f t="shared" si="5"/>
        <v>550000</v>
      </c>
    </row>
    <row r="212" spans="1:19">
      <c r="A212" s="17"/>
      <c r="B212" s="18">
        <v>339</v>
      </c>
      <c r="C212" s="19" t="s">
        <v>1314</v>
      </c>
      <c r="D212" s="20" t="s">
        <v>1307</v>
      </c>
      <c r="E212" s="21" t="s">
        <v>9</v>
      </c>
      <c r="F212" s="22" t="s">
        <v>1692</v>
      </c>
      <c r="G212" s="23" t="s">
        <v>1693</v>
      </c>
      <c r="H212" s="24" t="s">
        <v>1312</v>
      </c>
      <c r="I212" s="19"/>
      <c r="J212" s="19" t="s">
        <v>1309</v>
      </c>
      <c r="K212" s="19"/>
      <c r="L212" s="24" t="s">
        <v>50</v>
      </c>
      <c r="M212" s="19" t="s">
        <v>1315</v>
      </c>
      <c r="N212" s="36">
        <v>44726</v>
      </c>
      <c r="O212" s="37">
        <v>254545</v>
      </c>
      <c r="P212" s="19">
        <v>1</v>
      </c>
      <c r="Q212" s="40">
        <f t="shared" si="4"/>
        <v>254545</v>
      </c>
      <c r="R212" s="40">
        <v>275000</v>
      </c>
      <c r="S212" s="40">
        <f t="shared" si="5"/>
        <v>275000</v>
      </c>
    </row>
    <row r="213" spans="1:19">
      <c r="A213" s="17"/>
      <c r="B213" s="18">
        <v>340</v>
      </c>
      <c r="C213" s="19" t="s">
        <v>1316</v>
      </c>
      <c r="D213" s="20" t="s">
        <v>1317</v>
      </c>
      <c r="E213" s="21" t="s">
        <v>9</v>
      </c>
      <c r="F213" s="22" t="s">
        <v>1692</v>
      </c>
      <c r="G213" s="23" t="s">
        <v>1693</v>
      </c>
      <c r="H213" s="24" t="s">
        <v>1312</v>
      </c>
      <c r="I213" s="19"/>
      <c r="J213" s="19" t="s">
        <v>1318</v>
      </c>
      <c r="K213" s="19"/>
      <c r="L213" s="24" t="s">
        <v>50</v>
      </c>
      <c r="M213" s="19" t="s">
        <v>1319</v>
      </c>
      <c r="N213" s="36">
        <v>44728</v>
      </c>
      <c r="O213" s="37">
        <v>254545</v>
      </c>
      <c r="P213" s="19">
        <v>5</v>
      </c>
      <c r="Q213" s="40">
        <f t="shared" si="4"/>
        <v>1272725</v>
      </c>
      <c r="R213" s="40">
        <v>275000</v>
      </c>
      <c r="S213" s="40">
        <f t="shared" si="5"/>
        <v>1375000</v>
      </c>
    </row>
    <row r="214" spans="1:19">
      <c r="A214" s="17"/>
      <c r="B214" s="18">
        <v>341</v>
      </c>
      <c r="C214" s="19" t="s">
        <v>1320</v>
      </c>
      <c r="D214" s="20">
        <v>82472</v>
      </c>
      <c r="E214" s="21" t="s">
        <v>17</v>
      </c>
      <c r="F214" s="22" t="s">
        <v>1708</v>
      </c>
      <c r="G214" s="32" t="s">
        <v>1709</v>
      </c>
      <c r="H214" s="24" t="s">
        <v>114</v>
      </c>
      <c r="I214" s="19"/>
      <c r="J214" s="19" t="s">
        <v>1321</v>
      </c>
      <c r="K214" s="19"/>
      <c r="L214" s="24" t="s">
        <v>85</v>
      </c>
      <c r="M214" s="19" t="s">
        <v>311</v>
      </c>
      <c r="N214" s="36">
        <v>44729</v>
      </c>
      <c r="O214" s="37">
        <v>222727</v>
      </c>
      <c r="P214" s="19">
        <v>4</v>
      </c>
      <c r="Q214" s="40">
        <f t="shared" si="4"/>
        <v>890908</v>
      </c>
      <c r="R214" s="40">
        <v>278378.38</v>
      </c>
      <c r="S214" s="40">
        <f t="shared" si="5"/>
        <v>1113513.52</v>
      </c>
    </row>
    <row r="215" spans="1:19">
      <c r="A215" s="17"/>
      <c r="B215" s="18">
        <v>342</v>
      </c>
      <c r="C215" s="19" t="s">
        <v>1322</v>
      </c>
      <c r="D215" s="20">
        <v>82472</v>
      </c>
      <c r="E215" s="21" t="s">
        <v>17</v>
      </c>
      <c r="F215" s="22" t="s">
        <v>1708</v>
      </c>
      <c r="G215" s="32" t="s">
        <v>1709</v>
      </c>
      <c r="H215" s="24" t="s">
        <v>114</v>
      </c>
      <c r="I215" s="19"/>
      <c r="J215" s="19" t="s">
        <v>1321</v>
      </c>
      <c r="K215" s="19"/>
      <c r="L215" s="24" t="s">
        <v>92</v>
      </c>
      <c r="M215" s="19" t="s">
        <v>303</v>
      </c>
      <c r="N215" s="36">
        <v>44729</v>
      </c>
      <c r="O215" s="37">
        <v>46364</v>
      </c>
      <c r="P215" s="19">
        <v>4</v>
      </c>
      <c r="Q215" s="40">
        <f t="shared" si="4"/>
        <v>185456</v>
      </c>
      <c r="R215" s="40">
        <v>57657.66</v>
      </c>
      <c r="S215" s="40">
        <f t="shared" si="5"/>
        <v>230630.64</v>
      </c>
    </row>
    <row r="216" spans="1:19">
      <c r="A216" s="17"/>
      <c r="B216" s="18">
        <v>343</v>
      </c>
      <c r="C216" s="19" t="s">
        <v>1323</v>
      </c>
      <c r="D216" s="20">
        <v>82472</v>
      </c>
      <c r="E216" s="21" t="s">
        <v>17</v>
      </c>
      <c r="F216" s="22" t="s">
        <v>1708</v>
      </c>
      <c r="G216" s="32" t="s">
        <v>1709</v>
      </c>
      <c r="H216" s="24" t="s">
        <v>114</v>
      </c>
      <c r="I216" s="19"/>
      <c r="J216" s="19" t="s">
        <v>1324</v>
      </c>
      <c r="K216" s="19"/>
      <c r="L216" s="24" t="s">
        <v>85</v>
      </c>
      <c r="M216" s="19" t="s">
        <v>386</v>
      </c>
      <c r="N216" s="36">
        <v>44729</v>
      </c>
      <c r="O216" s="37">
        <v>222727</v>
      </c>
      <c r="P216" s="19">
        <v>1</v>
      </c>
      <c r="Q216" s="40">
        <f t="shared" si="4"/>
        <v>222727</v>
      </c>
      <c r="R216" s="40">
        <v>278378.38</v>
      </c>
      <c r="S216" s="40">
        <f t="shared" si="5"/>
        <v>278378.38</v>
      </c>
    </row>
    <row r="217" spans="1:19">
      <c r="A217" s="17"/>
      <c r="B217" s="18">
        <v>344</v>
      </c>
      <c r="C217" s="19" t="s">
        <v>1325</v>
      </c>
      <c r="D217" s="20">
        <v>82472</v>
      </c>
      <c r="E217" s="21" t="s">
        <v>17</v>
      </c>
      <c r="F217" s="22" t="s">
        <v>1708</v>
      </c>
      <c r="G217" s="32" t="s">
        <v>1709</v>
      </c>
      <c r="H217" s="24" t="s">
        <v>114</v>
      </c>
      <c r="I217" s="19"/>
      <c r="J217" s="19" t="s">
        <v>1324</v>
      </c>
      <c r="K217" s="19"/>
      <c r="L217" s="24" t="s">
        <v>92</v>
      </c>
      <c r="M217" s="19" t="s">
        <v>377</v>
      </c>
      <c r="N217" s="36">
        <v>44729</v>
      </c>
      <c r="O217" s="37">
        <v>46364</v>
      </c>
      <c r="P217" s="19">
        <v>1</v>
      </c>
      <c r="Q217" s="40">
        <f t="shared" si="4"/>
        <v>46364</v>
      </c>
      <c r="R217" s="40">
        <v>57657.66</v>
      </c>
      <c r="S217" s="40">
        <f t="shared" si="5"/>
        <v>57657.66</v>
      </c>
    </row>
    <row r="218" spans="1:19">
      <c r="A218" s="17"/>
      <c r="B218" s="18">
        <v>345</v>
      </c>
      <c r="C218" s="19" t="s">
        <v>1326</v>
      </c>
      <c r="D218" s="20">
        <v>82472</v>
      </c>
      <c r="E218" s="21" t="s">
        <v>17</v>
      </c>
      <c r="F218" s="22" t="s">
        <v>1708</v>
      </c>
      <c r="G218" s="32" t="s">
        <v>1709</v>
      </c>
      <c r="H218" s="24" t="s">
        <v>114</v>
      </c>
      <c r="I218" s="19"/>
      <c r="J218" s="19" t="s">
        <v>1327</v>
      </c>
      <c r="K218" s="19"/>
      <c r="L218" s="24" t="s">
        <v>85</v>
      </c>
      <c r="M218" s="19" t="s">
        <v>389</v>
      </c>
      <c r="N218" s="36">
        <v>44729</v>
      </c>
      <c r="O218" s="37">
        <v>222727</v>
      </c>
      <c r="P218" s="19">
        <v>11</v>
      </c>
      <c r="Q218" s="40">
        <f t="shared" si="4"/>
        <v>2449997</v>
      </c>
      <c r="R218" s="40">
        <v>278378.38</v>
      </c>
      <c r="S218" s="40">
        <f t="shared" si="5"/>
        <v>3062162.18</v>
      </c>
    </row>
    <row r="219" spans="1:19">
      <c r="A219" s="17"/>
      <c r="B219" s="18">
        <v>346</v>
      </c>
      <c r="C219" s="19" t="s">
        <v>1328</v>
      </c>
      <c r="D219" s="20">
        <v>82472</v>
      </c>
      <c r="E219" s="21" t="s">
        <v>17</v>
      </c>
      <c r="F219" s="22" t="s">
        <v>1708</v>
      </c>
      <c r="G219" s="32" t="s">
        <v>1709</v>
      </c>
      <c r="H219" s="24" t="s">
        <v>114</v>
      </c>
      <c r="I219" s="19"/>
      <c r="J219" s="19" t="s">
        <v>1327</v>
      </c>
      <c r="K219" s="19"/>
      <c r="L219" s="24" t="s">
        <v>92</v>
      </c>
      <c r="M219" s="19" t="s">
        <v>380</v>
      </c>
      <c r="N219" s="36">
        <v>44729</v>
      </c>
      <c r="O219" s="37">
        <v>46364</v>
      </c>
      <c r="P219" s="19">
        <v>11</v>
      </c>
      <c r="Q219" s="40">
        <f t="shared" si="4"/>
        <v>510004</v>
      </c>
      <c r="R219" s="40">
        <v>57657.66</v>
      </c>
      <c r="S219" s="40">
        <f t="shared" si="5"/>
        <v>634234.26</v>
      </c>
    </row>
    <row r="220" spans="1:19">
      <c r="A220" s="17"/>
      <c r="B220" s="18">
        <v>347</v>
      </c>
      <c r="C220" s="19" t="s">
        <v>1329</v>
      </c>
      <c r="D220" s="20" t="s">
        <v>1330</v>
      </c>
      <c r="E220" s="21" t="s">
        <v>16</v>
      </c>
      <c r="F220" s="22" t="s">
        <v>1706</v>
      </c>
      <c r="G220" s="32" t="s">
        <v>1707</v>
      </c>
      <c r="H220" s="24" t="s">
        <v>165</v>
      </c>
      <c r="I220" s="19"/>
      <c r="J220" s="19" t="s">
        <v>1331</v>
      </c>
      <c r="K220" s="19"/>
      <c r="L220" s="24" t="s">
        <v>85</v>
      </c>
      <c r="M220" s="19" t="s">
        <v>429</v>
      </c>
      <c r="N220" s="36">
        <v>44735</v>
      </c>
      <c r="O220" s="37">
        <v>222727</v>
      </c>
      <c r="P220" s="19">
        <v>310</v>
      </c>
      <c r="Q220" s="40">
        <f t="shared" si="4"/>
        <v>69045370</v>
      </c>
      <c r="R220" s="40">
        <v>279091</v>
      </c>
      <c r="S220" s="40">
        <f t="shared" si="5"/>
        <v>86518210</v>
      </c>
    </row>
    <row r="221" spans="1:19">
      <c r="A221" s="17"/>
      <c r="B221" s="18">
        <v>348</v>
      </c>
      <c r="C221" s="19" t="s">
        <v>1332</v>
      </c>
      <c r="D221" s="20" t="s">
        <v>1333</v>
      </c>
      <c r="E221" s="21" t="s">
        <v>9</v>
      </c>
      <c r="F221" s="22" t="s">
        <v>1692</v>
      </c>
      <c r="G221" s="23" t="s">
        <v>1693</v>
      </c>
      <c r="H221" s="24" t="s">
        <v>1334</v>
      </c>
      <c r="I221" s="19"/>
      <c r="J221" s="19" t="s">
        <v>1268</v>
      </c>
      <c r="K221" s="19"/>
      <c r="L221" s="24" t="s">
        <v>50</v>
      </c>
      <c r="M221" s="19" t="s">
        <v>1335</v>
      </c>
      <c r="N221" s="36">
        <v>44739</v>
      </c>
      <c r="O221" s="37">
        <v>254545</v>
      </c>
      <c r="P221" s="19">
        <v>4</v>
      </c>
      <c r="Q221" s="40">
        <f t="shared" si="4"/>
        <v>1018180</v>
      </c>
      <c r="R221" s="40">
        <v>275000</v>
      </c>
      <c r="S221" s="40">
        <f t="shared" si="5"/>
        <v>1100000</v>
      </c>
    </row>
    <row r="222" spans="1:19">
      <c r="A222" s="17"/>
      <c r="B222" s="18">
        <v>349</v>
      </c>
      <c r="C222" s="19" t="s">
        <v>1336</v>
      </c>
      <c r="D222" s="20" t="s">
        <v>1337</v>
      </c>
      <c r="E222" s="21" t="s">
        <v>6</v>
      </c>
      <c r="F222" s="22" t="s">
        <v>1694</v>
      </c>
      <c r="G222" s="32" t="s">
        <v>1695</v>
      </c>
      <c r="H222" s="24" t="s">
        <v>88</v>
      </c>
      <c r="I222" s="19"/>
      <c r="J222" s="19" t="s">
        <v>1331</v>
      </c>
      <c r="K222" s="19"/>
      <c r="L222" s="24" t="s">
        <v>63</v>
      </c>
      <c r="M222" s="19" t="s">
        <v>1338</v>
      </c>
      <c r="N222" s="36">
        <v>44740</v>
      </c>
      <c r="O222" s="37">
        <v>92727</v>
      </c>
      <c r="P222" s="19">
        <v>7</v>
      </c>
      <c r="Q222" s="40">
        <f t="shared" si="4"/>
        <v>649089</v>
      </c>
      <c r="R222" s="40">
        <v>116216.22</v>
      </c>
      <c r="S222" s="40">
        <f t="shared" si="5"/>
        <v>813513.54</v>
      </c>
    </row>
    <row r="223" spans="1:19">
      <c r="A223" s="17"/>
      <c r="B223" s="18">
        <v>350</v>
      </c>
      <c r="C223" s="19" t="s">
        <v>1339</v>
      </c>
      <c r="D223" s="20" t="s">
        <v>1340</v>
      </c>
      <c r="E223" s="21" t="s">
        <v>16</v>
      </c>
      <c r="F223" s="22" t="s">
        <v>1706</v>
      </c>
      <c r="G223" s="32" t="s">
        <v>1707</v>
      </c>
      <c r="H223" s="24" t="s">
        <v>1276</v>
      </c>
      <c r="I223" s="19"/>
      <c r="J223" s="19" t="s">
        <v>1341</v>
      </c>
      <c r="K223" s="19"/>
      <c r="L223" s="24" t="s">
        <v>85</v>
      </c>
      <c r="M223" s="19" t="s">
        <v>1278</v>
      </c>
      <c r="N223" s="36">
        <v>44742</v>
      </c>
      <c r="O223" s="37">
        <v>222727</v>
      </c>
      <c r="P223" s="19">
        <v>5</v>
      </c>
      <c r="Q223" s="40">
        <f t="shared" ref="Q223:Q232" si="7">O223*P223</f>
        <v>1113635</v>
      </c>
      <c r="R223" s="40">
        <v>279091</v>
      </c>
      <c r="S223" s="40">
        <f t="shared" si="5"/>
        <v>1395455</v>
      </c>
    </row>
    <row r="224" spans="1:19">
      <c r="A224" s="17"/>
      <c r="B224" s="18">
        <v>351</v>
      </c>
      <c r="C224" s="19" t="s">
        <v>1342</v>
      </c>
      <c r="D224" s="20" t="s">
        <v>1343</v>
      </c>
      <c r="E224" s="21" t="s">
        <v>9</v>
      </c>
      <c r="F224" s="22" t="s">
        <v>1692</v>
      </c>
      <c r="G224" s="23" t="s">
        <v>1693</v>
      </c>
      <c r="H224" s="24" t="s">
        <v>1344</v>
      </c>
      <c r="I224" s="19"/>
      <c r="J224" s="19" t="s">
        <v>1345</v>
      </c>
      <c r="K224" s="19"/>
      <c r="L224" s="24" t="s">
        <v>50</v>
      </c>
      <c r="M224" s="19" t="s">
        <v>1346</v>
      </c>
      <c r="N224" s="36">
        <v>44742</v>
      </c>
      <c r="O224" s="37">
        <v>254545</v>
      </c>
      <c r="P224" s="19">
        <v>2</v>
      </c>
      <c r="Q224" s="40">
        <f t="shared" si="7"/>
        <v>509090</v>
      </c>
      <c r="R224" s="40">
        <v>275000</v>
      </c>
      <c r="S224" s="40">
        <f t="shared" si="5"/>
        <v>550000</v>
      </c>
    </row>
    <row r="225" spans="1:19">
      <c r="A225" s="17"/>
      <c r="B225" s="18">
        <v>352</v>
      </c>
      <c r="C225" s="25" t="s">
        <v>1347</v>
      </c>
      <c r="D225" s="26" t="s">
        <v>1348</v>
      </c>
      <c r="E225" s="27" t="s">
        <v>9</v>
      </c>
      <c r="F225" s="28" t="s">
        <v>1692</v>
      </c>
      <c r="G225" s="29" t="s">
        <v>1693</v>
      </c>
      <c r="H225" s="30" t="s">
        <v>1349</v>
      </c>
      <c r="I225" s="25"/>
      <c r="J225" s="25" t="s">
        <v>1350</v>
      </c>
      <c r="K225" s="25"/>
      <c r="L225" s="30" t="s">
        <v>50</v>
      </c>
      <c r="M225" s="25" t="s">
        <v>1351</v>
      </c>
      <c r="N225" s="38">
        <v>44747</v>
      </c>
      <c r="O225" s="39">
        <v>254545</v>
      </c>
      <c r="P225" s="25">
        <v>1</v>
      </c>
      <c r="Q225" s="41">
        <f t="shared" si="7"/>
        <v>254545</v>
      </c>
      <c r="R225" s="41">
        <v>275000</v>
      </c>
      <c r="S225" s="41">
        <f t="shared" si="5"/>
        <v>275000</v>
      </c>
    </row>
    <row r="226" spans="1:19">
      <c r="A226" s="17"/>
      <c r="B226" s="18">
        <v>353</v>
      </c>
      <c r="C226" s="25" t="s">
        <v>1352</v>
      </c>
      <c r="D226" s="26">
        <v>4010013271</v>
      </c>
      <c r="E226" s="27" t="s">
        <v>2</v>
      </c>
      <c r="F226" s="28" t="s">
        <v>1710</v>
      </c>
      <c r="G226" s="31" t="s">
        <v>1711</v>
      </c>
      <c r="H226" s="27" t="s">
        <v>1353</v>
      </c>
      <c r="I226" s="25"/>
      <c r="J226" s="25" t="s">
        <v>1354</v>
      </c>
      <c r="K226" s="25"/>
      <c r="L226" s="30" t="s">
        <v>63</v>
      </c>
      <c r="M226" s="25" t="s">
        <v>424</v>
      </c>
      <c r="N226" s="38">
        <v>44749</v>
      </c>
      <c r="O226" s="39">
        <v>92727</v>
      </c>
      <c r="P226" s="25">
        <v>250</v>
      </c>
      <c r="Q226" s="41">
        <f t="shared" si="7"/>
        <v>23181750</v>
      </c>
      <c r="R226" s="41">
        <f>188700/1.11</f>
        <v>169999.99999999997</v>
      </c>
      <c r="S226" s="41">
        <f t="shared" si="5"/>
        <v>42499999.999999993</v>
      </c>
    </row>
    <row r="227" spans="1:19">
      <c r="A227" s="17"/>
      <c r="B227" s="18">
        <v>354</v>
      </c>
      <c r="C227" s="25" t="s">
        <v>1355</v>
      </c>
      <c r="D227" s="26">
        <v>4010013271</v>
      </c>
      <c r="E227" s="27" t="s">
        <v>2</v>
      </c>
      <c r="F227" s="28" t="s">
        <v>1710</v>
      </c>
      <c r="G227" s="31" t="s">
        <v>1711</v>
      </c>
      <c r="H227" s="27" t="s">
        <v>1353</v>
      </c>
      <c r="I227" s="25"/>
      <c r="J227" s="25" t="s">
        <v>1354</v>
      </c>
      <c r="K227" s="25"/>
      <c r="L227" s="30" t="s">
        <v>85</v>
      </c>
      <c r="M227" s="25" t="s">
        <v>422</v>
      </c>
      <c r="N227" s="38">
        <v>44749</v>
      </c>
      <c r="O227" s="39">
        <v>222727</v>
      </c>
      <c r="P227" s="25">
        <v>50</v>
      </c>
      <c r="Q227" s="41">
        <f t="shared" si="7"/>
        <v>11136350</v>
      </c>
      <c r="R227" s="41">
        <f>354090/1.11</f>
        <v>319000</v>
      </c>
      <c r="S227" s="41">
        <f t="shared" ref="S227:S267" si="8">R227*P227</f>
        <v>15950000</v>
      </c>
    </row>
    <row r="228" spans="1:19">
      <c r="A228" s="17"/>
      <c r="B228" s="18">
        <v>355</v>
      </c>
      <c r="C228" s="25" t="s">
        <v>1356</v>
      </c>
      <c r="D228" s="26" t="s">
        <v>1357</v>
      </c>
      <c r="E228" s="27" t="s">
        <v>6</v>
      </c>
      <c r="F228" s="28" t="s">
        <v>1694</v>
      </c>
      <c r="G228" s="31" t="s">
        <v>1695</v>
      </c>
      <c r="H228" s="30" t="s">
        <v>218</v>
      </c>
      <c r="I228" s="25"/>
      <c r="J228" s="25" t="s">
        <v>1358</v>
      </c>
      <c r="K228" s="25"/>
      <c r="L228" s="30" t="s">
        <v>63</v>
      </c>
      <c r="M228" s="25" t="s">
        <v>1359</v>
      </c>
      <c r="N228" s="38">
        <v>44750</v>
      </c>
      <c r="O228" s="39">
        <v>92727</v>
      </c>
      <c r="P228" s="25">
        <v>4</v>
      </c>
      <c r="Q228" s="41">
        <f t="shared" si="7"/>
        <v>370908</v>
      </c>
      <c r="R228" s="41">
        <v>117273</v>
      </c>
      <c r="S228" s="41">
        <f t="shared" si="8"/>
        <v>469092</v>
      </c>
    </row>
    <row r="229" spans="1:19">
      <c r="A229" s="17"/>
      <c r="B229" s="18">
        <v>356</v>
      </c>
      <c r="C229" s="25" t="s">
        <v>1356</v>
      </c>
      <c r="D229" s="26" t="s">
        <v>1360</v>
      </c>
      <c r="E229" s="27" t="s">
        <v>19</v>
      </c>
      <c r="F229" s="28" t="s">
        <v>1704</v>
      </c>
      <c r="G229" s="31" t="s">
        <v>1705</v>
      </c>
      <c r="H229" s="30" t="s">
        <v>462</v>
      </c>
      <c r="I229" s="25"/>
      <c r="J229" s="25" t="s">
        <v>1361</v>
      </c>
      <c r="K229" s="25"/>
      <c r="L229" s="30" t="s">
        <v>85</v>
      </c>
      <c r="M229" s="25" t="s">
        <v>1362</v>
      </c>
      <c r="N229" s="38">
        <v>44750</v>
      </c>
      <c r="O229" s="39">
        <v>222727</v>
      </c>
      <c r="P229" s="25">
        <v>16</v>
      </c>
      <c r="Q229" s="41">
        <f t="shared" si="7"/>
        <v>3563632</v>
      </c>
      <c r="R229" s="41">
        <v>279091</v>
      </c>
      <c r="S229" s="41">
        <f t="shared" si="8"/>
        <v>4465456</v>
      </c>
    </row>
    <row r="230" spans="1:19">
      <c r="A230" s="17"/>
      <c r="B230" s="18">
        <v>357</v>
      </c>
      <c r="C230" s="25" t="s">
        <v>1363</v>
      </c>
      <c r="D230" s="26" t="s">
        <v>1364</v>
      </c>
      <c r="E230" s="27" t="s">
        <v>9</v>
      </c>
      <c r="F230" s="28" t="s">
        <v>1692</v>
      </c>
      <c r="G230" s="29" t="s">
        <v>1693</v>
      </c>
      <c r="H230" s="30" t="s">
        <v>1365</v>
      </c>
      <c r="I230" s="25"/>
      <c r="J230" s="25" t="s">
        <v>1366</v>
      </c>
      <c r="K230" s="25"/>
      <c r="L230" s="30" t="s">
        <v>50</v>
      </c>
      <c r="M230" s="25" t="s">
        <v>1367</v>
      </c>
      <c r="N230" s="38">
        <v>44757</v>
      </c>
      <c r="O230" s="39">
        <v>254545</v>
      </c>
      <c r="P230" s="25">
        <v>7</v>
      </c>
      <c r="Q230" s="41">
        <f t="shared" si="7"/>
        <v>1781815</v>
      </c>
      <c r="R230" s="41">
        <v>275000</v>
      </c>
      <c r="S230" s="41">
        <f t="shared" si="8"/>
        <v>1925000</v>
      </c>
    </row>
    <row r="231" spans="1:19">
      <c r="A231" s="17"/>
      <c r="B231" s="18">
        <v>358</v>
      </c>
      <c r="C231" s="25" t="s">
        <v>1368</v>
      </c>
      <c r="D231" s="26" t="s">
        <v>1364</v>
      </c>
      <c r="E231" s="27" t="s">
        <v>9</v>
      </c>
      <c r="F231" s="28" t="s">
        <v>1692</v>
      </c>
      <c r="G231" s="29" t="s">
        <v>1693</v>
      </c>
      <c r="H231" s="30" t="s">
        <v>1369</v>
      </c>
      <c r="I231" s="25"/>
      <c r="J231" s="25" t="s">
        <v>1366</v>
      </c>
      <c r="K231" s="25"/>
      <c r="L231" s="30" t="s">
        <v>50</v>
      </c>
      <c r="M231" s="25" t="s">
        <v>1370</v>
      </c>
      <c r="N231" s="38">
        <v>44757</v>
      </c>
      <c r="O231" s="39">
        <v>254545</v>
      </c>
      <c r="P231" s="25">
        <v>3</v>
      </c>
      <c r="Q231" s="41">
        <f t="shared" si="7"/>
        <v>763635</v>
      </c>
      <c r="R231" s="41">
        <v>275000</v>
      </c>
      <c r="S231" s="41">
        <f t="shared" si="8"/>
        <v>825000</v>
      </c>
    </row>
    <row r="232" spans="1:19">
      <c r="A232" s="17"/>
      <c r="B232" s="18">
        <v>359</v>
      </c>
      <c r="C232" s="25" t="s">
        <v>1371</v>
      </c>
      <c r="D232" s="26" t="s">
        <v>1372</v>
      </c>
      <c r="E232" s="27" t="s">
        <v>11</v>
      </c>
      <c r="F232" s="28" t="s">
        <v>1696</v>
      </c>
      <c r="G232" s="31" t="s">
        <v>1697</v>
      </c>
      <c r="H232" s="27" t="s">
        <v>11</v>
      </c>
      <c r="I232" s="25"/>
      <c r="J232" s="25" t="s">
        <v>1373</v>
      </c>
      <c r="K232" s="25"/>
      <c r="L232" s="30" t="s">
        <v>92</v>
      </c>
      <c r="M232" s="25" t="s">
        <v>1374</v>
      </c>
      <c r="N232" s="38">
        <v>44760</v>
      </c>
      <c r="O232" s="39">
        <v>46364</v>
      </c>
      <c r="P232" s="25">
        <v>300</v>
      </c>
      <c r="Q232" s="41">
        <f t="shared" si="7"/>
        <v>13909200</v>
      </c>
      <c r="R232" s="41">
        <v>55273</v>
      </c>
      <c r="S232" s="41">
        <f t="shared" si="8"/>
        <v>16581900</v>
      </c>
    </row>
    <row r="233" spans="1:19">
      <c r="A233" s="17"/>
      <c r="B233" s="18">
        <v>360</v>
      </c>
      <c r="C233" s="25" t="s">
        <v>1375</v>
      </c>
      <c r="D233" s="26" t="s">
        <v>1376</v>
      </c>
      <c r="E233" s="27" t="s">
        <v>11</v>
      </c>
      <c r="F233" s="28" t="s">
        <v>1696</v>
      </c>
      <c r="G233" s="31" t="s">
        <v>1697</v>
      </c>
      <c r="H233" s="30" t="s">
        <v>320</v>
      </c>
      <c r="I233" s="25"/>
      <c r="J233" s="25" t="s">
        <v>1377</v>
      </c>
      <c r="K233" s="25"/>
      <c r="L233" s="30" t="s">
        <v>50</v>
      </c>
      <c r="M233" s="25" t="s">
        <v>1378</v>
      </c>
      <c r="N233" s="38">
        <v>44762</v>
      </c>
      <c r="O233" s="39">
        <v>444545</v>
      </c>
      <c r="P233" s="25">
        <v>28</v>
      </c>
      <c r="Q233" s="41">
        <f t="shared" ref="Q233:Q297" si="9">O233*P233</f>
        <v>12447260</v>
      </c>
      <c r="R233" s="41">
        <v>556363.63</v>
      </c>
      <c r="S233" s="41">
        <f t="shared" si="8"/>
        <v>15578181.640000001</v>
      </c>
    </row>
    <row r="234" spans="1:19">
      <c r="A234" s="17"/>
      <c r="B234" s="18">
        <v>361</v>
      </c>
      <c r="C234" s="25" t="s">
        <v>1379</v>
      </c>
      <c r="D234" s="26" t="s">
        <v>1376</v>
      </c>
      <c r="E234" s="27" t="s">
        <v>11</v>
      </c>
      <c r="F234" s="28" t="s">
        <v>1696</v>
      </c>
      <c r="G234" s="31" t="s">
        <v>1697</v>
      </c>
      <c r="H234" s="30" t="s">
        <v>320</v>
      </c>
      <c r="I234" s="25"/>
      <c r="J234" s="25" t="s">
        <v>1380</v>
      </c>
      <c r="K234" s="25"/>
      <c r="L234" s="30" t="s">
        <v>50</v>
      </c>
      <c r="M234" s="25" t="s">
        <v>1381</v>
      </c>
      <c r="N234" s="38">
        <v>44762</v>
      </c>
      <c r="O234" s="39">
        <v>444545</v>
      </c>
      <c r="P234" s="25">
        <v>3</v>
      </c>
      <c r="Q234" s="41">
        <f t="shared" si="9"/>
        <v>1333635</v>
      </c>
      <c r="R234" s="41">
        <v>556363.63</v>
      </c>
      <c r="S234" s="41">
        <f t="shared" si="8"/>
        <v>1669090.8900000001</v>
      </c>
    </row>
    <row r="235" spans="1:19">
      <c r="A235" s="17"/>
      <c r="B235" s="18">
        <v>362</v>
      </c>
      <c r="C235" s="25" t="s">
        <v>1382</v>
      </c>
      <c r="D235" s="26">
        <v>2500016606</v>
      </c>
      <c r="E235" s="27" t="s">
        <v>10</v>
      </c>
      <c r="F235" s="28" t="s">
        <v>1702</v>
      </c>
      <c r="G235" s="31" t="s">
        <v>1703</v>
      </c>
      <c r="H235" s="30" t="s">
        <v>814</v>
      </c>
      <c r="I235" s="25"/>
      <c r="J235" s="25" t="s">
        <v>1383</v>
      </c>
      <c r="K235" s="25"/>
      <c r="L235" s="30" t="s">
        <v>816</v>
      </c>
      <c r="M235" s="25" t="s">
        <v>1384</v>
      </c>
      <c r="N235" s="38">
        <v>44763</v>
      </c>
      <c r="O235" s="39">
        <v>22727</v>
      </c>
      <c r="P235" s="25">
        <v>5</v>
      </c>
      <c r="Q235" s="41">
        <f t="shared" si="9"/>
        <v>113635</v>
      </c>
      <c r="R235" s="41">
        <v>29091</v>
      </c>
      <c r="S235" s="41">
        <f t="shared" si="8"/>
        <v>145455</v>
      </c>
    </row>
    <row r="236" spans="1:19">
      <c r="A236" s="17"/>
      <c r="B236" s="18">
        <v>363</v>
      </c>
      <c r="C236" s="25" t="s">
        <v>1385</v>
      </c>
      <c r="D236" s="26" t="s">
        <v>1386</v>
      </c>
      <c r="E236" s="27" t="s">
        <v>9</v>
      </c>
      <c r="F236" s="28" t="s">
        <v>1692</v>
      </c>
      <c r="G236" s="29" t="s">
        <v>1693</v>
      </c>
      <c r="H236" s="30" t="s">
        <v>1387</v>
      </c>
      <c r="I236" s="25"/>
      <c r="J236" s="25" t="s">
        <v>1388</v>
      </c>
      <c r="K236" s="25"/>
      <c r="L236" s="30" t="s">
        <v>50</v>
      </c>
      <c r="M236" s="25" t="s">
        <v>1389</v>
      </c>
      <c r="N236" s="38">
        <v>44767</v>
      </c>
      <c r="O236" s="39">
        <v>254545</v>
      </c>
      <c r="P236" s="25">
        <v>6</v>
      </c>
      <c r="Q236" s="41">
        <f t="shared" si="9"/>
        <v>1527270</v>
      </c>
      <c r="R236" s="41">
        <v>275000</v>
      </c>
      <c r="S236" s="41">
        <f t="shared" si="8"/>
        <v>1650000</v>
      </c>
    </row>
    <row r="237" spans="1:19">
      <c r="A237" s="17"/>
      <c r="B237" s="18">
        <v>364</v>
      </c>
      <c r="C237" s="25" t="s">
        <v>1390</v>
      </c>
      <c r="D237" s="26" t="s">
        <v>1386</v>
      </c>
      <c r="E237" s="27" t="s">
        <v>9</v>
      </c>
      <c r="F237" s="28" t="s">
        <v>1692</v>
      </c>
      <c r="G237" s="29" t="s">
        <v>1693</v>
      </c>
      <c r="H237" s="30" t="s">
        <v>1391</v>
      </c>
      <c r="I237" s="25"/>
      <c r="J237" s="25" t="s">
        <v>1388</v>
      </c>
      <c r="K237" s="25"/>
      <c r="L237" s="30" t="s">
        <v>50</v>
      </c>
      <c r="M237" s="25" t="s">
        <v>1392</v>
      </c>
      <c r="N237" s="38">
        <v>44767</v>
      </c>
      <c r="O237" s="39">
        <v>254545</v>
      </c>
      <c r="P237" s="25">
        <v>6</v>
      </c>
      <c r="Q237" s="41">
        <f t="shared" si="9"/>
        <v>1527270</v>
      </c>
      <c r="R237" s="41">
        <v>275000</v>
      </c>
      <c r="S237" s="41">
        <f t="shared" si="8"/>
        <v>1650000</v>
      </c>
    </row>
    <row r="238" spans="1:19">
      <c r="A238" s="17"/>
      <c r="B238" s="18">
        <v>365</v>
      </c>
      <c r="C238" s="25" t="s">
        <v>1393</v>
      </c>
      <c r="D238" s="26" t="s">
        <v>1386</v>
      </c>
      <c r="E238" s="27" t="s">
        <v>9</v>
      </c>
      <c r="F238" s="28" t="s">
        <v>1692</v>
      </c>
      <c r="G238" s="29" t="s">
        <v>1693</v>
      </c>
      <c r="H238" s="30" t="s">
        <v>1394</v>
      </c>
      <c r="I238" s="25"/>
      <c r="J238" s="25" t="s">
        <v>1395</v>
      </c>
      <c r="K238" s="25"/>
      <c r="L238" s="30" t="s">
        <v>50</v>
      </c>
      <c r="M238" s="25" t="s">
        <v>1396</v>
      </c>
      <c r="N238" s="38">
        <v>44767</v>
      </c>
      <c r="O238" s="39">
        <v>254545</v>
      </c>
      <c r="P238" s="25">
        <v>3</v>
      </c>
      <c r="Q238" s="41">
        <f t="shared" si="9"/>
        <v>763635</v>
      </c>
      <c r="R238" s="41">
        <v>275000</v>
      </c>
      <c r="S238" s="41">
        <f t="shared" si="8"/>
        <v>825000</v>
      </c>
    </row>
    <row r="239" spans="1:19">
      <c r="A239" s="17"/>
      <c r="B239" s="18">
        <v>366</v>
      </c>
      <c r="C239" s="25" t="s">
        <v>1397</v>
      </c>
      <c r="D239" s="26" t="s">
        <v>1398</v>
      </c>
      <c r="E239" s="27" t="s">
        <v>11</v>
      </c>
      <c r="F239" s="28" t="s">
        <v>1696</v>
      </c>
      <c r="G239" s="31" t="s">
        <v>1697</v>
      </c>
      <c r="H239" s="30" t="s">
        <v>733</v>
      </c>
      <c r="I239" s="25"/>
      <c r="J239" s="25" t="s">
        <v>1399</v>
      </c>
      <c r="K239" s="25"/>
      <c r="L239" s="30" t="s">
        <v>85</v>
      </c>
      <c r="M239" s="25" t="s">
        <v>1400</v>
      </c>
      <c r="N239" s="38">
        <v>44767</v>
      </c>
      <c r="O239" s="39">
        <v>222727</v>
      </c>
      <c r="P239" s="25">
        <v>1</v>
      </c>
      <c r="Q239" s="41">
        <f t="shared" si="9"/>
        <v>222727</v>
      </c>
      <c r="R239" s="41">
        <v>279091</v>
      </c>
      <c r="S239" s="41">
        <f t="shared" si="8"/>
        <v>279091</v>
      </c>
    </row>
    <row r="240" spans="1:19">
      <c r="A240" s="17"/>
      <c r="B240" s="18">
        <v>367</v>
      </c>
      <c r="C240" s="25" t="s">
        <v>1401</v>
      </c>
      <c r="D240" s="26" t="s">
        <v>1402</v>
      </c>
      <c r="E240" s="27" t="s">
        <v>9</v>
      </c>
      <c r="F240" s="28" t="s">
        <v>1692</v>
      </c>
      <c r="G240" s="29" t="s">
        <v>1693</v>
      </c>
      <c r="H240" s="30" t="s">
        <v>1403</v>
      </c>
      <c r="I240" s="25"/>
      <c r="J240" s="25" t="s">
        <v>1404</v>
      </c>
      <c r="K240" s="25"/>
      <c r="L240" s="30" t="s">
        <v>50</v>
      </c>
      <c r="M240" s="25" t="s">
        <v>1405</v>
      </c>
      <c r="N240" s="38">
        <v>44769</v>
      </c>
      <c r="O240" s="39">
        <v>254545</v>
      </c>
      <c r="P240" s="25">
        <v>1</v>
      </c>
      <c r="Q240" s="41">
        <f t="shared" si="9"/>
        <v>254545</v>
      </c>
      <c r="R240" s="41">
        <v>275000</v>
      </c>
      <c r="S240" s="41">
        <f t="shared" si="8"/>
        <v>275000</v>
      </c>
    </row>
    <row r="241" spans="1:19">
      <c r="A241" s="17"/>
      <c r="B241" s="18">
        <v>368</v>
      </c>
      <c r="C241" s="25" t="s">
        <v>1406</v>
      </c>
      <c r="D241" s="26" t="s">
        <v>1402</v>
      </c>
      <c r="E241" s="27" t="s">
        <v>9</v>
      </c>
      <c r="F241" s="28" t="s">
        <v>1692</v>
      </c>
      <c r="G241" s="29" t="s">
        <v>1693</v>
      </c>
      <c r="H241" s="27" t="s">
        <v>1407</v>
      </c>
      <c r="I241" s="25"/>
      <c r="J241" s="25" t="s">
        <v>1408</v>
      </c>
      <c r="K241" s="25"/>
      <c r="L241" s="30" t="s">
        <v>50</v>
      </c>
      <c r="M241" s="25" t="s">
        <v>1409</v>
      </c>
      <c r="N241" s="38">
        <v>44769</v>
      </c>
      <c r="O241" s="39">
        <v>254545</v>
      </c>
      <c r="P241" s="25">
        <v>1</v>
      </c>
      <c r="Q241" s="41">
        <f t="shared" si="9"/>
        <v>254545</v>
      </c>
      <c r="R241" s="41">
        <v>275000</v>
      </c>
      <c r="S241" s="41">
        <f t="shared" si="8"/>
        <v>275000</v>
      </c>
    </row>
    <row r="242" spans="1:19">
      <c r="A242" s="17"/>
      <c r="B242" s="18">
        <v>369</v>
      </c>
      <c r="C242" s="25" t="s">
        <v>1410</v>
      </c>
      <c r="D242" s="26" t="s">
        <v>1411</v>
      </c>
      <c r="E242" s="27" t="s">
        <v>11</v>
      </c>
      <c r="F242" s="28" t="s">
        <v>1696</v>
      </c>
      <c r="G242" s="31" t="s">
        <v>1697</v>
      </c>
      <c r="H242" s="30" t="s">
        <v>1412</v>
      </c>
      <c r="I242" s="25"/>
      <c r="J242" s="25" t="s">
        <v>1361</v>
      </c>
      <c r="K242" s="25"/>
      <c r="L242" s="30" t="s">
        <v>1413</v>
      </c>
      <c r="M242" s="25" t="s">
        <v>1414</v>
      </c>
      <c r="N242" s="38">
        <v>44770</v>
      </c>
      <c r="O242" s="39">
        <v>106575</v>
      </c>
      <c r="P242" s="25">
        <v>2</v>
      </c>
      <c r="Q242" s="41">
        <f t="shared" si="9"/>
        <v>213150</v>
      </c>
      <c r="R242" s="41">
        <v>116264</v>
      </c>
      <c r="S242" s="41">
        <f t="shared" si="8"/>
        <v>232528</v>
      </c>
    </row>
    <row r="243" spans="1:19">
      <c r="A243" s="17"/>
      <c r="B243" s="18">
        <v>370</v>
      </c>
      <c r="C243" s="19" t="s">
        <v>1415</v>
      </c>
      <c r="D243" s="20" t="s">
        <v>1416</v>
      </c>
      <c r="E243" s="21" t="s">
        <v>9</v>
      </c>
      <c r="F243" s="22" t="s">
        <v>1692</v>
      </c>
      <c r="G243" s="23" t="s">
        <v>1693</v>
      </c>
      <c r="H243" s="21" t="s">
        <v>1417</v>
      </c>
      <c r="I243" s="19"/>
      <c r="J243" s="19" t="s">
        <v>1418</v>
      </c>
      <c r="K243" s="19"/>
      <c r="L243" s="24" t="s">
        <v>50</v>
      </c>
      <c r="M243" s="19" t="s">
        <v>1419</v>
      </c>
      <c r="N243" s="36">
        <v>44776</v>
      </c>
      <c r="O243" s="37">
        <v>254545</v>
      </c>
      <c r="P243" s="19">
        <v>3</v>
      </c>
      <c r="Q243" s="40">
        <f t="shared" si="9"/>
        <v>763635</v>
      </c>
      <c r="R243" s="40">
        <v>275000</v>
      </c>
      <c r="S243" s="40">
        <f t="shared" si="8"/>
        <v>825000</v>
      </c>
    </row>
    <row r="244" spans="1:19">
      <c r="A244" s="17"/>
      <c r="B244" s="18">
        <v>371</v>
      </c>
      <c r="C244" s="19" t="s">
        <v>1420</v>
      </c>
      <c r="D244" s="20" t="s">
        <v>1421</v>
      </c>
      <c r="E244" s="21" t="s">
        <v>2</v>
      </c>
      <c r="F244" s="22" t="s">
        <v>1712</v>
      </c>
      <c r="G244" s="32" t="s">
        <v>1713</v>
      </c>
      <c r="H244" s="21" t="s">
        <v>462</v>
      </c>
      <c r="I244" s="19"/>
      <c r="J244" s="19" t="s">
        <v>1422</v>
      </c>
      <c r="K244" s="19"/>
      <c r="L244" s="24" t="s">
        <v>85</v>
      </c>
      <c r="M244" s="19" t="s">
        <v>1423</v>
      </c>
      <c r="N244" s="36">
        <v>44789</v>
      </c>
      <c r="O244" s="37">
        <v>222727</v>
      </c>
      <c r="P244" s="19">
        <v>53</v>
      </c>
      <c r="Q244" s="40">
        <f t="shared" si="9"/>
        <v>11804531</v>
      </c>
      <c r="R244" s="40">
        <f>410000/1.11</f>
        <v>369369.36936936935</v>
      </c>
      <c r="S244" s="40">
        <f t="shared" si="8"/>
        <v>19576576.576576576</v>
      </c>
    </row>
    <row r="245" spans="1:19">
      <c r="A245" s="17"/>
      <c r="B245" s="18">
        <v>372</v>
      </c>
      <c r="C245" s="19" t="s">
        <v>1424</v>
      </c>
      <c r="D245" s="20" t="s">
        <v>1425</v>
      </c>
      <c r="E245" s="21" t="s">
        <v>2</v>
      </c>
      <c r="F245" s="22" t="s">
        <v>1714</v>
      </c>
      <c r="G245" s="32" t="s">
        <v>1715</v>
      </c>
      <c r="H245" s="21" t="s">
        <v>556</v>
      </c>
      <c r="I245" s="19"/>
      <c r="J245" s="19" t="s">
        <v>1426</v>
      </c>
      <c r="K245" s="19"/>
      <c r="L245" s="24" t="s">
        <v>85</v>
      </c>
      <c r="M245" s="19" t="s">
        <v>1427</v>
      </c>
      <c r="N245" s="36">
        <v>44792</v>
      </c>
      <c r="O245" s="37">
        <v>222727</v>
      </c>
      <c r="P245" s="19">
        <v>350</v>
      </c>
      <c r="Q245" s="40">
        <f t="shared" si="9"/>
        <v>77954450</v>
      </c>
      <c r="R245" s="40">
        <v>357000</v>
      </c>
      <c r="S245" s="40">
        <f t="shared" si="8"/>
        <v>124950000</v>
      </c>
    </row>
    <row r="246" spans="1:19">
      <c r="A246" s="17"/>
      <c r="B246" s="18">
        <v>373</v>
      </c>
      <c r="C246" s="19" t="s">
        <v>1428</v>
      </c>
      <c r="D246" s="20" t="s">
        <v>1429</v>
      </c>
      <c r="E246" s="21" t="s">
        <v>11</v>
      </c>
      <c r="F246" s="22" t="s">
        <v>1696</v>
      </c>
      <c r="G246" s="32" t="s">
        <v>1697</v>
      </c>
      <c r="H246" s="24" t="s">
        <v>1188</v>
      </c>
      <c r="I246" s="19"/>
      <c r="J246" s="19" t="s">
        <v>1422</v>
      </c>
      <c r="K246" s="19"/>
      <c r="L246" s="24" t="s">
        <v>50</v>
      </c>
      <c r="M246" s="19" t="s">
        <v>1430</v>
      </c>
      <c r="N246" s="36">
        <v>44795</v>
      </c>
      <c r="O246" s="37">
        <v>444545</v>
      </c>
      <c r="P246" s="19">
        <v>1</v>
      </c>
      <c r="Q246" s="40">
        <f t="shared" si="9"/>
        <v>444545</v>
      </c>
      <c r="R246" s="40">
        <v>556363.63</v>
      </c>
      <c r="S246" s="40">
        <f t="shared" si="8"/>
        <v>556363.63</v>
      </c>
    </row>
    <row r="247" spans="1:19">
      <c r="A247" s="17"/>
      <c r="B247" s="18">
        <v>374</v>
      </c>
      <c r="C247" s="19" t="s">
        <v>1431</v>
      </c>
      <c r="D247" s="20" t="s">
        <v>1432</v>
      </c>
      <c r="E247" s="21" t="s">
        <v>1296</v>
      </c>
      <c r="F247" s="22" t="s">
        <v>1696</v>
      </c>
      <c r="G247" s="32" t="s">
        <v>1697</v>
      </c>
      <c r="H247" s="24" t="s">
        <v>733</v>
      </c>
      <c r="I247" s="19"/>
      <c r="J247" s="19" t="s">
        <v>1433</v>
      </c>
      <c r="K247" s="19"/>
      <c r="L247" s="24" t="s">
        <v>85</v>
      </c>
      <c r="M247" s="19" t="s">
        <v>1434</v>
      </c>
      <c r="N247" s="36">
        <v>44799</v>
      </c>
      <c r="O247" s="37">
        <v>222727</v>
      </c>
      <c r="P247" s="19">
        <v>1</v>
      </c>
      <c r="Q247" s="40">
        <f t="shared" si="9"/>
        <v>222727</v>
      </c>
      <c r="R247" s="40">
        <v>279091</v>
      </c>
      <c r="S247" s="40">
        <f t="shared" si="8"/>
        <v>279091</v>
      </c>
    </row>
    <row r="248" spans="1:19">
      <c r="A248" s="17"/>
      <c r="B248" s="18">
        <v>375</v>
      </c>
      <c r="C248" s="19" t="s">
        <v>1435</v>
      </c>
      <c r="D248" s="20" t="s">
        <v>1436</v>
      </c>
      <c r="E248" s="21" t="s">
        <v>1437</v>
      </c>
      <c r="F248" s="22" t="s">
        <v>1716</v>
      </c>
      <c r="G248" s="32" t="s">
        <v>1717</v>
      </c>
      <c r="H248" s="24" t="s">
        <v>1438</v>
      </c>
      <c r="I248" s="19"/>
      <c r="J248" s="19" t="s">
        <v>1439</v>
      </c>
      <c r="K248" s="19"/>
      <c r="L248" s="24" t="s">
        <v>63</v>
      </c>
      <c r="M248" s="19" t="s">
        <v>1440</v>
      </c>
      <c r="N248" s="36">
        <v>44804</v>
      </c>
      <c r="O248" s="37">
        <v>74181.600000000006</v>
      </c>
      <c r="P248" s="19">
        <v>150</v>
      </c>
      <c r="Q248" s="40">
        <f t="shared" si="9"/>
        <v>11127240</v>
      </c>
      <c r="R248" s="40">
        <f>145815/1.11</f>
        <v>131364.86486486485</v>
      </c>
      <c r="S248" s="40">
        <f t="shared" si="8"/>
        <v>19704729.729729727</v>
      </c>
    </row>
    <row r="249" spans="1:19">
      <c r="A249" s="17"/>
      <c r="B249" s="18">
        <v>376</v>
      </c>
      <c r="C249" s="19" t="s">
        <v>1441</v>
      </c>
      <c r="D249" s="20">
        <v>2500018879</v>
      </c>
      <c r="E249" s="21" t="s">
        <v>10</v>
      </c>
      <c r="F249" s="22" t="s">
        <v>1702</v>
      </c>
      <c r="G249" s="32" t="s">
        <v>1703</v>
      </c>
      <c r="H249" s="24" t="s">
        <v>814</v>
      </c>
      <c r="I249" s="19"/>
      <c r="J249" s="19" t="s">
        <v>1442</v>
      </c>
      <c r="K249" s="19"/>
      <c r="L249" s="24" t="s">
        <v>816</v>
      </c>
      <c r="M249" s="19" t="s">
        <v>1384</v>
      </c>
      <c r="N249" s="36">
        <v>44783</v>
      </c>
      <c r="O249" s="37">
        <v>22727</v>
      </c>
      <c r="P249" s="19">
        <v>5</v>
      </c>
      <c r="Q249" s="40">
        <f t="shared" si="9"/>
        <v>113635</v>
      </c>
      <c r="R249" s="40">
        <v>29091</v>
      </c>
      <c r="S249" s="40">
        <f t="shared" si="8"/>
        <v>145455</v>
      </c>
    </row>
    <row r="250" spans="1:19">
      <c r="A250" s="17"/>
      <c r="B250" s="18">
        <v>377</v>
      </c>
      <c r="C250" s="25" t="s">
        <v>1443</v>
      </c>
      <c r="D250" s="26" t="s">
        <v>1444</v>
      </c>
      <c r="E250" s="27" t="s">
        <v>82</v>
      </c>
      <c r="F250" s="28" t="s">
        <v>1698</v>
      </c>
      <c r="G250" s="31" t="s">
        <v>1699</v>
      </c>
      <c r="H250" s="30" t="s">
        <v>83</v>
      </c>
      <c r="I250" s="25"/>
      <c r="J250" s="25" t="s">
        <v>1445</v>
      </c>
      <c r="K250" s="25"/>
      <c r="L250" s="30" t="s">
        <v>85</v>
      </c>
      <c r="M250" s="25" t="s">
        <v>1446</v>
      </c>
      <c r="N250" s="38">
        <v>44809</v>
      </c>
      <c r="O250" s="39">
        <v>222727</v>
      </c>
      <c r="P250" s="25">
        <v>84</v>
      </c>
      <c r="Q250" s="41">
        <f t="shared" si="9"/>
        <v>18709068</v>
      </c>
      <c r="R250" s="41">
        <v>279090.90999999997</v>
      </c>
      <c r="S250" s="41">
        <f t="shared" si="8"/>
        <v>23443636.439999998</v>
      </c>
    </row>
    <row r="251" spans="1:19">
      <c r="A251" s="17"/>
      <c r="B251" s="18">
        <v>378</v>
      </c>
      <c r="C251" s="25" t="s">
        <v>1447</v>
      </c>
      <c r="D251" s="26">
        <v>83338</v>
      </c>
      <c r="E251" s="27" t="s">
        <v>17</v>
      </c>
      <c r="F251" s="28" t="s">
        <v>1708</v>
      </c>
      <c r="G251" s="31" t="s">
        <v>1709</v>
      </c>
      <c r="H251" s="27" t="s">
        <v>88</v>
      </c>
      <c r="I251" s="25"/>
      <c r="J251" s="25" t="s">
        <v>1448</v>
      </c>
      <c r="K251" s="25"/>
      <c r="L251" s="30" t="s">
        <v>85</v>
      </c>
      <c r="M251" s="25" t="s">
        <v>1449</v>
      </c>
      <c r="N251" s="38">
        <v>44811</v>
      </c>
      <c r="O251" s="39">
        <v>222727</v>
      </c>
      <c r="P251" s="25">
        <v>5</v>
      </c>
      <c r="Q251" s="41">
        <f t="shared" si="9"/>
        <v>1113635</v>
      </c>
      <c r="R251" s="41">
        <v>275000</v>
      </c>
      <c r="S251" s="41">
        <f t="shared" si="8"/>
        <v>1375000</v>
      </c>
    </row>
    <row r="252" spans="1:19">
      <c r="A252" s="17"/>
      <c r="B252" s="18">
        <v>379</v>
      </c>
      <c r="C252" s="25" t="s">
        <v>1450</v>
      </c>
      <c r="D252" s="26">
        <v>83338</v>
      </c>
      <c r="E252" s="27" t="s">
        <v>17</v>
      </c>
      <c r="F252" s="28" t="s">
        <v>1708</v>
      </c>
      <c r="G252" s="31" t="s">
        <v>1709</v>
      </c>
      <c r="H252" s="27" t="s">
        <v>88</v>
      </c>
      <c r="I252" s="25"/>
      <c r="J252" s="25" t="s">
        <v>1451</v>
      </c>
      <c r="K252" s="25"/>
      <c r="L252" s="30" t="s">
        <v>85</v>
      </c>
      <c r="M252" s="25" t="s">
        <v>90</v>
      </c>
      <c r="N252" s="38">
        <v>44811</v>
      </c>
      <c r="O252" s="39">
        <v>222727</v>
      </c>
      <c r="P252" s="25">
        <v>24</v>
      </c>
      <c r="Q252" s="41">
        <f t="shared" si="9"/>
        <v>5345448</v>
      </c>
      <c r="R252" s="41">
        <v>275000</v>
      </c>
      <c r="S252" s="41">
        <f t="shared" si="8"/>
        <v>6600000</v>
      </c>
    </row>
    <row r="253" spans="1:19">
      <c r="A253" s="17"/>
      <c r="B253" s="18">
        <v>380</v>
      </c>
      <c r="C253" s="25" t="s">
        <v>1452</v>
      </c>
      <c r="D253" s="26">
        <v>83338</v>
      </c>
      <c r="E253" s="27" t="s">
        <v>17</v>
      </c>
      <c r="F253" s="28" t="s">
        <v>1708</v>
      </c>
      <c r="G253" s="31" t="s">
        <v>1709</v>
      </c>
      <c r="H253" s="27" t="s">
        <v>88</v>
      </c>
      <c r="I253" s="25"/>
      <c r="J253" s="25" t="s">
        <v>1448</v>
      </c>
      <c r="K253" s="25"/>
      <c r="L253" s="30" t="s">
        <v>92</v>
      </c>
      <c r="M253" s="25" t="s">
        <v>1453</v>
      </c>
      <c r="N253" s="38">
        <v>44811</v>
      </c>
      <c r="O253" s="39">
        <v>46364</v>
      </c>
      <c r="P253" s="25">
        <v>5</v>
      </c>
      <c r="Q253" s="41">
        <f t="shared" si="9"/>
        <v>231820</v>
      </c>
      <c r="R253" s="41">
        <v>57000</v>
      </c>
      <c r="S253" s="41">
        <f t="shared" si="8"/>
        <v>285000</v>
      </c>
    </row>
    <row r="254" spans="1:19">
      <c r="A254" s="17"/>
      <c r="B254" s="18">
        <v>381</v>
      </c>
      <c r="C254" s="25" t="s">
        <v>1454</v>
      </c>
      <c r="D254" s="26">
        <v>83338</v>
      </c>
      <c r="E254" s="27" t="s">
        <v>17</v>
      </c>
      <c r="F254" s="28" t="s">
        <v>1708</v>
      </c>
      <c r="G254" s="31" t="s">
        <v>1709</v>
      </c>
      <c r="H254" s="27" t="s">
        <v>88</v>
      </c>
      <c r="I254" s="25"/>
      <c r="J254" s="25" t="s">
        <v>1451</v>
      </c>
      <c r="K254" s="25"/>
      <c r="L254" s="30" t="s">
        <v>92</v>
      </c>
      <c r="M254" s="25" t="s">
        <v>93</v>
      </c>
      <c r="N254" s="38">
        <v>44811</v>
      </c>
      <c r="O254" s="39">
        <v>46364</v>
      </c>
      <c r="P254" s="25">
        <v>24</v>
      </c>
      <c r="Q254" s="41">
        <f t="shared" si="9"/>
        <v>1112736</v>
      </c>
      <c r="R254" s="41">
        <v>57000</v>
      </c>
      <c r="S254" s="41">
        <f t="shared" si="8"/>
        <v>1368000</v>
      </c>
    </row>
    <row r="255" spans="1:19">
      <c r="A255" s="17"/>
      <c r="B255" s="18">
        <v>382</v>
      </c>
      <c r="C255" s="25" t="s">
        <v>1455</v>
      </c>
      <c r="D255" s="26">
        <v>83338</v>
      </c>
      <c r="E255" s="27" t="s">
        <v>17</v>
      </c>
      <c r="F255" s="28" t="s">
        <v>1708</v>
      </c>
      <c r="G255" s="31" t="s">
        <v>1709</v>
      </c>
      <c r="H255" s="27" t="s">
        <v>88</v>
      </c>
      <c r="I255" s="25"/>
      <c r="J255" s="25" t="s">
        <v>1456</v>
      </c>
      <c r="K255" s="25"/>
      <c r="L255" s="30" t="s">
        <v>1457</v>
      </c>
      <c r="M255" s="25" t="s">
        <v>1458</v>
      </c>
      <c r="N255" s="38">
        <v>44811</v>
      </c>
      <c r="O255" s="39">
        <v>216480.5</v>
      </c>
      <c r="P255" s="25">
        <v>3</v>
      </c>
      <c r="Q255" s="41">
        <f t="shared" si="9"/>
        <v>649441.5</v>
      </c>
      <c r="R255" s="41">
        <v>533408</v>
      </c>
      <c r="S255" s="41">
        <f t="shared" si="8"/>
        <v>1600224</v>
      </c>
    </row>
    <row r="256" spans="1:19">
      <c r="A256" s="17"/>
      <c r="B256" s="18">
        <v>383</v>
      </c>
      <c r="C256" s="25" t="s">
        <v>1459</v>
      </c>
      <c r="D256" s="26">
        <v>4800465039</v>
      </c>
      <c r="E256" s="27" t="s">
        <v>12</v>
      </c>
      <c r="F256" s="28" t="s">
        <v>1700</v>
      </c>
      <c r="G256" s="31" t="s">
        <v>1701</v>
      </c>
      <c r="H256" s="27" t="s">
        <v>742</v>
      </c>
      <c r="I256" s="25"/>
      <c r="J256" s="25" t="s">
        <v>1460</v>
      </c>
      <c r="K256" s="25"/>
      <c r="L256" s="30" t="s">
        <v>92</v>
      </c>
      <c r="M256" s="25" t="s">
        <v>1461</v>
      </c>
      <c r="N256" s="38">
        <v>44812</v>
      </c>
      <c r="O256" s="39">
        <v>32273</v>
      </c>
      <c r="P256" s="25">
        <v>906</v>
      </c>
      <c r="Q256" s="41">
        <f t="shared" si="9"/>
        <v>29239338</v>
      </c>
      <c r="R256" s="41">
        <v>35500</v>
      </c>
      <c r="S256" s="41">
        <f t="shared" si="8"/>
        <v>32163000</v>
      </c>
    </row>
    <row r="257" spans="1:19">
      <c r="A257" s="17"/>
      <c r="B257" s="18">
        <v>384</v>
      </c>
      <c r="C257" s="25" t="s">
        <v>1462</v>
      </c>
      <c r="D257" s="26" t="s">
        <v>1463</v>
      </c>
      <c r="E257" s="27" t="s">
        <v>11</v>
      </c>
      <c r="F257" s="28" t="s">
        <v>1696</v>
      </c>
      <c r="G257" s="31" t="s">
        <v>1697</v>
      </c>
      <c r="H257" s="27" t="s">
        <v>1412</v>
      </c>
      <c r="I257" s="25"/>
      <c r="J257" s="25" t="s">
        <v>1464</v>
      </c>
      <c r="K257" s="25"/>
      <c r="L257" s="30" t="s">
        <v>1413</v>
      </c>
      <c r="M257" s="25" t="s">
        <v>1465</v>
      </c>
      <c r="N257" s="38">
        <v>44812</v>
      </c>
      <c r="O257" s="39">
        <v>106575</v>
      </c>
      <c r="P257" s="25">
        <v>1</v>
      </c>
      <c r="Q257" s="41">
        <f t="shared" si="9"/>
        <v>106575</v>
      </c>
      <c r="R257" s="41">
        <v>116264</v>
      </c>
      <c r="S257" s="41">
        <f t="shared" si="8"/>
        <v>116264</v>
      </c>
    </row>
    <row r="258" spans="1:19">
      <c r="A258" s="17"/>
      <c r="B258" s="18">
        <v>385</v>
      </c>
      <c r="C258" s="25" t="s">
        <v>1466</v>
      </c>
      <c r="D258" s="26" t="s">
        <v>1467</v>
      </c>
      <c r="E258" s="27" t="s">
        <v>1468</v>
      </c>
      <c r="F258" s="28" t="s">
        <v>1706</v>
      </c>
      <c r="G258" s="31" t="s">
        <v>1707</v>
      </c>
      <c r="H258" s="30" t="s">
        <v>1276</v>
      </c>
      <c r="I258" s="25"/>
      <c r="J258" s="25" t="s">
        <v>1469</v>
      </c>
      <c r="K258" s="25"/>
      <c r="L258" s="30" t="s">
        <v>85</v>
      </c>
      <c r="M258" s="25" t="s">
        <v>1470</v>
      </c>
      <c r="N258" s="38">
        <v>44812</v>
      </c>
      <c r="O258" s="39">
        <v>222727</v>
      </c>
      <c r="P258" s="25">
        <v>60</v>
      </c>
      <c r="Q258" s="41">
        <f t="shared" si="9"/>
        <v>13363620</v>
      </c>
      <c r="R258" s="41">
        <v>367702</v>
      </c>
      <c r="S258" s="41">
        <f t="shared" si="8"/>
        <v>22062120</v>
      </c>
    </row>
    <row r="259" spans="1:19">
      <c r="A259" s="17"/>
      <c r="B259" s="18">
        <v>386</v>
      </c>
      <c r="C259" s="25" t="s">
        <v>1471</v>
      </c>
      <c r="D259" s="26" t="s">
        <v>2</v>
      </c>
      <c r="E259" s="27" t="s">
        <v>1472</v>
      </c>
      <c r="F259" s="28" t="s">
        <v>1718</v>
      </c>
      <c r="G259" s="31" t="s">
        <v>1719</v>
      </c>
      <c r="H259" s="30" t="s">
        <v>131</v>
      </c>
      <c r="I259" s="25"/>
      <c r="J259" s="25" t="s">
        <v>1473</v>
      </c>
      <c r="K259" s="25"/>
      <c r="L259" s="30" t="s">
        <v>50</v>
      </c>
      <c r="M259" s="25" t="s">
        <v>1474</v>
      </c>
      <c r="N259" s="38">
        <v>44824</v>
      </c>
      <c r="O259" s="39">
        <v>351191</v>
      </c>
      <c r="P259" s="25">
        <v>305</v>
      </c>
      <c r="Q259" s="41">
        <f t="shared" si="9"/>
        <v>107113255</v>
      </c>
      <c r="R259" s="41">
        <v>449549</v>
      </c>
      <c r="S259" s="41">
        <f t="shared" si="8"/>
        <v>137112445</v>
      </c>
    </row>
    <row r="260" spans="1:19">
      <c r="A260" s="17"/>
      <c r="B260" s="18">
        <v>387</v>
      </c>
      <c r="C260" s="25" t="s">
        <v>1475</v>
      </c>
      <c r="D260" s="26" t="s">
        <v>1476</v>
      </c>
      <c r="E260" s="27" t="s">
        <v>9</v>
      </c>
      <c r="F260" s="28" t="s">
        <v>1692</v>
      </c>
      <c r="G260" s="29" t="s">
        <v>1693</v>
      </c>
      <c r="H260" s="30" t="s">
        <v>1365</v>
      </c>
      <c r="I260" s="25"/>
      <c r="J260" s="25" t="s">
        <v>1477</v>
      </c>
      <c r="K260" s="25"/>
      <c r="L260" s="30" t="s">
        <v>50</v>
      </c>
      <c r="M260" s="25" t="s">
        <v>1478</v>
      </c>
      <c r="N260" s="38">
        <v>44831</v>
      </c>
      <c r="O260" s="39">
        <v>254545</v>
      </c>
      <c r="P260" s="25">
        <v>2</v>
      </c>
      <c r="Q260" s="41">
        <f t="shared" si="9"/>
        <v>509090</v>
      </c>
      <c r="R260" s="41">
        <v>275000</v>
      </c>
      <c r="S260" s="41">
        <f t="shared" si="8"/>
        <v>550000</v>
      </c>
    </row>
    <row r="261" spans="1:19">
      <c r="A261" s="17"/>
      <c r="B261" s="18">
        <v>388</v>
      </c>
      <c r="C261" s="25" t="s">
        <v>1479</v>
      </c>
      <c r="D261" s="26" t="s">
        <v>1480</v>
      </c>
      <c r="E261" s="27" t="s">
        <v>82</v>
      </c>
      <c r="F261" s="28" t="s">
        <v>1698</v>
      </c>
      <c r="G261" s="31" t="s">
        <v>1699</v>
      </c>
      <c r="H261" s="27" t="s">
        <v>83</v>
      </c>
      <c r="I261" s="25"/>
      <c r="J261" s="25" t="s">
        <v>1481</v>
      </c>
      <c r="K261" s="25"/>
      <c r="L261" s="30" t="s">
        <v>85</v>
      </c>
      <c r="M261" s="25" t="s">
        <v>1482</v>
      </c>
      <c r="N261" s="38">
        <v>44832</v>
      </c>
      <c r="O261" s="39">
        <v>222727</v>
      </c>
      <c r="P261" s="25">
        <v>165</v>
      </c>
      <c r="Q261" s="41">
        <f t="shared" si="9"/>
        <v>36749955</v>
      </c>
      <c r="R261" s="41">
        <v>279090.90999999997</v>
      </c>
      <c r="S261" s="41">
        <f t="shared" si="8"/>
        <v>46050000.149999999</v>
      </c>
    </row>
    <row r="262" spans="1:19">
      <c r="A262" s="17"/>
      <c r="B262" s="18">
        <v>389</v>
      </c>
      <c r="C262" s="25" t="s">
        <v>1483</v>
      </c>
      <c r="D262" s="26">
        <v>2500024113</v>
      </c>
      <c r="E262" s="27" t="s">
        <v>10</v>
      </c>
      <c r="F262" s="28" t="s">
        <v>1702</v>
      </c>
      <c r="G262" s="31" t="s">
        <v>1703</v>
      </c>
      <c r="H262" s="27" t="s">
        <v>814</v>
      </c>
      <c r="I262" s="25"/>
      <c r="J262" s="25" t="s">
        <v>1484</v>
      </c>
      <c r="K262" s="25"/>
      <c r="L262" s="30" t="s">
        <v>816</v>
      </c>
      <c r="M262" s="25" t="s">
        <v>1384</v>
      </c>
      <c r="N262" s="38">
        <v>44783</v>
      </c>
      <c r="O262" s="39">
        <v>22727</v>
      </c>
      <c r="P262" s="25">
        <v>5</v>
      </c>
      <c r="Q262" s="41">
        <f t="shared" si="9"/>
        <v>113635</v>
      </c>
      <c r="R262" s="41">
        <v>29091</v>
      </c>
      <c r="S262" s="41">
        <f t="shared" si="8"/>
        <v>145455</v>
      </c>
    </row>
    <row r="263" spans="1:19">
      <c r="A263" s="17"/>
      <c r="B263" s="18">
        <v>390</v>
      </c>
      <c r="C263" s="19" t="s">
        <v>1485</v>
      </c>
      <c r="D263" s="20">
        <v>4800470092</v>
      </c>
      <c r="E263" s="21" t="s">
        <v>12</v>
      </c>
      <c r="F263" s="22" t="s">
        <v>1700</v>
      </c>
      <c r="G263" s="32" t="s">
        <v>1701</v>
      </c>
      <c r="H263" s="21" t="s">
        <v>466</v>
      </c>
      <c r="I263" s="19"/>
      <c r="J263" s="19" t="s">
        <v>1486</v>
      </c>
      <c r="K263" s="19"/>
      <c r="L263" s="24" t="s">
        <v>85</v>
      </c>
      <c r="M263" s="19" t="s">
        <v>1487</v>
      </c>
      <c r="N263" s="36">
        <v>44859</v>
      </c>
      <c r="O263" s="37">
        <v>222727</v>
      </c>
      <c r="P263" s="19">
        <v>95</v>
      </c>
      <c r="Q263" s="40">
        <f t="shared" si="9"/>
        <v>21159065</v>
      </c>
      <c r="R263" s="40">
        <v>257182</v>
      </c>
      <c r="S263" s="40">
        <f t="shared" si="8"/>
        <v>24432290</v>
      </c>
    </row>
    <row r="264" spans="1:19" s="1" customFormat="1" ht="12.75">
      <c r="A264" s="17"/>
      <c r="B264" s="18">
        <v>391</v>
      </c>
      <c r="C264" s="19" t="s">
        <v>1488</v>
      </c>
      <c r="D264" s="20">
        <v>2500026864</v>
      </c>
      <c r="E264" s="21" t="s">
        <v>11</v>
      </c>
      <c r="F264" s="22" t="s">
        <v>1696</v>
      </c>
      <c r="G264" s="32" t="s">
        <v>1697</v>
      </c>
      <c r="H264" s="24" t="s">
        <v>814</v>
      </c>
      <c r="I264" s="19"/>
      <c r="J264" s="19" t="s">
        <v>1489</v>
      </c>
      <c r="K264" s="19"/>
      <c r="L264" s="24" t="s">
        <v>816</v>
      </c>
      <c r="M264" s="19" t="s">
        <v>1384</v>
      </c>
      <c r="N264" s="36">
        <v>44848</v>
      </c>
      <c r="O264" s="37">
        <v>22727</v>
      </c>
      <c r="P264" s="19">
        <v>5</v>
      </c>
      <c r="Q264" s="40">
        <f t="shared" si="9"/>
        <v>113635</v>
      </c>
      <c r="R264" s="40">
        <v>29091</v>
      </c>
      <c r="S264" s="40">
        <f t="shared" si="8"/>
        <v>145455</v>
      </c>
    </row>
    <row r="265" spans="1:19" s="1" customFormat="1" ht="12.75">
      <c r="A265" s="17"/>
      <c r="B265" s="18">
        <v>392</v>
      </c>
      <c r="C265" s="19" t="s">
        <v>1490</v>
      </c>
      <c r="D265" s="20">
        <v>2500026864</v>
      </c>
      <c r="E265" s="21" t="s">
        <v>11</v>
      </c>
      <c r="F265" s="22" t="s">
        <v>1696</v>
      </c>
      <c r="G265" s="32" t="s">
        <v>1697</v>
      </c>
      <c r="H265" s="24" t="s">
        <v>814</v>
      </c>
      <c r="I265" s="19"/>
      <c r="J265" s="19" t="s">
        <v>1491</v>
      </c>
      <c r="K265" s="19"/>
      <c r="L265" s="24" t="s">
        <v>816</v>
      </c>
      <c r="M265" s="19" t="s">
        <v>1492</v>
      </c>
      <c r="N265" s="36">
        <v>44848</v>
      </c>
      <c r="O265" s="37">
        <v>22727</v>
      </c>
      <c r="P265" s="19">
        <v>10</v>
      </c>
      <c r="Q265" s="40">
        <f t="shared" si="9"/>
        <v>227270</v>
      </c>
      <c r="R265" s="40">
        <v>29091</v>
      </c>
      <c r="S265" s="40">
        <f t="shared" si="8"/>
        <v>290910</v>
      </c>
    </row>
    <row r="266" spans="1:19">
      <c r="A266" s="17"/>
      <c r="B266" s="18">
        <v>393</v>
      </c>
      <c r="C266" s="25" t="s">
        <v>1493</v>
      </c>
      <c r="D266" s="26" t="s">
        <v>1494</v>
      </c>
      <c r="E266" s="27" t="s">
        <v>1495</v>
      </c>
      <c r="F266" s="28" t="s">
        <v>1716</v>
      </c>
      <c r="G266" s="31" t="s">
        <v>1717</v>
      </c>
      <c r="H266" s="30" t="s">
        <v>1438</v>
      </c>
      <c r="I266" s="25"/>
      <c r="J266" s="25" t="s">
        <v>1496</v>
      </c>
      <c r="K266" s="25"/>
      <c r="L266" s="30" t="s">
        <v>63</v>
      </c>
      <c r="M266" s="25" t="s">
        <v>1497</v>
      </c>
      <c r="N266" s="38">
        <v>44881</v>
      </c>
      <c r="O266" s="39">
        <v>74181.600000000006</v>
      </c>
      <c r="P266" s="25">
        <v>113</v>
      </c>
      <c r="Q266" s="41">
        <f t="shared" si="9"/>
        <v>8382520.8000000007</v>
      </c>
      <c r="R266" s="41">
        <f>149000/1.11</f>
        <v>134234.23423423423</v>
      </c>
      <c r="S266" s="41">
        <f t="shared" si="8"/>
        <v>15168468.468468469</v>
      </c>
    </row>
    <row r="267" spans="1:19">
      <c r="A267" s="17"/>
      <c r="B267" s="18">
        <v>394</v>
      </c>
      <c r="C267" s="25" t="s">
        <v>1498</v>
      </c>
      <c r="D267" s="26" t="s">
        <v>1499</v>
      </c>
      <c r="E267" s="27" t="s">
        <v>7</v>
      </c>
      <c r="F267" s="28" t="s">
        <v>1698</v>
      </c>
      <c r="G267" s="31" t="s">
        <v>1699</v>
      </c>
      <c r="H267" s="27" t="s">
        <v>83</v>
      </c>
      <c r="I267" s="25"/>
      <c r="J267" s="25" t="s">
        <v>1500</v>
      </c>
      <c r="K267" s="25"/>
      <c r="L267" s="30" t="s">
        <v>85</v>
      </c>
      <c r="M267" s="25" t="s">
        <v>1501</v>
      </c>
      <c r="N267" s="38">
        <v>44886</v>
      </c>
      <c r="O267" s="39">
        <v>222727</v>
      </c>
      <c r="P267" s="25">
        <v>154</v>
      </c>
      <c r="Q267" s="41">
        <f t="shared" si="9"/>
        <v>34299958</v>
      </c>
      <c r="R267" s="41">
        <v>279090.90999999997</v>
      </c>
      <c r="S267" s="41">
        <f t="shared" si="8"/>
        <v>42980000.139999993</v>
      </c>
    </row>
    <row r="268" spans="1:19">
      <c r="A268" s="17"/>
      <c r="B268" s="18">
        <v>395</v>
      </c>
      <c r="C268" s="25" t="s">
        <v>1502</v>
      </c>
      <c r="D268" s="26">
        <v>2500030158</v>
      </c>
      <c r="E268" s="27" t="s">
        <v>10</v>
      </c>
      <c r="F268" s="28" t="s">
        <v>1702</v>
      </c>
      <c r="G268" s="31" t="s">
        <v>1703</v>
      </c>
      <c r="H268" s="27" t="s">
        <v>1503</v>
      </c>
      <c r="I268" s="25"/>
      <c r="J268" s="25" t="s">
        <v>1504</v>
      </c>
      <c r="K268" s="25"/>
      <c r="L268" s="30" t="s">
        <v>816</v>
      </c>
      <c r="M268" s="25" t="s">
        <v>1505</v>
      </c>
      <c r="N268" s="38">
        <v>44874</v>
      </c>
      <c r="O268" s="39">
        <v>22727</v>
      </c>
      <c r="P268" s="25">
        <v>15</v>
      </c>
      <c r="Q268" s="41">
        <f t="shared" si="9"/>
        <v>340905</v>
      </c>
      <c r="R268" s="41">
        <v>29091</v>
      </c>
      <c r="S268" s="41">
        <f t="shared" ref="S268:S329" si="10">R268*P268</f>
        <v>436365</v>
      </c>
    </row>
    <row r="269" spans="1:19">
      <c r="A269" s="17"/>
      <c r="B269" s="18">
        <v>396</v>
      </c>
      <c r="C269" s="25" t="s">
        <v>1506</v>
      </c>
      <c r="D269" s="26" t="s">
        <v>1507</v>
      </c>
      <c r="E269" s="27" t="s">
        <v>11</v>
      </c>
      <c r="F269" s="28" t="s">
        <v>1696</v>
      </c>
      <c r="G269" s="31" t="s">
        <v>1697</v>
      </c>
      <c r="H269" s="27" t="s">
        <v>1188</v>
      </c>
      <c r="I269" s="25"/>
      <c r="J269" s="25" t="s">
        <v>1508</v>
      </c>
      <c r="K269" s="25"/>
      <c r="L269" s="30" t="s">
        <v>50</v>
      </c>
      <c r="M269" s="25" t="s">
        <v>1509</v>
      </c>
      <c r="N269" s="38">
        <v>44888</v>
      </c>
      <c r="O269" s="39">
        <v>444545</v>
      </c>
      <c r="P269" s="25">
        <v>28</v>
      </c>
      <c r="Q269" s="41">
        <f t="shared" si="9"/>
        <v>12447260</v>
      </c>
      <c r="R269" s="41">
        <v>556364</v>
      </c>
      <c r="S269" s="41">
        <f t="shared" si="10"/>
        <v>15578192</v>
      </c>
    </row>
    <row r="270" spans="1:19">
      <c r="A270" s="17"/>
      <c r="B270" s="18">
        <v>397</v>
      </c>
      <c r="C270" s="25" t="s">
        <v>1510</v>
      </c>
      <c r="D270" s="26" t="s">
        <v>1511</v>
      </c>
      <c r="E270" s="27" t="s">
        <v>1437</v>
      </c>
      <c r="F270" s="28" t="s">
        <v>1716</v>
      </c>
      <c r="G270" s="31" t="s">
        <v>1717</v>
      </c>
      <c r="H270" s="27" t="s">
        <v>1512</v>
      </c>
      <c r="I270" s="25"/>
      <c r="J270" s="25" t="s">
        <v>1513</v>
      </c>
      <c r="K270" s="25"/>
      <c r="L270" s="30" t="s">
        <v>85</v>
      </c>
      <c r="M270" s="25" t="s">
        <v>1514</v>
      </c>
      <c r="N270" s="38">
        <v>44888</v>
      </c>
      <c r="O270" s="39">
        <v>222727</v>
      </c>
      <c r="P270" s="25">
        <v>11</v>
      </c>
      <c r="Q270" s="41">
        <f t="shared" si="9"/>
        <v>2449997</v>
      </c>
      <c r="R270" s="41">
        <v>281184</v>
      </c>
      <c r="S270" s="41">
        <f t="shared" si="10"/>
        <v>3093024</v>
      </c>
    </row>
    <row r="271" spans="1:19">
      <c r="A271" s="17"/>
      <c r="B271" s="18">
        <v>398</v>
      </c>
      <c r="C271" s="19" t="s">
        <v>1515</v>
      </c>
      <c r="D271" s="20" t="s">
        <v>1516</v>
      </c>
      <c r="E271" s="21" t="s">
        <v>11</v>
      </c>
      <c r="F271" s="22" t="s">
        <v>1696</v>
      </c>
      <c r="G271" s="32" t="s">
        <v>1697</v>
      </c>
      <c r="H271" s="21" t="s">
        <v>1517</v>
      </c>
      <c r="I271" s="19"/>
      <c r="J271" s="19" t="s">
        <v>1518</v>
      </c>
      <c r="K271" s="19"/>
      <c r="L271" s="24" t="s">
        <v>1519</v>
      </c>
      <c r="M271" s="19" t="s">
        <v>1520</v>
      </c>
      <c r="N271" s="36">
        <v>44896</v>
      </c>
      <c r="O271" s="37">
        <v>43636</v>
      </c>
      <c r="P271" s="19">
        <v>40</v>
      </c>
      <c r="Q271" s="40">
        <f t="shared" si="9"/>
        <v>1745440</v>
      </c>
      <c r="R271" s="40">
        <v>57300</v>
      </c>
      <c r="S271" s="40">
        <f t="shared" si="10"/>
        <v>2292000</v>
      </c>
    </row>
    <row r="272" spans="1:19">
      <c r="A272" s="17"/>
      <c r="B272" s="18">
        <v>399</v>
      </c>
      <c r="C272" s="19" t="s">
        <v>1521</v>
      </c>
      <c r="D272" s="20" t="s">
        <v>1522</v>
      </c>
      <c r="E272" s="21" t="s">
        <v>11</v>
      </c>
      <c r="F272" s="22" t="s">
        <v>1696</v>
      </c>
      <c r="G272" s="32" t="s">
        <v>1697</v>
      </c>
      <c r="H272" s="21" t="s">
        <v>1517</v>
      </c>
      <c r="I272" s="19"/>
      <c r="J272" s="19" t="s">
        <v>1523</v>
      </c>
      <c r="K272" s="19"/>
      <c r="L272" s="24" t="s">
        <v>1519</v>
      </c>
      <c r="M272" s="19" t="s">
        <v>1524</v>
      </c>
      <c r="N272" s="36">
        <v>44900</v>
      </c>
      <c r="O272" s="37">
        <v>43636</v>
      </c>
      <c r="P272" s="19">
        <v>60</v>
      </c>
      <c r="Q272" s="40">
        <f t="shared" si="9"/>
        <v>2618160</v>
      </c>
      <c r="R272" s="40">
        <v>57300</v>
      </c>
      <c r="S272" s="40">
        <f t="shared" si="10"/>
        <v>3438000</v>
      </c>
    </row>
    <row r="273" spans="1:19" s="1" customFormat="1" ht="12.75">
      <c r="A273" s="17"/>
      <c r="B273" s="18">
        <v>400</v>
      </c>
      <c r="C273" s="19" t="s">
        <v>1525</v>
      </c>
      <c r="D273" s="20" t="s">
        <v>2</v>
      </c>
      <c r="E273" s="21" t="s">
        <v>2</v>
      </c>
      <c r="F273" s="21"/>
      <c r="G273" s="43"/>
      <c r="H273" s="24" t="s">
        <v>1526</v>
      </c>
      <c r="I273" s="19"/>
      <c r="J273" s="19" t="s">
        <v>1527</v>
      </c>
      <c r="K273" s="19"/>
      <c r="L273" s="24" t="s">
        <v>1528</v>
      </c>
      <c r="M273" s="19" t="s">
        <v>1529</v>
      </c>
      <c r="N273" s="36">
        <v>44903</v>
      </c>
      <c r="O273" s="37">
        <v>36081</v>
      </c>
      <c r="P273" s="19">
        <v>3</v>
      </c>
      <c r="Q273" s="40">
        <f t="shared" si="9"/>
        <v>108243</v>
      </c>
      <c r="R273" s="40">
        <f>49950/1.11</f>
        <v>44999.999999999993</v>
      </c>
      <c r="S273" s="40">
        <f t="shared" si="10"/>
        <v>134999.99999999997</v>
      </c>
    </row>
    <row r="274" spans="1:19" s="1" customFormat="1" ht="12.75">
      <c r="A274" s="17"/>
      <c r="B274" s="18">
        <v>401</v>
      </c>
      <c r="C274" s="19" t="s">
        <v>1530</v>
      </c>
      <c r="D274" s="20" t="s">
        <v>2</v>
      </c>
      <c r="E274" s="21" t="s">
        <v>2</v>
      </c>
      <c r="F274" s="21"/>
      <c r="G274" s="43"/>
      <c r="H274" s="24" t="s">
        <v>1526</v>
      </c>
      <c r="I274" s="19"/>
      <c r="J274" s="19" t="s">
        <v>1527</v>
      </c>
      <c r="K274" s="19"/>
      <c r="L274" s="24" t="s">
        <v>1528</v>
      </c>
      <c r="M274" s="19" t="s">
        <v>1531</v>
      </c>
      <c r="N274" s="36">
        <v>44903</v>
      </c>
      <c r="O274" s="37">
        <v>36081</v>
      </c>
      <c r="P274" s="19">
        <v>3</v>
      </c>
      <c r="Q274" s="40">
        <f t="shared" si="9"/>
        <v>108243</v>
      </c>
      <c r="R274" s="40">
        <f>49950/1.11</f>
        <v>44999.999999999993</v>
      </c>
      <c r="S274" s="40">
        <f t="shared" si="10"/>
        <v>134999.99999999997</v>
      </c>
    </row>
    <row r="275" spans="1:19">
      <c r="A275" s="17"/>
      <c r="B275" s="18">
        <v>402</v>
      </c>
      <c r="C275" s="19" t="s">
        <v>1532</v>
      </c>
      <c r="D275" s="20" t="s">
        <v>1533</v>
      </c>
      <c r="E275" s="21" t="s">
        <v>11</v>
      </c>
      <c r="F275" s="22" t="s">
        <v>1696</v>
      </c>
      <c r="G275" s="32" t="s">
        <v>1697</v>
      </c>
      <c r="H275" s="21" t="s">
        <v>1517</v>
      </c>
      <c r="I275" s="19"/>
      <c r="J275" s="19" t="s">
        <v>1534</v>
      </c>
      <c r="K275" s="19"/>
      <c r="L275" s="24" t="s">
        <v>1519</v>
      </c>
      <c r="M275" s="19" t="s">
        <v>1535</v>
      </c>
      <c r="N275" s="36">
        <v>44905</v>
      </c>
      <c r="O275" s="37">
        <v>43636</v>
      </c>
      <c r="P275" s="19">
        <v>700</v>
      </c>
      <c r="Q275" s="40">
        <f t="shared" si="9"/>
        <v>30545200</v>
      </c>
      <c r="R275" s="40">
        <v>57300</v>
      </c>
      <c r="S275" s="40">
        <f t="shared" si="10"/>
        <v>40110000</v>
      </c>
    </row>
    <row r="276" spans="1:19" s="1" customFormat="1" ht="12.75">
      <c r="A276" s="17"/>
      <c r="B276" s="18">
        <v>403</v>
      </c>
      <c r="C276" s="19" t="s">
        <v>1536</v>
      </c>
      <c r="D276" s="20">
        <v>84404</v>
      </c>
      <c r="E276" s="21" t="s">
        <v>17</v>
      </c>
      <c r="F276" s="22" t="s">
        <v>1708</v>
      </c>
      <c r="G276" s="32" t="s">
        <v>1709</v>
      </c>
      <c r="H276" s="24" t="s">
        <v>114</v>
      </c>
      <c r="I276" s="19"/>
      <c r="J276" s="19" t="s">
        <v>1537</v>
      </c>
      <c r="K276" s="19"/>
      <c r="L276" s="24" t="s">
        <v>85</v>
      </c>
      <c r="M276" s="19" t="s">
        <v>1538</v>
      </c>
      <c r="N276" s="36">
        <v>44907</v>
      </c>
      <c r="O276" s="37">
        <v>222727</v>
      </c>
      <c r="P276" s="19">
        <v>49</v>
      </c>
      <c r="Q276" s="40">
        <f t="shared" si="9"/>
        <v>10913623</v>
      </c>
      <c r="R276" s="40">
        <v>279091</v>
      </c>
      <c r="S276" s="40">
        <f t="shared" si="10"/>
        <v>13675459</v>
      </c>
    </row>
    <row r="277" spans="1:19">
      <c r="A277" s="17"/>
      <c r="B277" s="18">
        <v>404</v>
      </c>
      <c r="C277" s="19" t="s">
        <v>1539</v>
      </c>
      <c r="D277" s="20">
        <v>84404</v>
      </c>
      <c r="E277" s="21" t="s">
        <v>17</v>
      </c>
      <c r="F277" s="22" t="s">
        <v>1708</v>
      </c>
      <c r="G277" s="32" t="s">
        <v>1709</v>
      </c>
      <c r="H277" s="24" t="s">
        <v>114</v>
      </c>
      <c r="I277" s="19"/>
      <c r="J277" s="19" t="s">
        <v>1537</v>
      </c>
      <c r="K277" s="19"/>
      <c r="L277" s="24" t="s">
        <v>92</v>
      </c>
      <c r="M277" s="19" t="s">
        <v>116</v>
      </c>
      <c r="N277" s="36">
        <v>44907</v>
      </c>
      <c r="O277" s="37">
        <v>46364</v>
      </c>
      <c r="P277" s="19">
        <v>49</v>
      </c>
      <c r="Q277" s="40">
        <f t="shared" si="9"/>
        <v>2271836</v>
      </c>
      <c r="R277" s="40">
        <v>58182</v>
      </c>
      <c r="S277" s="40">
        <f t="shared" si="10"/>
        <v>2850918</v>
      </c>
    </row>
    <row r="278" spans="1:19" s="1" customFormat="1" ht="12.75">
      <c r="A278" s="17"/>
      <c r="B278" s="18">
        <v>405</v>
      </c>
      <c r="C278" s="19" t="s">
        <v>1540</v>
      </c>
      <c r="D278" s="20">
        <v>84404</v>
      </c>
      <c r="E278" s="21" t="s">
        <v>17</v>
      </c>
      <c r="F278" s="22" t="s">
        <v>1708</v>
      </c>
      <c r="G278" s="32" t="s">
        <v>1709</v>
      </c>
      <c r="H278" s="24" t="s">
        <v>114</v>
      </c>
      <c r="I278" s="19"/>
      <c r="J278" s="19" t="s">
        <v>1541</v>
      </c>
      <c r="K278" s="19"/>
      <c r="L278" s="24" t="s">
        <v>85</v>
      </c>
      <c r="M278" s="19" t="s">
        <v>1542</v>
      </c>
      <c r="N278" s="36">
        <v>44907</v>
      </c>
      <c r="O278" s="37">
        <v>171818</v>
      </c>
      <c r="P278" s="19">
        <v>20</v>
      </c>
      <c r="Q278" s="40">
        <f t="shared" si="9"/>
        <v>3436360</v>
      </c>
      <c r="R278" s="40">
        <v>279091</v>
      </c>
      <c r="S278" s="40">
        <f t="shared" si="10"/>
        <v>5581820</v>
      </c>
    </row>
    <row r="279" spans="1:19" s="1" customFormat="1" ht="12.75">
      <c r="A279" s="17"/>
      <c r="B279" s="18">
        <v>406</v>
      </c>
      <c r="C279" s="19" t="s">
        <v>1543</v>
      </c>
      <c r="D279" s="20">
        <v>84404</v>
      </c>
      <c r="E279" s="21" t="s">
        <v>17</v>
      </c>
      <c r="F279" s="22" t="s">
        <v>1708</v>
      </c>
      <c r="G279" s="32" t="s">
        <v>1709</v>
      </c>
      <c r="H279" s="24" t="s">
        <v>114</v>
      </c>
      <c r="I279" s="19"/>
      <c r="J279" s="19" t="s">
        <v>1541</v>
      </c>
      <c r="K279" s="19"/>
      <c r="L279" s="24" t="s">
        <v>92</v>
      </c>
      <c r="M279" s="19" t="s">
        <v>118</v>
      </c>
      <c r="N279" s="36">
        <v>44907</v>
      </c>
      <c r="O279" s="37">
        <v>40909</v>
      </c>
      <c r="P279" s="19">
        <v>20</v>
      </c>
      <c r="Q279" s="40">
        <f t="shared" si="9"/>
        <v>818180</v>
      </c>
      <c r="R279" s="40">
        <v>58182</v>
      </c>
      <c r="S279" s="40">
        <f t="shared" si="10"/>
        <v>1163640</v>
      </c>
    </row>
    <row r="280" spans="1:19" s="1" customFormat="1" ht="12.75">
      <c r="A280" s="17"/>
      <c r="B280" s="18">
        <v>407</v>
      </c>
      <c r="C280" s="19" t="s">
        <v>1544</v>
      </c>
      <c r="D280" s="20">
        <v>84404</v>
      </c>
      <c r="E280" s="21" t="s">
        <v>17</v>
      </c>
      <c r="F280" s="22" t="s">
        <v>1708</v>
      </c>
      <c r="G280" s="32" t="s">
        <v>1709</v>
      </c>
      <c r="H280" s="24" t="s">
        <v>114</v>
      </c>
      <c r="I280" s="19"/>
      <c r="J280" s="19" t="s">
        <v>1545</v>
      </c>
      <c r="K280" s="19"/>
      <c r="L280" s="24" t="s">
        <v>1457</v>
      </c>
      <c r="M280" s="19" t="s">
        <v>1546</v>
      </c>
      <c r="N280" s="36">
        <v>44907</v>
      </c>
      <c r="O280" s="37">
        <v>216480.5</v>
      </c>
      <c r="P280" s="19">
        <v>1</v>
      </c>
      <c r="Q280" s="40">
        <f t="shared" si="9"/>
        <v>216480.5</v>
      </c>
      <c r="R280" s="40">
        <v>533408</v>
      </c>
      <c r="S280" s="40">
        <f t="shared" si="10"/>
        <v>533408</v>
      </c>
    </row>
    <row r="281" spans="1:19">
      <c r="A281" s="17"/>
      <c r="B281" s="18">
        <v>408</v>
      </c>
      <c r="C281" s="19" t="s">
        <v>1547</v>
      </c>
      <c r="D281" s="20" t="s">
        <v>1548</v>
      </c>
      <c r="E281" s="21" t="s">
        <v>11</v>
      </c>
      <c r="F281" s="22" t="s">
        <v>1696</v>
      </c>
      <c r="G281" s="32" t="s">
        <v>1697</v>
      </c>
      <c r="H281" s="21" t="s">
        <v>1517</v>
      </c>
      <c r="I281" s="19"/>
      <c r="J281" s="19" t="s">
        <v>1549</v>
      </c>
      <c r="K281" s="19"/>
      <c r="L281" s="24" t="s">
        <v>1519</v>
      </c>
      <c r="M281" s="19" t="s">
        <v>1550</v>
      </c>
      <c r="N281" s="36">
        <v>44907</v>
      </c>
      <c r="O281" s="37">
        <v>43636</v>
      </c>
      <c r="P281" s="19">
        <v>300</v>
      </c>
      <c r="Q281" s="40">
        <f t="shared" si="9"/>
        <v>13090800</v>
      </c>
      <c r="R281" s="40">
        <v>57300</v>
      </c>
      <c r="S281" s="40">
        <f t="shared" si="10"/>
        <v>17190000</v>
      </c>
    </row>
    <row r="282" spans="1:19">
      <c r="A282" s="17"/>
      <c r="B282" s="18">
        <v>409</v>
      </c>
      <c r="C282" s="19" t="s">
        <v>1551</v>
      </c>
      <c r="D282" s="20" t="s">
        <v>1552</v>
      </c>
      <c r="E282" s="21" t="s">
        <v>11</v>
      </c>
      <c r="F282" s="22" t="s">
        <v>1696</v>
      </c>
      <c r="G282" s="32" t="s">
        <v>1697</v>
      </c>
      <c r="H282" s="24" t="s">
        <v>733</v>
      </c>
      <c r="I282" s="19"/>
      <c r="J282" s="19" t="s">
        <v>1553</v>
      </c>
      <c r="K282" s="19"/>
      <c r="L282" s="24" t="s">
        <v>85</v>
      </c>
      <c r="M282" s="19" t="s">
        <v>1554</v>
      </c>
      <c r="N282" s="36">
        <v>44910</v>
      </c>
      <c r="O282" s="37">
        <v>222727</v>
      </c>
      <c r="P282" s="19">
        <v>105</v>
      </c>
      <c r="Q282" s="40">
        <f t="shared" si="9"/>
        <v>23386335</v>
      </c>
      <c r="R282" s="40">
        <v>279091</v>
      </c>
      <c r="S282" s="40">
        <f t="shared" si="10"/>
        <v>29304555</v>
      </c>
    </row>
    <row r="283" spans="1:19" s="1" customFormat="1" ht="12.75">
      <c r="A283" s="17"/>
      <c r="B283" s="18">
        <v>410</v>
      </c>
      <c r="C283" s="19" t="s">
        <v>1555</v>
      </c>
      <c r="D283" s="20" t="s">
        <v>2</v>
      </c>
      <c r="E283" s="21" t="s">
        <v>2</v>
      </c>
      <c r="F283" s="21"/>
      <c r="G283" s="43"/>
      <c r="H283" s="24" t="s">
        <v>1526</v>
      </c>
      <c r="I283" s="19"/>
      <c r="J283" s="19" t="s">
        <v>1556</v>
      </c>
      <c r="K283" s="19"/>
      <c r="L283" s="24" t="s">
        <v>1457</v>
      </c>
      <c r="M283" s="19" t="s">
        <v>1557</v>
      </c>
      <c r="N283" s="36">
        <v>44911</v>
      </c>
      <c r="O283" s="37">
        <v>432961</v>
      </c>
      <c r="P283" s="19">
        <v>1</v>
      </c>
      <c r="Q283" s="40">
        <f t="shared" si="9"/>
        <v>432961</v>
      </c>
      <c r="R283" s="40">
        <f>592083/1.11</f>
        <v>533408.10810810805</v>
      </c>
      <c r="S283" s="40">
        <f t="shared" si="10"/>
        <v>533408.10810810805</v>
      </c>
    </row>
    <row r="284" spans="1:19" s="1" customFormat="1" ht="12.75">
      <c r="A284" s="17"/>
      <c r="B284" s="44">
        <v>411</v>
      </c>
      <c r="C284" s="45" t="s">
        <v>1558</v>
      </c>
      <c r="D284" s="46" t="s">
        <v>2</v>
      </c>
      <c r="E284" s="47" t="s">
        <v>2</v>
      </c>
      <c r="F284" s="47"/>
      <c r="G284" s="48"/>
      <c r="H284" s="49" t="s">
        <v>1526</v>
      </c>
      <c r="I284" s="45"/>
      <c r="J284" s="45" t="s">
        <v>1556</v>
      </c>
      <c r="K284" s="45"/>
      <c r="L284" s="49" t="s">
        <v>1457</v>
      </c>
      <c r="M284" s="45" t="s">
        <v>1559</v>
      </c>
      <c r="N284" s="102">
        <v>44911</v>
      </c>
      <c r="O284" s="103">
        <v>432961</v>
      </c>
      <c r="P284" s="45">
        <v>2</v>
      </c>
      <c r="Q284" s="120">
        <f t="shared" si="9"/>
        <v>865922</v>
      </c>
      <c r="R284" s="120">
        <f>592083/1.11</f>
        <v>533408.10810810805</v>
      </c>
      <c r="S284" s="40">
        <f t="shared" si="10"/>
        <v>1066816.2162162161</v>
      </c>
    </row>
    <row r="285" spans="1:19" s="1" customFormat="1" ht="12.75">
      <c r="A285" s="17"/>
      <c r="B285" s="44">
        <v>412</v>
      </c>
      <c r="C285" s="45" t="s">
        <v>1560</v>
      </c>
      <c r="D285" s="46" t="s">
        <v>1561</v>
      </c>
      <c r="E285" s="47" t="s">
        <v>9</v>
      </c>
      <c r="F285" s="50" t="s">
        <v>1692</v>
      </c>
      <c r="G285" s="51" t="s">
        <v>1693</v>
      </c>
      <c r="H285" s="49" t="s">
        <v>1562</v>
      </c>
      <c r="I285" s="45"/>
      <c r="J285" s="45" t="s">
        <v>1563</v>
      </c>
      <c r="K285" s="45"/>
      <c r="L285" s="49" t="s">
        <v>50</v>
      </c>
      <c r="M285" s="45" t="s">
        <v>1564</v>
      </c>
      <c r="N285" s="102">
        <v>44915</v>
      </c>
      <c r="O285" s="103">
        <v>254545</v>
      </c>
      <c r="P285" s="45">
        <v>5</v>
      </c>
      <c r="Q285" s="120">
        <f t="shared" si="9"/>
        <v>1272725</v>
      </c>
      <c r="R285" s="120">
        <v>275000</v>
      </c>
      <c r="S285" s="40">
        <f t="shared" si="10"/>
        <v>1375000</v>
      </c>
    </row>
    <row r="286" spans="1:19" s="1" customFormat="1" ht="12.75">
      <c r="A286" s="17"/>
      <c r="B286" s="52">
        <v>413</v>
      </c>
      <c r="C286" s="45" t="s">
        <v>1565</v>
      </c>
      <c r="D286" s="46" t="s">
        <v>1515</v>
      </c>
      <c r="E286" s="47" t="s">
        <v>1468</v>
      </c>
      <c r="F286" s="50" t="s">
        <v>1720</v>
      </c>
      <c r="G286" s="53" t="s">
        <v>1721</v>
      </c>
      <c r="H286" s="49" t="s">
        <v>1566</v>
      </c>
      <c r="I286" s="45"/>
      <c r="J286" s="45" t="s">
        <v>1567</v>
      </c>
      <c r="K286" s="45"/>
      <c r="L286" s="49" t="s">
        <v>85</v>
      </c>
      <c r="M286" s="45" t="s">
        <v>1568</v>
      </c>
      <c r="N286" s="102">
        <v>44916</v>
      </c>
      <c r="O286" s="103">
        <v>222727</v>
      </c>
      <c r="P286" s="45">
        <v>105</v>
      </c>
      <c r="Q286" s="120">
        <f t="shared" si="9"/>
        <v>23386335</v>
      </c>
      <c r="R286" s="120">
        <v>273292</v>
      </c>
      <c r="S286" s="40">
        <f t="shared" si="10"/>
        <v>28695660</v>
      </c>
    </row>
    <row r="287" spans="1:19">
      <c r="A287" s="17"/>
      <c r="B287" s="44">
        <v>414</v>
      </c>
      <c r="C287" s="54" t="s">
        <v>1569</v>
      </c>
      <c r="D287" s="55" t="s">
        <v>1570</v>
      </c>
      <c r="E287" s="56" t="s">
        <v>10</v>
      </c>
      <c r="F287" s="57" t="s">
        <v>1702</v>
      </c>
      <c r="G287" s="58" t="s">
        <v>1703</v>
      </c>
      <c r="H287" s="59" t="s">
        <v>814</v>
      </c>
      <c r="I287" s="55"/>
      <c r="J287" s="104" t="s">
        <v>1571</v>
      </c>
      <c r="K287" s="55"/>
      <c r="L287" s="105" t="s">
        <v>816</v>
      </c>
      <c r="M287" s="106" t="s">
        <v>1572</v>
      </c>
      <c r="N287" s="107">
        <v>44931</v>
      </c>
      <c r="O287" s="108">
        <v>22727</v>
      </c>
      <c r="P287" s="70">
        <v>2</v>
      </c>
      <c r="Q287" s="121">
        <f t="shared" si="9"/>
        <v>45454</v>
      </c>
      <c r="R287" s="121">
        <v>29091</v>
      </c>
      <c r="S287" s="121">
        <f t="shared" si="10"/>
        <v>58182</v>
      </c>
    </row>
    <row r="288" spans="1:19" ht="15.75" customHeight="1">
      <c r="A288" s="17"/>
      <c r="B288" s="44">
        <v>415</v>
      </c>
      <c r="C288" s="60" t="s">
        <v>1573</v>
      </c>
      <c r="D288" s="61" t="s">
        <v>1574</v>
      </c>
      <c r="E288" s="62" t="s">
        <v>10</v>
      </c>
      <c r="F288" s="57" t="s">
        <v>1702</v>
      </c>
      <c r="G288" s="58" t="s">
        <v>1703</v>
      </c>
      <c r="H288" s="63" t="s">
        <v>814</v>
      </c>
      <c r="I288" s="61"/>
      <c r="J288" s="109" t="s">
        <v>1575</v>
      </c>
      <c r="K288" s="110"/>
      <c r="L288" s="105" t="s">
        <v>816</v>
      </c>
      <c r="M288" s="70" t="s">
        <v>1576</v>
      </c>
      <c r="N288" s="111">
        <v>44936</v>
      </c>
      <c r="O288" s="108">
        <v>22727</v>
      </c>
      <c r="P288" s="70">
        <v>4</v>
      </c>
      <c r="Q288" s="121">
        <f t="shared" si="9"/>
        <v>90908</v>
      </c>
      <c r="R288" s="121">
        <v>29091</v>
      </c>
      <c r="S288" s="121">
        <f t="shared" si="10"/>
        <v>116364</v>
      </c>
    </row>
    <row r="289" spans="1:19">
      <c r="A289" s="17"/>
      <c r="B289" s="52">
        <v>416</v>
      </c>
      <c r="C289" s="64" t="s">
        <v>1577</v>
      </c>
      <c r="D289" s="65" t="s">
        <v>1574</v>
      </c>
      <c r="E289" s="56" t="s">
        <v>10</v>
      </c>
      <c r="F289" s="57" t="s">
        <v>1702</v>
      </c>
      <c r="G289" s="58" t="s">
        <v>1703</v>
      </c>
      <c r="H289" s="59" t="s">
        <v>814</v>
      </c>
      <c r="I289" s="61"/>
      <c r="J289" s="109" t="s">
        <v>1578</v>
      </c>
      <c r="K289" s="109"/>
      <c r="L289" s="105" t="s">
        <v>816</v>
      </c>
      <c r="M289" s="70" t="s">
        <v>1505</v>
      </c>
      <c r="N289" s="111">
        <v>44936</v>
      </c>
      <c r="O289" s="108">
        <v>22727</v>
      </c>
      <c r="P289" s="70">
        <v>15</v>
      </c>
      <c r="Q289" s="121">
        <f t="shared" si="9"/>
        <v>340905</v>
      </c>
      <c r="R289" s="121">
        <v>29091</v>
      </c>
      <c r="S289" s="121">
        <f t="shared" si="10"/>
        <v>436365</v>
      </c>
    </row>
    <row r="290" spans="1:19">
      <c r="A290" s="17"/>
      <c r="B290" s="44">
        <v>417</v>
      </c>
      <c r="C290" s="60" t="s">
        <v>1579</v>
      </c>
      <c r="D290" s="66" t="s">
        <v>1580</v>
      </c>
      <c r="E290" s="62" t="s">
        <v>11</v>
      </c>
      <c r="F290" s="28" t="s">
        <v>1696</v>
      </c>
      <c r="G290" s="31" t="s">
        <v>1697</v>
      </c>
      <c r="H290" s="63" t="s">
        <v>1581</v>
      </c>
      <c r="I290" s="61"/>
      <c r="J290" s="61" t="s">
        <v>1582</v>
      </c>
      <c r="K290" s="110"/>
      <c r="L290" s="105" t="s">
        <v>85</v>
      </c>
      <c r="M290" s="70" t="s">
        <v>1583</v>
      </c>
      <c r="N290" s="111">
        <v>44929</v>
      </c>
      <c r="O290" s="108">
        <v>222727</v>
      </c>
      <c r="P290" s="70">
        <v>2</v>
      </c>
      <c r="Q290" s="121">
        <f t="shared" si="9"/>
        <v>445454</v>
      </c>
      <c r="R290" s="121">
        <v>279091</v>
      </c>
      <c r="S290" s="121">
        <f t="shared" si="10"/>
        <v>558182</v>
      </c>
    </row>
    <row r="291" spans="1:19">
      <c r="A291" s="17"/>
      <c r="B291" s="44">
        <v>418</v>
      </c>
      <c r="C291" s="60" t="s">
        <v>1584</v>
      </c>
      <c r="D291" s="66" t="s">
        <v>1585</v>
      </c>
      <c r="E291" s="62" t="s">
        <v>11</v>
      </c>
      <c r="F291" s="28" t="s">
        <v>1696</v>
      </c>
      <c r="G291" s="31" t="s">
        <v>1697</v>
      </c>
      <c r="H291" s="67" t="s">
        <v>1586</v>
      </c>
      <c r="I291" s="61"/>
      <c r="J291" s="61" t="s">
        <v>1587</v>
      </c>
      <c r="K291" s="66"/>
      <c r="L291" s="67" t="s">
        <v>1588</v>
      </c>
      <c r="M291" s="70" t="s">
        <v>1589</v>
      </c>
      <c r="N291" s="107">
        <v>44932</v>
      </c>
      <c r="O291" s="108">
        <v>231750</v>
      </c>
      <c r="P291" s="70">
        <v>86</v>
      </c>
      <c r="Q291" s="121">
        <f t="shared" si="9"/>
        <v>19930500</v>
      </c>
      <c r="R291" s="121">
        <v>245000</v>
      </c>
      <c r="S291" s="121">
        <f t="shared" si="10"/>
        <v>21070000</v>
      </c>
    </row>
    <row r="292" spans="1:19">
      <c r="A292" s="17"/>
      <c r="B292" s="52">
        <v>419</v>
      </c>
      <c r="C292" s="60" t="s">
        <v>1590</v>
      </c>
      <c r="D292" s="66" t="s">
        <v>1591</v>
      </c>
      <c r="E292" s="67" t="s">
        <v>1592</v>
      </c>
      <c r="F292" s="68" t="s">
        <v>1722</v>
      </c>
      <c r="G292" s="69" t="s">
        <v>1723</v>
      </c>
      <c r="H292" s="67" t="s">
        <v>1593</v>
      </c>
      <c r="I292" s="61"/>
      <c r="J292" s="61" t="s">
        <v>1594</v>
      </c>
      <c r="K292" s="66"/>
      <c r="L292" s="105" t="s">
        <v>85</v>
      </c>
      <c r="M292" s="70" t="s">
        <v>1595</v>
      </c>
      <c r="N292" s="107">
        <v>44935</v>
      </c>
      <c r="O292" s="108">
        <v>222727</v>
      </c>
      <c r="P292" s="70">
        <v>38</v>
      </c>
      <c r="Q292" s="121">
        <f t="shared" si="9"/>
        <v>8463626</v>
      </c>
      <c r="R292" s="122">
        <v>309791</v>
      </c>
      <c r="S292" s="121">
        <f t="shared" si="10"/>
        <v>11772058</v>
      </c>
    </row>
    <row r="293" spans="1:19" ht="15" customHeight="1">
      <c r="A293" s="17"/>
      <c r="B293" s="52">
        <v>420</v>
      </c>
      <c r="C293" s="60" t="s">
        <v>1596</v>
      </c>
      <c r="D293" s="70" t="s">
        <v>1597</v>
      </c>
      <c r="E293" s="67" t="s">
        <v>1598</v>
      </c>
      <c r="F293" s="68" t="s">
        <v>1724</v>
      </c>
      <c r="G293" s="69" t="s">
        <v>1725</v>
      </c>
      <c r="H293" s="67" t="s">
        <v>1599</v>
      </c>
      <c r="I293" s="112"/>
      <c r="J293" s="61" t="s">
        <v>1600</v>
      </c>
      <c r="K293" s="112"/>
      <c r="L293" s="105" t="s">
        <v>85</v>
      </c>
      <c r="M293" s="70" t="s">
        <v>1601</v>
      </c>
      <c r="N293" s="113">
        <v>44936</v>
      </c>
      <c r="O293" s="108">
        <v>222727</v>
      </c>
      <c r="P293" s="70">
        <v>15</v>
      </c>
      <c r="Q293" s="121">
        <f t="shared" si="9"/>
        <v>3340905</v>
      </c>
      <c r="R293" s="122">
        <v>309791</v>
      </c>
      <c r="S293" s="121">
        <f t="shared" si="10"/>
        <v>4646865</v>
      </c>
    </row>
    <row r="294" spans="1:19">
      <c r="A294" s="17"/>
      <c r="B294" s="52">
        <v>421</v>
      </c>
      <c r="C294" s="60" t="s">
        <v>1602</v>
      </c>
      <c r="D294" s="70" t="s">
        <v>1597</v>
      </c>
      <c r="E294" s="67" t="s">
        <v>1598</v>
      </c>
      <c r="F294" s="68" t="s">
        <v>1724</v>
      </c>
      <c r="G294" s="69" t="s">
        <v>1725</v>
      </c>
      <c r="H294" s="67" t="s">
        <v>1599</v>
      </c>
      <c r="I294" s="112"/>
      <c r="J294" s="61" t="s">
        <v>1600</v>
      </c>
      <c r="K294" s="112"/>
      <c r="L294" s="105" t="s">
        <v>63</v>
      </c>
      <c r="M294" s="70" t="s">
        <v>1603</v>
      </c>
      <c r="N294" s="113">
        <v>44936</v>
      </c>
      <c r="O294" s="108">
        <v>92727</v>
      </c>
      <c r="P294" s="70">
        <v>15</v>
      </c>
      <c r="Q294" s="121">
        <f t="shared" si="9"/>
        <v>1390905</v>
      </c>
      <c r="R294" s="122">
        <v>129164</v>
      </c>
      <c r="S294" s="121">
        <f t="shared" si="10"/>
        <v>1937460</v>
      </c>
    </row>
    <row r="295" spans="1:19">
      <c r="A295" s="17"/>
      <c r="B295" s="52">
        <v>422</v>
      </c>
      <c r="C295" s="60" t="s">
        <v>1604</v>
      </c>
      <c r="D295" s="70" t="s">
        <v>1605</v>
      </c>
      <c r="E295" s="71" t="s">
        <v>1606</v>
      </c>
      <c r="F295" s="72" t="s">
        <v>1700</v>
      </c>
      <c r="G295" s="73" t="s">
        <v>1701</v>
      </c>
      <c r="H295" s="67" t="s">
        <v>1607</v>
      </c>
      <c r="I295" s="112"/>
      <c r="J295" s="61" t="s">
        <v>1608</v>
      </c>
      <c r="K295" s="112"/>
      <c r="L295" s="105" t="s">
        <v>85</v>
      </c>
      <c r="M295" s="70" t="s">
        <v>1609</v>
      </c>
      <c r="N295" s="113">
        <v>44945</v>
      </c>
      <c r="O295" s="108">
        <v>222727</v>
      </c>
      <c r="P295" s="70">
        <v>25</v>
      </c>
      <c r="Q295" s="121">
        <f t="shared" si="9"/>
        <v>5568175</v>
      </c>
      <c r="R295" s="122">
        <v>257182</v>
      </c>
      <c r="S295" s="121">
        <f t="shared" si="10"/>
        <v>6429550</v>
      </c>
    </row>
    <row r="296" spans="1:19" ht="15" customHeight="1">
      <c r="A296" s="17"/>
      <c r="B296" s="52">
        <v>423</v>
      </c>
      <c r="C296" s="60" t="s">
        <v>1610</v>
      </c>
      <c r="D296" s="70" t="s">
        <v>1611</v>
      </c>
      <c r="E296" s="67" t="s">
        <v>1598</v>
      </c>
      <c r="F296" s="68" t="s">
        <v>1724</v>
      </c>
      <c r="G296" s="69" t="s">
        <v>1725</v>
      </c>
      <c r="H296" s="74" t="s">
        <v>1612</v>
      </c>
      <c r="I296" s="112"/>
      <c r="J296" s="61" t="s">
        <v>1613</v>
      </c>
      <c r="K296" s="112"/>
      <c r="L296" s="110" t="s">
        <v>1614</v>
      </c>
      <c r="M296" s="70" t="s">
        <v>1615</v>
      </c>
      <c r="N296" s="113">
        <v>44952</v>
      </c>
      <c r="O296" s="108">
        <v>92438</v>
      </c>
      <c r="P296" s="70">
        <v>58</v>
      </c>
      <c r="Q296" s="121">
        <f t="shared" si="9"/>
        <v>5361404</v>
      </c>
      <c r="R296" s="122">
        <v>109890</v>
      </c>
      <c r="S296" s="121">
        <f t="shared" si="10"/>
        <v>6373620</v>
      </c>
    </row>
    <row r="297" spans="1:19">
      <c r="A297" s="17"/>
      <c r="B297" s="52">
        <v>424</v>
      </c>
      <c r="C297" s="60" t="s">
        <v>1616</v>
      </c>
      <c r="D297" s="70" t="s">
        <v>1617</v>
      </c>
      <c r="E297" s="71" t="s">
        <v>1606</v>
      </c>
      <c r="F297" s="72" t="s">
        <v>1700</v>
      </c>
      <c r="G297" s="73" t="s">
        <v>1701</v>
      </c>
      <c r="H297" s="62" t="s">
        <v>742</v>
      </c>
      <c r="I297" s="112"/>
      <c r="J297" s="61" t="s">
        <v>1618</v>
      </c>
      <c r="K297" s="112"/>
      <c r="L297" s="105" t="s">
        <v>92</v>
      </c>
      <c r="M297" s="70" t="s">
        <v>1619</v>
      </c>
      <c r="N297" s="113">
        <v>44947</v>
      </c>
      <c r="O297" s="108">
        <v>32273</v>
      </c>
      <c r="P297" s="70">
        <v>218</v>
      </c>
      <c r="Q297" s="121">
        <f t="shared" si="9"/>
        <v>7035514</v>
      </c>
      <c r="R297" s="122">
        <v>35500</v>
      </c>
      <c r="S297" s="121">
        <f t="shared" si="10"/>
        <v>7739000</v>
      </c>
    </row>
    <row r="298" spans="1:19">
      <c r="A298" s="17"/>
      <c r="B298" s="52">
        <v>425</v>
      </c>
      <c r="C298" s="60" t="s">
        <v>1620</v>
      </c>
      <c r="D298" s="66">
        <v>2500040497</v>
      </c>
      <c r="E298" s="62" t="s">
        <v>10</v>
      </c>
      <c r="F298" s="57" t="s">
        <v>1702</v>
      </c>
      <c r="G298" s="58" t="s">
        <v>1703</v>
      </c>
      <c r="H298" s="63" t="s">
        <v>814</v>
      </c>
      <c r="I298" s="112"/>
      <c r="J298" s="109" t="s">
        <v>1621</v>
      </c>
      <c r="K298" s="112"/>
      <c r="L298" s="105" t="s">
        <v>816</v>
      </c>
      <c r="M298" s="70" t="s">
        <v>1572</v>
      </c>
      <c r="N298" s="113">
        <v>44960</v>
      </c>
      <c r="O298" s="108">
        <v>22727</v>
      </c>
      <c r="P298" s="70">
        <v>2</v>
      </c>
      <c r="Q298" s="121">
        <f t="shared" ref="Q298:Q329" si="11">O298*P298</f>
        <v>45454</v>
      </c>
      <c r="R298" s="121">
        <v>29091</v>
      </c>
      <c r="S298" s="121">
        <f t="shared" si="10"/>
        <v>58182</v>
      </c>
    </row>
    <row r="299" spans="1:19">
      <c r="A299" s="17"/>
      <c r="B299" s="52">
        <v>426</v>
      </c>
      <c r="C299" s="60" t="s">
        <v>1622</v>
      </c>
      <c r="D299" s="66">
        <v>2500042410</v>
      </c>
      <c r="E299" s="62" t="s">
        <v>10</v>
      </c>
      <c r="F299" s="57" t="s">
        <v>1702</v>
      </c>
      <c r="G299" s="58" t="s">
        <v>1703</v>
      </c>
      <c r="H299" s="63" t="s">
        <v>814</v>
      </c>
      <c r="I299" s="70"/>
      <c r="J299" s="109" t="s">
        <v>1623</v>
      </c>
      <c r="K299" s="70"/>
      <c r="L299" s="105" t="s">
        <v>816</v>
      </c>
      <c r="M299" s="70" t="s">
        <v>1624</v>
      </c>
      <c r="N299" s="113">
        <v>44974</v>
      </c>
      <c r="O299" s="108">
        <v>22727</v>
      </c>
      <c r="P299" s="70">
        <v>19</v>
      </c>
      <c r="Q299" s="121">
        <f t="shared" si="11"/>
        <v>431813</v>
      </c>
      <c r="R299" s="121">
        <v>29091</v>
      </c>
      <c r="S299" s="121">
        <f t="shared" si="10"/>
        <v>552729</v>
      </c>
    </row>
    <row r="300" spans="1:19">
      <c r="A300" s="17"/>
      <c r="B300" s="52">
        <v>427</v>
      </c>
      <c r="C300" s="60" t="s">
        <v>1625</v>
      </c>
      <c r="D300" s="70" t="s">
        <v>1626</v>
      </c>
      <c r="E300" s="62" t="s">
        <v>11</v>
      </c>
      <c r="F300" s="28" t="s">
        <v>1696</v>
      </c>
      <c r="G300" s="31" t="s">
        <v>1697</v>
      </c>
      <c r="H300" s="67" t="s">
        <v>1627</v>
      </c>
      <c r="I300" s="70"/>
      <c r="J300" s="109" t="s">
        <v>1628</v>
      </c>
      <c r="K300" s="70"/>
      <c r="L300" s="105" t="s">
        <v>85</v>
      </c>
      <c r="M300" s="70" t="s">
        <v>1629</v>
      </c>
      <c r="N300" s="113">
        <v>44963</v>
      </c>
      <c r="O300" s="108">
        <v>222727</v>
      </c>
      <c r="P300" s="70">
        <v>2</v>
      </c>
      <c r="Q300" s="121">
        <f t="shared" si="11"/>
        <v>445454</v>
      </c>
      <c r="R300" s="121">
        <v>279091</v>
      </c>
      <c r="S300" s="121">
        <f t="shared" si="10"/>
        <v>558182</v>
      </c>
    </row>
    <row r="301" spans="1:19">
      <c r="A301" s="17"/>
      <c r="B301" s="52">
        <v>428</v>
      </c>
      <c r="C301" s="60" t="s">
        <v>1630</v>
      </c>
      <c r="D301" s="66">
        <v>2500042737</v>
      </c>
      <c r="E301" s="62" t="s">
        <v>10</v>
      </c>
      <c r="F301" s="57" t="s">
        <v>1702</v>
      </c>
      <c r="G301" s="58" t="s">
        <v>1703</v>
      </c>
      <c r="H301" s="63" t="s">
        <v>814</v>
      </c>
      <c r="I301" s="70"/>
      <c r="J301" s="109" t="s">
        <v>1631</v>
      </c>
      <c r="K301" s="70"/>
      <c r="L301" s="105" t="s">
        <v>85</v>
      </c>
      <c r="M301" s="70" t="s">
        <v>1632</v>
      </c>
      <c r="N301" s="113">
        <v>44977</v>
      </c>
      <c r="O301" s="108">
        <v>222727</v>
      </c>
      <c r="P301" s="70">
        <v>358</v>
      </c>
      <c r="Q301" s="121">
        <f t="shared" si="11"/>
        <v>79736266</v>
      </c>
      <c r="R301" s="121">
        <v>279091</v>
      </c>
      <c r="S301" s="121">
        <f t="shared" si="10"/>
        <v>99914578</v>
      </c>
    </row>
    <row r="302" spans="1:19">
      <c r="A302" s="17"/>
      <c r="B302" s="52">
        <v>429</v>
      </c>
      <c r="C302" s="60" t="s">
        <v>1633</v>
      </c>
      <c r="D302" s="70" t="s">
        <v>1634</v>
      </c>
      <c r="E302" s="67" t="s">
        <v>82</v>
      </c>
      <c r="F302" s="68" t="s">
        <v>1698</v>
      </c>
      <c r="G302" s="75" t="s">
        <v>1699</v>
      </c>
      <c r="H302" s="67" t="s">
        <v>83</v>
      </c>
      <c r="I302" s="70"/>
      <c r="J302" s="109" t="s">
        <v>1635</v>
      </c>
      <c r="K302" s="70"/>
      <c r="L302" s="105" t="s">
        <v>85</v>
      </c>
      <c r="M302" s="70" t="s">
        <v>1636</v>
      </c>
      <c r="N302" s="113">
        <v>44978</v>
      </c>
      <c r="O302" s="108">
        <v>222727</v>
      </c>
      <c r="P302" s="70">
        <v>250</v>
      </c>
      <c r="Q302" s="121">
        <f t="shared" si="11"/>
        <v>55681750</v>
      </c>
      <c r="R302" s="121">
        <v>279091</v>
      </c>
      <c r="S302" s="121">
        <f t="shared" si="10"/>
        <v>69772750</v>
      </c>
    </row>
    <row r="303" spans="1:19">
      <c r="A303" s="17"/>
      <c r="B303" s="76">
        <v>430</v>
      </c>
      <c r="C303" s="77" t="s">
        <v>1637</v>
      </c>
      <c r="D303" s="19" t="s">
        <v>1638</v>
      </c>
      <c r="E303" s="21" t="s">
        <v>11</v>
      </c>
      <c r="F303" s="22" t="s">
        <v>1696</v>
      </c>
      <c r="G303" s="32" t="s">
        <v>1697</v>
      </c>
      <c r="H303" s="78" t="s">
        <v>1581</v>
      </c>
      <c r="I303" s="19"/>
      <c r="J303" s="19" t="s">
        <v>1639</v>
      </c>
      <c r="K303" s="19"/>
      <c r="L303" s="24" t="s">
        <v>85</v>
      </c>
      <c r="M303" s="19" t="s">
        <v>1640</v>
      </c>
      <c r="N303" s="36">
        <v>44995</v>
      </c>
      <c r="O303" s="37">
        <v>222727</v>
      </c>
      <c r="P303" s="19">
        <v>2</v>
      </c>
      <c r="Q303" s="40">
        <f t="shared" si="11"/>
        <v>445454</v>
      </c>
      <c r="R303" s="40">
        <v>279091</v>
      </c>
      <c r="S303" s="40">
        <f t="shared" si="10"/>
        <v>558182</v>
      </c>
    </row>
    <row r="304" spans="1:19">
      <c r="A304" s="17"/>
      <c r="B304" s="76">
        <v>431</v>
      </c>
      <c r="C304" s="77" t="s">
        <v>1641</v>
      </c>
      <c r="D304" s="19" t="s">
        <v>1642</v>
      </c>
      <c r="E304" s="21" t="s">
        <v>1643</v>
      </c>
      <c r="F304" s="22" t="s">
        <v>1716</v>
      </c>
      <c r="G304" s="43" t="s">
        <v>1717</v>
      </c>
      <c r="H304" s="24" t="s">
        <v>1644</v>
      </c>
      <c r="I304" s="19"/>
      <c r="J304" s="19" t="s">
        <v>1645</v>
      </c>
      <c r="K304" s="19"/>
      <c r="L304" s="24" t="s">
        <v>63</v>
      </c>
      <c r="M304" s="19" t="s">
        <v>1646</v>
      </c>
      <c r="N304" s="36">
        <v>44998</v>
      </c>
      <c r="O304" s="37">
        <v>92727</v>
      </c>
      <c r="P304" s="19">
        <v>5</v>
      </c>
      <c r="Q304" s="40">
        <f t="shared" si="11"/>
        <v>463635</v>
      </c>
      <c r="R304" s="40">
        <v>116364</v>
      </c>
      <c r="S304" s="40">
        <f t="shared" si="10"/>
        <v>581820</v>
      </c>
    </row>
    <row r="305" spans="1:19">
      <c r="A305" s="17"/>
      <c r="B305" s="76">
        <v>432</v>
      </c>
      <c r="C305" s="77" t="s">
        <v>1647</v>
      </c>
      <c r="D305" s="19" t="s">
        <v>1648</v>
      </c>
      <c r="E305" s="21" t="s">
        <v>11</v>
      </c>
      <c r="F305" s="22" t="s">
        <v>1696</v>
      </c>
      <c r="G305" s="32" t="s">
        <v>1697</v>
      </c>
      <c r="H305" s="79" t="s">
        <v>1649</v>
      </c>
      <c r="I305" s="19"/>
      <c r="J305" s="19" t="s">
        <v>1650</v>
      </c>
      <c r="K305" s="19"/>
      <c r="L305" s="24" t="s">
        <v>85</v>
      </c>
      <c r="M305" s="19" t="s">
        <v>1651</v>
      </c>
      <c r="N305" s="36">
        <v>45000</v>
      </c>
      <c r="O305" s="37">
        <v>222727</v>
      </c>
      <c r="P305" s="19">
        <v>46</v>
      </c>
      <c r="Q305" s="40">
        <f t="shared" si="11"/>
        <v>10245442</v>
      </c>
      <c r="R305" s="40">
        <v>279091</v>
      </c>
      <c r="S305" s="40">
        <f t="shared" si="10"/>
        <v>12838186</v>
      </c>
    </row>
    <row r="306" spans="1:19">
      <c r="A306" s="17"/>
      <c r="B306" s="76">
        <v>433</v>
      </c>
      <c r="C306" s="77" t="s">
        <v>1652</v>
      </c>
      <c r="D306" s="19" t="s">
        <v>1653</v>
      </c>
      <c r="E306" s="80" t="s">
        <v>1606</v>
      </c>
      <c r="F306" s="22" t="s">
        <v>1700</v>
      </c>
      <c r="G306" s="32" t="s">
        <v>1701</v>
      </c>
      <c r="H306" s="24" t="s">
        <v>1654</v>
      </c>
      <c r="I306" s="19"/>
      <c r="J306" s="19" t="s">
        <v>1655</v>
      </c>
      <c r="K306" s="19"/>
      <c r="L306" s="24" t="s">
        <v>85</v>
      </c>
      <c r="M306" s="19" t="s">
        <v>1656</v>
      </c>
      <c r="N306" s="36">
        <v>45002</v>
      </c>
      <c r="O306" s="37">
        <v>222727</v>
      </c>
      <c r="P306" s="19">
        <v>3</v>
      </c>
      <c r="Q306" s="40">
        <f t="shared" si="11"/>
        <v>668181</v>
      </c>
      <c r="R306" s="40">
        <v>256000</v>
      </c>
      <c r="S306" s="40">
        <f t="shared" si="10"/>
        <v>768000</v>
      </c>
    </row>
    <row r="307" spans="1:19">
      <c r="A307" s="17"/>
      <c r="B307" s="76">
        <v>434</v>
      </c>
      <c r="C307" s="77" t="s">
        <v>1657</v>
      </c>
      <c r="D307" s="19" t="s">
        <v>1658</v>
      </c>
      <c r="E307" s="21" t="s">
        <v>17</v>
      </c>
      <c r="F307" s="22" t="s">
        <v>1708</v>
      </c>
      <c r="G307" s="32" t="s">
        <v>1709</v>
      </c>
      <c r="H307" s="24" t="s">
        <v>114</v>
      </c>
      <c r="I307" s="19"/>
      <c r="J307" s="19" t="s">
        <v>1659</v>
      </c>
      <c r="K307" s="19"/>
      <c r="L307" s="24" t="s">
        <v>1457</v>
      </c>
      <c r="M307" s="19" t="s">
        <v>1660</v>
      </c>
      <c r="N307" s="36">
        <v>45012</v>
      </c>
      <c r="O307" s="37">
        <v>432961</v>
      </c>
      <c r="P307" s="19">
        <v>41</v>
      </c>
      <c r="Q307" s="40">
        <f t="shared" si="11"/>
        <v>17751401</v>
      </c>
      <c r="R307" s="40">
        <v>533408</v>
      </c>
      <c r="S307" s="40">
        <f t="shared" si="10"/>
        <v>21869728</v>
      </c>
    </row>
    <row r="308" spans="1:19">
      <c r="A308" s="17"/>
      <c r="B308" s="76">
        <v>435</v>
      </c>
      <c r="C308" s="77" t="s">
        <v>1661</v>
      </c>
      <c r="D308" s="19" t="s">
        <v>1658</v>
      </c>
      <c r="E308" s="21" t="s">
        <v>17</v>
      </c>
      <c r="F308" s="22" t="s">
        <v>1708</v>
      </c>
      <c r="G308" s="32" t="s">
        <v>1709</v>
      </c>
      <c r="H308" s="24" t="s">
        <v>114</v>
      </c>
      <c r="I308" s="19"/>
      <c r="J308" s="19" t="s">
        <v>1662</v>
      </c>
      <c r="K308" s="19"/>
      <c r="L308" s="24" t="s">
        <v>85</v>
      </c>
      <c r="M308" s="19" t="s">
        <v>303</v>
      </c>
      <c r="N308" s="36">
        <v>45012</v>
      </c>
      <c r="O308" s="37">
        <v>222727</v>
      </c>
      <c r="P308" s="19">
        <v>4</v>
      </c>
      <c r="Q308" s="40">
        <f t="shared" si="11"/>
        <v>890908</v>
      </c>
      <c r="R308" s="40">
        <v>279091</v>
      </c>
      <c r="S308" s="40">
        <f t="shared" si="10"/>
        <v>1116364</v>
      </c>
    </row>
    <row r="309" spans="1:19">
      <c r="A309" s="17"/>
      <c r="B309" s="76">
        <v>436</v>
      </c>
      <c r="C309" s="77" t="s">
        <v>1663</v>
      </c>
      <c r="D309" s="19" t="s">
        <v>1658</v>
      </c>
      <c r="E309" s="21" t="s">
        <v>17</v>
      </c>
      <c r="F309" s="22" t="s">
        <v>1708</v>
      </c>
      <c r="G309" s="32" t="s">
        <v>1709</v>
      </c>
      <c r="H309" s="24" t="s">
        <v>114</v>
      </c>
      <c r="I309" s="19"/>
      <c r="J309" s="19" t="s">
        <v>1664</v>
      </c>
      <c r="K309" s="19"/>
      <c r="L309" s="24" t="s">
        <v>85</v>
      </c>
      <c r="M309" s="19" t="s">
        <v>377</v>
      </c>
      <c r="N309" s="36">
        <v>45012</v>
      </c>
      <c r="O309" s="37">
        <v>222727</v>
      </c>
      <c r="P309" s="19">
        <v>1</v>
      </c>
      <c r="Q309" s="40">
        <f t="shared" si="11"/>
        <v>222727</v>
      </c>
      <c r="R309" s="40">
        <v>279091</v>
      </c>
      <c r="S309" s="40">
        <f t="shared" si="10"/>
        <v>279091</v>
      </c>
    </row>
    <row r="310" spans="1:19">
      <c r="A310" s="17"/>
      <c r="B310" s="82">
        <v>437</v>
      </c>
      <c r="C310" s="83" t="s">
        <v>1665</v>
      </c>
      <c r="D310" s="84" t="s">
        <v>1666</v>
      </c>
      <c r="E310" s="85" t="s">
        <v>1667</v>
      </c>
      <c r="F310" s="86" t="s">
        <v>1726</v>
      </c>
      <c r="G310" s="53" t="s">
        <v>1727</v>
      </c>
      <c r="H310" s="85" t="s">
        <v>1668</v>
      </c>
      <c r="I310" s="84"/>
      <c r="J310" s="84" t="s">
        <v>1669</v>
      </c>
      <c r="K310" s="84"/>
      <c r="L310" s="85" t="s">
        <v>63</v>
      </c>
      <c r="M310" s="84" t="s">
        <v>219</v>
      </c>
      <c r="N310" s="114">
        <v>45020</v>
      </c>
      <c r="O310" s="115">
        <v>92727</v>
      </c>
      <c r="P310" s="84">
        <v>18</v>
      </c>
      <c r="Q310" s="123">
        <f t="shared" si="11"/>
        <v>1669086</v>
      </c>
      <c r="R310" s="123">
        <v>116999</v>
      </c>
      <c r="S310" s="123">
        <f t="shared" si="10"/>
        <v>2105982</v>
      </c>
    </row>
    <row r="311" spans="1:19">
      <c r="A311" s="17"/>
      <c r="B311" s="82">
        <v>438</v>
      </c>
      <c r="C311" s="83" t="s">
        <v>1670</v>
      </c>
      <c r="D311" s="84" t="s">
        <v>1671</v>
      </c>
      <c r="E311" s="87" t="s">
        <v>1606</v>
      </c>
      <c r="F311" s="88" t="s">
        <v>1700</v>
      </c>
      <c r="G311" s="89" t="s">
        <v>1701</v>
      </c>
      <c r="H311" s="85" t="s">
        <v>1672</v>
      </c>
      <c r="I311" s="84"/>
      <c r="J311" s="84" t="s">
        <v>1673</v>
      </c>
      <c r="K311" s="84"/>
      <c r="L311" s="85" t="s">
        <v>85</v>
      </c>
      <c r="M311" s="84" t="s">
        <v>1674</v>
      </c>
      <c r="N311" s="114">
        <v>45026</v>
      </c>
      <c r="O311" s="115">
        <v>222727</v>
      </c>
      <c r="P311" s="84">
        <v>40</v>
      </c>
      <c r="Q311" s="123">
        <f t="shared" si="11"/>
        <v>8909080</v>
      </c>
      <c r="R311" s="123">
        <v>256500</v>
      </c>
      <c r="S311" s="123">
        <f t="shared" si="10"/>
        <v>10260000</v>
      </c>
    </row>
    <row r="312" spans="1:19">
      <c r="A312" s="17"/>
      <c r="B312" s="82">
        <v>439</v>
      </c>
      <c r="C312" s="83" t="s">
        <v>1675</v>
      </c>
      <c r="D312" s="90" t="s">
        <v>1676</v>
      </c>
      <c r="E312" s="87" t="s">
        <v>9</v>
      </c>
      <c r="F312" s="88" t="s">
        <v>1692</v>
      </c>
      <c r="G312" s="53" t="s">
        <v>1693</v>
      </c>
      <c r="H312" s="85" t="s">
        <v>1136</v>
      </c>
      <c r="I312" s="84"/>
      <c r="J312" s="116" t="s">
        <v>1677</v>
      </c>
      <c r="K312" s="84"/>
      <c r="L312" s="85" t="s">
        <v>50</v>
      </c>
      <c r="M312" s="116" t="s">
        <v>1678</v>
      </c>
      <c r="N312" s="114">
        <v>45027</v>
      </c>
      <c r="O312" s="115">
        <v>254545</v>
      </c>
      <c r="P312" s="84">
        <v>1</v>
      </c>
      <c r="Q312" s="123">
        <f t="shared" si="11"/>
        <v>254545</v>
      </c>
      <c r="R312" s="123">
        <v>275000</v>
      </c>
      <c r="S312" s="123">
        <f t="shared" si="10"/>
        <v>275000</v>
      </c>
    </row>
    <row r="313" spans="1:19">
      <c r="A313" s="17"/>
      <c r="B313" s="82">
        <v>440</v>
      </c>
      <c r="C313" s="83" t="s">
        <v>1679</v>
      </c>
      <c r="D313" s="90" t="s">
        <v>1680</v>
      </c>
      <c r="E313" s="87"/>
      <c r="F313" s="87"/>
      <c r="G313" s="91"/>
      <c r="H313" s="85" t="s">
        <v>1681</v>
      </c>
      <c r="I313" s="84"/>
      <c r="J313" s="84" t="s">
        <v>1682</v>
      </c>
      <c r="K313" s="84"/>
      <c r="L313" s="85" t="s">
        <v>1683</v>
      </c>
      <c r="M313" s="84" t="s">
        <v>1684</v>
      </c>
      <c r="N313" s="114">
        <v>45027</v>
      </c>
      <c r="O313" s="115">
        <v>89827</v>
      </c>
      <c r="P313" s="84">
        <v>1</v>
      </c>
      <c r="Q313" s="123">
        <f t="shared" si="11"/>
        <v>89827</v>
      </c>
      <c r="R313" s="123">
        <v>97900</v>
      </c>
      <c r="S313" s="123">
        <f t="shared" si="10"/>
        <v>97900</v>
      </c>
    </row>
    <row r="314" spans="1:19">
      <c r="A314" s="17"/>
      <c r="B314" s="82">
        <v>441</v>
      </c>
      <c r="C314" s="83" t="s">
        <v>1685</v>
      </c>
      <c r="D314" s="84" t="s">
        <v>1686</v>
      </c>
      <c r="E314" s="85" t="s">
        <v>1687</v>
      </c>
      <c r="F314" s="86" t="s">
        <v>1716</v>
      </c>
      <c r="G314" s="53" t="s">
        <v>1717</v>
      </c>
      <c r="H314" s="85" t="s">
        <v>1512</v>
      </c>
      <c r="I314" s="84"/>
      <c r="J314" s="84" t="s">
        <v>1688</v>
      </c>
      <c r="K314" s="84"/>
      <c r="L314" s="85" t="s">
        <v>85</v>
      </c>
      <c r="M314" s="84" t="s">
        <v>1689</v>
      </c>
      <c r="N314" s="114">
        <v>45042</v>
      </c>
      <c r="O314" s="115">
        <v>222727</v>
      </c>
      <c r="P314" s="84">
        <v>14</v>
      </c>
      <c r="Q314" s="123">
        <f t="shared" si="11"/>
        <v>3118178</v>
      </c>
      <c r="R314" s="123">
        <v>281183.78000000003</v>
      </c>
      <c r="S314" s="123">
        <f t="shared" si="10"/>
        <v>3936572.9200000004</v>
      </c>
    </row>
    <row r="315" spans="1:19">
      <c r="A315" s="17"/>
      <c r="B315" s="92">
        <v>442</v>
      </c>
      <c r="C315" s="93" t="s">
        <v>1728</v>
      </c>
      <c r="D315" s="94" t="s">
        <v>1729</v>
      </c>
      <c r="E315" s="95" t="s">
        <v>9</v>
      </c>
      <c r="F315" s="96" t="s">
        <v>1692</v>
      </c>
      <c r="G315" s="58" t="s">
        <v>1693</v>
      </c>
      <c r="H315" s="97" t="s">
        <v>214</v>
      </c>
      <c r="I315" s="98"/>
      <c r="J315" s="98" t="s">
        <v>1730</v>
      </c>
      <c r="K315" s="98"/>
      <c r="L315" s="97" t="s">
        <v>50</v>
      </c>
      <c r="M315" s="98" t="s">
        <v>1731</v>
      </c>
      <c r="N315" s="117">
        <v>45051</v>
      </c>
      <c r="O315" s="118">
        <v>254545</v>
      </c>
      <c r="P315" s="98">
        <v>1</v>
      </c>
      <c r="Q315" s="124">
        <f t="shared" si="11"/>
        <v>254545</v>
      </c>
      <c r="R315" s="124">
        <v>275000</v>
      </c>
      <c r="S315" s="124">
        <f t="shared" si="10"/>
        <v>275000</v>
      </c>
    </row>
    <row r="316" spans="1:19">
      <c r="A316" s="17"/>
      <c r="B316" s="92">
        <v>443</v>
      </c>
      <c r="C316" s="93" t="s">
        <v>1732</v>
      </c>
      <c r="D316" s="98" t="s">
        <v>1733</v>
      </c>
      <c r="E316" s="97" t="s">
        <v>1734</v>
      </c>
      <c r="F316" s="99" t="s">
        <v>1716</v>
      </c>
      <c r="G316" s="58" t="s">
        <v>1717</v>
      </c>
      <c r="H316" s="97" t="s">
        <v>1735</v>
      </c>
      <c r="I316" s="98"/>
      <c r="J316" s="98" t="s">
        <v>1736</v>
      </c>
      <c r="K316" s="98"/>
      <c r="L316" s="97" t="s">
        <v>63</v>
      </c>
      <c r="M316" s="98" t="s">
        <v>1737</v>
      </c>
      <c r="N316" s="117">
        <v>45051</v>
      </c>
      <c r="O316" s="118">
        <v>92727</v>
      </c>
      <c r="P316" s="98">
        <v>28</v>
      </c>
      <c r="Q316" s="124">
        <f t="shared" si="11"/>
        <v>2596356</v>
      </c>
      <c r="R316" s="124">
        <v>153153.15</v>
      </c>
      <c r="S316" s="124">
        <f t="shared" si="10"/>
        <v>4288288.2</v>
      </c>
    </row>
    <row r="317" spans="1:19">
      <c r="A317" s="17"/>
      <c r="B317" s="92">
        <v>444</v>
      </c>
      <c r="C317" s="93" t="s">
        <v>1738</v>
      </c>
      <c r="D317" s="98" t="s">
        <v>1739</v>
      </c>
      <c r="E317" s="95" t="s">
        <v>1740</v>
      </c>
      <c r="F317" s="96" t="s">
        <v>1726</v>
      </c>
      <c r="G317" s="100" t="s">
        <v>1727</v>
      </c>
      <c r="H317" s="95" t="s">
        <v>1741</v>
      </c>
      <c r="I317" s="98"/>
      <c r="J317" s="98" t="s">
        <v>1742</v>
      </c>
      <c r="K317" s="98"/>
      <c r="L317" s="97" t="s">
        <v>63</v>
      </c>
      <c r="M317" s="98" t="s">
        <v>1743</v>
      </c>
      <c r="N317" s="117">
        <v>45056</v>
      </c>
      <c r="O317" s="118">
        <v>92727</v>
      </c>
      <c r="P317" s="98">
        <v>23</v>
      </c>
      <c r="Q317" s="124">
        <f t="shared" si="11"/>
        <v>2132721</v>
      </c>
      <c r="R317" s="124">
        <v>116999</v>
      </c>
      <c r="S317" s="124">
        <f t="shared" si="10"/>
        <v>2690977</v>
      </c>
    </row>
    <row r="318" spans="1:19">
      <c r="A318" s="17"/>
      <c r="B318" s="92">
        <v>445</v>
      </c>
      <c r="C318" s="93" t="s">
        <v>1744</v>
      </c>
      <c r="D318" s="98" t="s">
        <v>1745</v>
      </c>
      <c r="E318" s="95" t="s">
        <v>6</v>
      </c>
      <c r="F318" s="96" t="s">
        <v>1694</v>
      </c>
      <c r="G318" s="101" t="s">
        <v>1695</v>
      </c>
      <c r="H318" s="97" t="s">
        <v>114</v>
      </c>
      <c r="I318" s="98"/>
      <c r="J318" s="98" t="s">
        <v>1746</v>
      </c>
      <c r="K318" s="98"/>
      <c r="L318" s="97" t="s">
        <v>63</v>
      </c>
      <c r="M318" s="98" t="s">
        <v>1747</v>
      </c>
      <c r="N318" s="117">
        <v>45063</v>
      </c>
      <c r="O318" s="118">
        <v>92727</v>
      </c>
      <c r="P318" s="98">
        <v>6</v>
      </c>
      <c r="Q318" s="124">
        <f t="shared" si="11"/>
        <v>556362</v>
      </c>
      <c r="R318" s="124">
        <v>116364</v>
      </c>
      <c r="S318" s="124">
        <f t="shared" si="10"/>
        <v>698184</v>
      </c>
    </row>
    <row r="319" spans="1:19">
      <c r="A319" s="17"/>
      <c r="B319" s="92">
        <v>446</v>
      </c>
      <c r="C319" s="93" t="s">
        <v>1748</v>
      </c>
      <c r="D319" s="98" t="s">
        <v>1749</v>
      </c>
      <c r="E319" s="95" t="s">
        <v>1750</v>
      </c>
      <c r="F319" s="96" t="s">
        <v>1698</v>
      </c>
      <c r="G319" s="101" t="s">
        <v>1699</v>
      </c>
      <c r="H319" s="97" t="s">
        <v>83</v>
      </c>
      <c r="I319" s="98"/>
      <c r="J319" s="98" t="s">
        <v>1751</v>
      </c>
      <c r="K319" s="98"/>
      <c r="L319" s="97" t="s">
        <v>85</v>
      </c>
      <c r="M319" s="98" t="s">
        <v>1752</v>
      </c>
      <c r="N319" s="117">
        <v>45068</v>
      </c>
      <c r="O319" s="118">
        <v>222727</v>
      </c>
      <c r="P319" s="98">
        <v>350</v>
      </c>
      <c r="Q319" s="124">
        <f t="shared" si="11"/>
        <v>77954450</v>
      </c>
      <c r="R319" s="124">
        <v>279090.91899999999</v>
      </c>
      <c r="S319" s="124">
        <f t="shared" si="10"/>
        <v>97681821.649999991</v>
      </c>
    </row>
    <row r="320" spans="1:19">
      <c r="A320" s="17"/>
      <c r="B320" s="92">
        <v>447</v>
      </c>
      <c r="C320" s="93" t="s">
        <v>1753</v>
      </c>
      <c r="D320" s="94" t="s">
        <v>1754</v>
      </c>
      <c r="E320" s="95" t="s">
        <v>1740</v>
      </c>
      <c r="F320" s="96" t="s">
        <v>1706</v>
      </c>
      <c r="G320" s="101" t="s">
        <v>1707</v>
      </c>
      <c r="H320" s="97" t="s">
        <v>1755</v>
      </c>
      <c r="I320" s="119"/>
      <c r="J320" s="119" t="s">
        <v>1746</v>
      </c>
      <c r="K320" s="119"/>
      <c r="L320" s="97" t="s">
        <v>85</v>
      </c>
      <c r="M320" s="98" t="s">
        <v>429</v>
      </c>
      <c r="N320" s="117">
        <v>45070</v>
      </c>
      <c r="O320" s="118">
        <v>222727</v>
      </c>
      <c r="P320" s="98">
        <v>310</v>
      </c>
      <c r="Q320" s="124">
        <f t="shared" si="11"/>
        <v>69045370</v>
      </c>
      <c r="R320" s="124">
        <v>299000</v>
      </c>
      <c r="S320" s="124">
        <f t="shared" si="10"/>
        <v>92690000</v>
      </c>
    </row>
    <row r="321" spans="1:19">
      <c r="A321" s="17"/>
      <c r="B321" s="92">
        <v>448</v>
      </c>
      <c r="C321" s="93" t="s">
        <v>1756</v>
      </c>
      <c r="D321" s="98" t="s">
        <v>1757</v>
      </c>
      <c r="E321" s="95" t="s">
        <v>1758</v>
      </c>
      <c r="F321" s="96" t="s">
        <v>1759</v>
      </c>
      <c r="G321" s="100" t="s">
        <v>1760</v>
      </c>
      <c r="H321" s="97" t="s">
        <v>1761</v>
      </c>
      <c r="I321" s="119"/>
      <c r="J321" s="119" t="s">
        <v>1762</v>
      </c>
      <c r="K321" s="119"/>
      <c r="L321" s="97" t="s">
        <v>1763</v>
      </c>
      <c r="M321" s="98" t="s">
        <v>1764</v>
      </c>
      <c r="N321" s="117">
        <v>45072</v>
      </c>
      <c r="O321" s="124">
        <v>1574250</v>
      </c>
      <c r="P321" s="98">
        <v>1</v>
      </c>
      <c r="Q321" s="124">
        <f t="shared" si="11"/>
        <v>1574250</v>
      </c>
      <c r="R321" s="124">
        <v>1715933</v>
      </c>
      <c r="S321" s="124">
        <f t="shared" si="10"/>
        <v>1715933</v>
      </c>
    </row>
    <row r="322" spans="1:19">
      <c r="A322" s="17"/>
      <c r="B322" s="92">
        <v>449</v>
      </c>
      <c r="C322" s="93" t="s">
        <v>1765</v>
      </c>
      <c r="D322" s="94" t="s">
        <v>1766</v>
      </c>
      <c r="E322" s="95" t="s">
        <v>1740</v>
      </c>
      <c r="F322" s="96" t="s">
        <v>1706</v>
      </c>
      <c r="G322" s="101" t="s">
        <v>1707</v>
      </c>
      <c r="H322" s="95" t="s">
        <v>1276</v>
      </c>
      <c r="I322" s="119"/>
      <c r="J322" s="119" t="s">
        <v>1767</v>
      </c>
      <c r="K322" s="119"/>
      <c r="L322" s="97" t="s">
        <v>85</v>
      </c>
      <c r="M322" s="119" t="s">
        <v>1768</v>
      </c>
      <c r="N322" s="117">
        <v>45076</v>
      </c>
      <c r="O322" s="118">
        <v>222727</v>
      </c>
      <c r="P322" s="98">
        <v>5</v>
      </c>
      <c r="Q322" s="124">
        <f t="shared" si="11"/>
        <v>1113635</v>
      </c>
      <c r="R322" s="124">
        <v>299000</v>
      </c>
      <c r="S322" s="124">
        <f t="shared" si="10"/>
        <v>1495000</v>
      </c>
    </row>
    <row r="323" spans="1:19">
      <c r="A323" s="17"/>
      <c r="B323" s="92">
        <v>450</v>
      </c>
      <c r="C323" s="93" t="s">
        <v>1769</v>
      </c>
      <c r="D323" s="94" t="s">
        <v>1766</v>
      </c>
      <c r="E323" s="95" t="s">
        <v>1740</v>
      </c>
      <c r="F323" s="96" t="s">
        <v>1706</v>
      </c>
      <c r="G323" s="101" t="s">
        <v>1707</v>
      </c>
      <c r="H323" s="95" t="s">
        <v>1276</v>
      </c>
      <c r="I323" s="119"/>
      <c r="J323" s="119" t="s">
        <v>1770</v>
      </c>
      <c r="K323" s="119"/>
      <c r="L323" s="97" t="s">
        <v>85</v>
      </c>
      <c r="M323" s="119" t="s">
        <v>1278</v>
      </c>
      <c r="N323" s="117">
        <v>45076</v>
      </c>
      <c r="O323" s="118">
        <v>222727</v>
      </c>
      <c r="P323" s="98">
        <v>5</v>
      </c>
      <c r="Q323" s="124">
        <f t="shared" si="11"/>
        <v>1113635</v>
      </c>
      <c r="R323" s="124">
        <v>299000</v>
      </c>
      <c r="S323" s="124">
        <f t="shared" si="10"/>
        <v>1495000</v>
      </c>
    </row>
    <row r="324" spans="1:19">
      <c r="A324" s="17"/>
      <c r="B324" s="125">
        <v>451</v>
      </c>
      <c r="C324" s="126" t="s">
        <v>1771</v>
      </c>
      <c r="D324" s="127" t="s">
        <v>1772</v>
      </c>
      <c r="E324" s="128" t="s">
        <v>1773</v>
      </c>
      <c r="F324" s="129" t="s">
        <v>1696</v>
      </c>
      <c r="G324" s="130" t="s">
        <v>1697</v>
      </c>
      <c r="H324" s="128" t="s">
        <v>1649</v>
      </c>
      <c r="I324" s="127"/>
      <c r="J324" s="127" t="s">
        <v>1774</v>
      </c>
      <c r="K324" s="127"/>
      <c r="L324" s="174" t="s">
        <v>85</v>
      </c>
      <c r="M324" s="127" t="s">
        <v>1775</v>
      </c>
      <c r="N324" s="175">
        <v>45085</v>
      </c>
      <c r="O324" s="176">
        <v>222727</v>
      </c>
      <c r="P324" s="127">
        <v>1</v>
      </c>
      <c r="Q324" s="191">
        <f t="shared" si="11"/>
        <v>222727</v>
      </c>
      <c r="R324" s="191">
        <v>279091</v>
      </c>
      <c r="S324" s="191">
        <f t="shared" si="10"/>
        <v>279091</v>
      </c>
    </row>
    <row r="325" spans="1:19">
      <c r="A325" s="17"/>
      <c r="B325" s="125">
        <v>452</v>
      </c>
      <c r="C325" s="126" t="s">
        <v>1776</v>
      </c>
      <c r="D325" s="127" t="s">
        <v>1777</v>
      </c>
      <c r="E325" s="128" t="s">
        <v>1778</v>
      </c>
      <c r="F325" s="129" t="s">
        <v>1779</v>
      </c>
      <c r="G325" s="131" t="s">
        <v>1780</v>
      </c>
      <c r="H325" s="128" t="s">
        <v>1781</v>
      </c>
      <c r="I325" s="127"/>
      <c r="J325" s="127" t="s">
        <v>1782</v>
      </c>
      <c r="K325" s="127"/>
      <c r="L325" s="174" t="s">
        <v>1457</v>
      </c>
      <c r="M325" s="127" t="s">
        <v>1783</v>
      </c>
      <c r="N325" s="175">
        <v>45093</v>
      </c>
      <c r="O325" s="176">
        <v>432961</v>
      </c>
      <c r="P325" s="127">
        <v>82</v>
      </c>
      <c r="Q325" s="191">
        <f t="shared" si="11"/>
        <v>35502802</v>
      </c>
      <c r="R325" s="191">
        <v>592083</v>
      </c>
      <c r="S325" s="191">
        <f t="shared" si="10"/>
        <v>48550806</v>
      </c>
    </row>
    <row r="326" spans="1:19">
      <c r="B326" s="192"/>
      <c r="C326" s="192"/>
      <c r="D326" s="193"/>
      <c r="E326" s="194"/>
      <c r="F326" s="194"/>
      <c r="G326" s="195"/>
      <c r="H326" s="196"/>
      <c r="I326" s="192"/>
      <c r="J326" s="192"/>
      <c r="K326" s="192"/>
      <c r="L326" s="196"/>
      <c r="M326" s="192"/>
      <c r="N326" s="197"/>
      <c r="O326" s="192"/>
      <c r="P326" s="192"/>
      <c r="Q326" s="191">
        <f t="shared" si="11"/>
        <v>0</v>
      </c>
      <c r="R326" s="192"/>
      <c r="S326" s="191">
        <f t="shared" si="10"/>
        <v>0</v>
      </c>
    </row>
    <row r="327" spans="1:19">
      <c r="B327" s="192"/>
      <c r="C327" s="192"/>
      <c r="D327" s="193"/>
      <c r="E327" s="194"/>
      <c r="F327" s="194"/>
      <c r="G327" s="195"/>
      <c r="H327" s="196"/>
      <c r="I327" s="192"/>
      <c r="J327" s="192"/>
      <c r="K327" s="192"/>
      <c r="L327" s="196"/>
      <c r="M327" s="192"/>
      <c r="N327" s="197"/>
      <c r="O327" s="192"/>
      <c r="P327" s="192"/>
      <c r="Q327" s="191">
        <f t="shared" si="11"/>
        <v>0</v>
      </c>
      <c r="R327" s="192"/>
      <c r="S327" s="191">
        <f t="shared" si="10"/>
        <v>0</v>
      </c>
    </row>
    <row r="328" spans="1:19">
      <c r="B328" s="192"/>
      <c r="C328" s="192"/>
      <c r="D328" s="193"/>
      <c r="E328" s="194"/>
      <c r="F328" s="194"/>
      <c r="G328" s="195"/>
      <c r="H328" s="196"/>
      <c r="I328" s="192"/>
      <c r="J328" s="192"/>
      <c r="K328" s="192"/>
      <c r="L328" s="196"/>
      <c r="M328" s="192"/>
      <c r="N328" s="197"/>
      <c r="O328" s="192"/>
      <c r="P328" s="192"/>
      <c r="Q328" s="191">
        <f t="shared" si="11"/>
        <v>0</v>
      </c>
      <c r="R328" s="192"/>
      <c r="S328" s="191">
        <f t="shared" si="10"/>
        <v>0</v>
      </c>
    </row>
    <row r="329" spans="1:19">
      <c r="B329" s="192"/>
      <c r="C329" s="192"/>
      <c r="D329" s="193"/>
      <c r="E329" s="194"/>
      <c r="F329" s="194"/>
      <c r="G329" s="195"/>
      <c r="H329" s="192"/>
      <c r="I329" s="192"/>
      <c r="J329" s="192"/>
      <c r="K329" s="192"/>
      <c r="L329" s="196"/>
      <c r="M329" s="192"/>
      <c r="N329" s="197"/>
      <c r="O329" s="192"/>
      <c r="P329" s="192"/>
      <c r="Q329" s="191">
        <f t="shared" si="11"/>
        <v>0</v>
      </c>
      <c r="R329" s="192"/>
      <c r="S329" s="191">
        <f t="shared" si="10"/>
        <v>0</v>
      </c>
    </row>
  </sheetData>
  <autoFilter ref="B2:Q329" xr:uid="{00000000-0009-0000-0000-000006000000}"/>
  <mergeCells count="11">
    <mergeCell ref="B2:B3"/>
    <mergeCell ref="C2:C3"/>
    <mergeCell ref="E2:E3"/>
    <mergeCell ref="H2:H3"/>
    <mergeCell ref="L2:L3"/>
    <mergeCell ref="S2:S3"/>
    <mergeCell ref="M2:M3"/>
    <mergeCell ref="O2:O3"/>
    <mergeCell ref="P2:P3"/>
    <mergeCell ref="Q2:Q3"/>
    <mergeCell ref="R2:R3"/>
  </mergeCells>
  <hyperlinks>
    <hyperlink ref="F4" r:id="rId1" xr:uid="{00000000-0004-0000-0600-000000000000}"/>
    <hyperlink ref="F5:F7" r:id="rId2" display="fransisca.desyanti@faasri.com" xr:uid="{00000000-0004-0000-0600-000001000000}"/>
    <hyperlink ref="F20" r:id="rId3" xr:uid="{00000000-0004-0000-0600-000002000000}"/>
    <hyperlink ref="F22:F26" r:id="rId4" display="fransisca.desyanti@faasri.com" xr:uid="{00000000-0004-0000-0600-000003000000}"/>
    <hyperlink ref="F27:F28" r:id="rId5" display="fransisca.desyanti@faasri.com" xr:uid="{00000000-0004-0000-0600-000004000000}"/>
    <hyperlink ref="F47:F60" r:id="rId6" display="fransisca.desyanti@faasri.com" xr:uid="{00000000-0004-0000-0600-000005000000}"/>
    <hyperlink ref="F69" r:id="rId7" xr:uid="{00000000-0004-0000-0600-000006000000}"/>
    <hyperlink ref="F71:F81" r:id="rId8" display="fransisca.desyanti@faasri.com" xr:uid="{00000000-0004-0000-0600-000007000000}"/>
    <hyperlink ref="F82:F83" r:id="rId9" display="fransisca.desyanti@faasri.com" xr:uid="{00000000-0004-0000-0600-000008000000}"/>
    <hyperlink ref="F83" r:id="rId10" xr:uid="{00000000-0004-0000-0600-000009000000}"/>
    <hyperlink ref="F110" r:id="rId11" xr:uid="{00000000-0004-0000-0600-00000A000000}"/>
    <hyperlink ref="F111:F114" r:id="rId12" display="fransisca.desyanti@faasri.com" xr:uid="{00000000-0004-0000-0600-00000B000000}"/>
    <hyperlink ref="F115:F118" r:id="rId13" display="fransisca.desyanti@faasri.com" xr:uid="{00000000-0004-0000-0600-00000C000000}"/>
    <hyperlink ref="F121:F123" r:id="rId14" display="fransisca.desyanti@faasri.com" xr:uid="{00000000-0004-0000-0600-00000D000000}"/>
    <hyperlink ref="F125:F131" r:id="rId15" display="fransisca.desyanti@faasri.com" xr:uid="{00000000-0004-0000-0600-00000E000000}"/>
    <hyperlink ref="F161:F174" r:id="rId16" display="fransisca.desyanti@faasri.com" xr:uid="{00000000-0004-0000-0600-00000F000000}"/>
    <hyperlink ref="F176:F181" r:id="rId17" display="fransisca.desyanti@faasri.com" xr:uid="{00000000-0004-0000-0600-000010000000}"/>
    <hyperlink ref="F185:F192" r:id="rId18" display="fransisca.desyanti@faasri.com" xr:uid="{00000000-0004-0000-0600-000011000000}"/>
    <hyperlink ref="F205:F206" r:id="rId19" display="fransisca.desyanti@faasri.com" xr:uid="{00000000-0004-0000-0600-000012000000}"/>
    <hyperlink ref="F210:F213" r:id="rId20" display="fransisca.desyanti@faasri.com" xr:uid="{00000000-0004-0000-0600-000013000000}"/>
    <hyperlink ref="F221" r:id="rId21" xr:uid="{00000000-0004-0000-0600-000014000000}"/>
    <hyperlink ref="F224" r:id="rId22" xr:uid="{00000000-0004-0000-0600-000015000000}"/>
    <hyperlink ref="F243" r:id="rId23" xr:uid="{00000000-0004-0000-0600-000016000000}"/>
    <hyperlink ref="F260" r:id="rId24" xr:uid="{00000000-0004-0000-0600-000017000000}"/>
    <hyperlink ref="F225" r:id="rId25" xr:uid="{00000000-0004-0000-0600-000018000000}"/>
    <hyperlink ref="F230:F231" r:id="rId26" display="fransisca.desyanti@faasri.com" xr:uid="{00000000-0004-0000-0600-000019000000}"/>
    <hyperlink ref="F236:F238" r:id="rId27" display="fransisca.desyanti@faasri.com" xr:uid="{00000000-0004-0000-0600-00001A000000}"/>
    <hyperlink ref="F240:F241" r:id="rId28" display="fransisca.desyanti@faasri.com" xr:uid="{00000000-0004-0000-0600-00001B000000}"/>
    <hyperlink ref="F193:F194" r:id="rId29" display="fransisca.desyanti@faasri.com" xr:uid="{00000000-0004-0000-0600-00001C000000}"/>
    <hyperlink ref="F196:F201" r:id="rId30" display="fransisca.desyanti@faasri.com" xr:uid="{00000000-0004-0000-0600-00001D000000}"/>
    <hyperlink ref="F132:F135" r:id="rId31" display="fransisca.desyanti@faasri.com" xr:uid="{00000000-0004-0000-0600-00001E000000}"/>
    <hyperlink ref="F137:F139" r:id="rId32" display="fransisca.desyanti@faasri.com" xr:uid="{00000000-0004-0000-0600-00001F000000}"/>
    <hyperlink ref="F141:F160" r:id="rId33" display="fransisca.desyanti@faasri.com" xr:uid="{00000000-0004-0000-0600-000020000000}"/>
    <hyperlink ref="F84:F85" r:id="rId34" display="fransisca.desyanti@faasri.com" xr:uid="{00000000-0004-0000-0600-000021000000}"/>
    <hyperlink ref="F87:F96" r:id="rId35" display="fransisca.desyanti@faasri.com" xr:uid="{00000000-0004-0000-0600-000022000000}"/>
    <hyperlink ref="F97:F101" r:id="rId36" display="fransisca.desyanti@faasri.com" xr:uid="{00000000-0004-0000-0600-000023000000}"/>
    <hyperlink ref="F105" r:id="rId37" xr:uid="{00000000-0004-0000-0600-000024000000}"/>
    <hyperlink ref="F106:F107" r:id="rId38" display="fransisca.desyanti@faasri.com" xr:uid="{00000000-0004-0000-0600-000025000000}"/>
    <hyperlink ref="F61:F65" r:id="rId39" display="fransisca.desyanti@faasri.com" xr:uid="{00000000-0004-0000-0600-000026000000}"/>
    <hyperlink ref="F66:F68" r:id="rId40" display="fransisca.desyanti@faasri.com" xr:uid="{00000000-0004-0000-0600-000027000000}"/>
    <hyperlink ref="F29:F31" r:id="rId41" display="fransisca.desyanti@faasri.com" xr:uid="{00000000-0004-0000-0600-000028000000}"/>
    <hyperlink ref="F32:F34" r:id="rId42" display="fransisca.desyanti@faasri.com" xr:uid="{00000000-0004-0000-0600-000029000000}"/>
    <hyperlink ref="F35:F44" r:id="rId43" display="fransisca.desyanti@faasri.com" xr:uid="{00000000-0004-0000-0600-00002A000000}"/>
    <hyperlink ref="F8:F11" r:id="rId44" display="fransisca.desyanti@faasri.com" xr:uid="{00000000-0004-0000-0600-00002B000000}"/>
    <hyperlink ref="F13:F18" r:id="rId45" display="fransisca.desyanti@faasri.com" xr:uid="{00000000-0004-0000-0600-00002C000000}"/>
    <hyperlink ref="F285" r:id="rId46" xr:uid="{00000000-0004-0000-0600-00002D000000}"/>
    <hyperlink ref="F312" r:id="rId47" xr:uid="{00000000-0004-0000-0600-00002E000000}"/>
    <hyperlink ref="F315" r:id="rId48" xr:uid="{00000000-0004-0000-0600-00002F000000}"/>
    <hyperlink ref="F19" r:id="rId49" xr:uid="{00000000-0004-0000-0600-000030000000}"/>
    <hyperlink ref="F119" r:id="rId50" xr:uid="{00000000-0004-0000-0600-000031000000}"/>
    <hyperlink ref="F175" r:id="rId51" xr:uid="{00000000-0004-0000-0600-000032000000}"/>
    <hyperlink ref="F182:F184" r:id="rId52" display="asrida.djuwita@gdnusantara.com" xr:uid="{00000000-0004-0000-0600-000033000000}"/>
    <hyperlink ref="F209" r:id="rId53" xr:uid="{00000000-0004-0000-0600-000034000000}"/>
    <hyperlink ref="F246" r:id="rId54" xr:uid="{00000000-0004-0000-0600-000035000000}"/>
    <hyperlink ref="F264:F265" r:id="rId55" display="asrida.djuwita@gdnusantara.com" xr:uid="{00000000-0004-0000-0600-000036000000}"/>
    <hyperlink ref="F271:F272" r:id="rId56" display="asrida.djuwita@gdnusantara.com" xr:uid="{00000000-0004-0000-0600-000037000000}"/>
    <hyperlink ref="F275" r:id="rId57" xr:uid="{00000000-0004-0000-0600-000038000000}"/>
    <hyperlink ref="F281:F282" r:id="rId58" display="asrida.djuwita@gdnusantara.com" xr:uid="{00000000-0004-0000-0600-000039000000}"/>
    <hyperlink ref="F303" r:id="rId59" xr:uid="{00000000-0004-0000-0600-00003A000000}"/>
    <hyperlink ref="F305" r:id="rId60" xr:uid="{00000000-0004-0000-0600-00003B000000}"/>
    <hyperlink ref="F102" r:id="rId61" xr:uid="{00000000-0004-0000-0600-00003C000000}"/>
    <hyperlink ref="F103" r:id="rId62" xr:uid="{00000000-0004-0000-0600-00003D000000}"/>
    <hyperlink ref="F109" r:id="rId63" xr:uid="{00000000-0004-0000-0600-00003E000000}"/>
    <hyperlink ref="F136" r:id="rId64" xr:uid="{00000000-0004-0000-0600-00003F000000}"/>
    <hyperlink ref="F195" r:id="rId65" xr:uid="{00000000-0004-0000-0600-000040000000}"/>
    <hyperlink ref="F232:F234" r:id="rId66" display="asrida.djuwita@gdnusantara.com" xr:uid="{00000000-0004-0000-0600-000041000000}"/>
    <hyperlink ref="F239" r:id="rId67" xr:uid="{00000000-0004-0000-0600-000042000000}"/>
    <hyperlink ref="F242" r:id="rId68" xr:uid="{00000000-0004-0000-0600-000043000000}"/>
    <hyperlink ref="F257" r:id="rId69" xr:uid="{00000000-0004-0000-0600-000044000000}"/>
    <hyperlink ref="F269" r:id="rId70" xr:uid="{00000000-0004-0000-0600-000045000000}"/>
    <hyperlink ref="F290:F291" r:id="rId71" display="asrida.djuwita@gdnusantara.com" xr:uid="{00000000-0004-0000-0600-000046000000}"/>
    <hyperlink ref="F300" r:id="rId72" xr:uid="{00000000-0004-0000-0600-000047000000}"/>
    <hyperlink ref="F214:F219" r:id="rId73" display="susan@pancaputra.co.id" xr:uid="{00000000-0004-0000-0600-000048000000}"/>
    <hyperlink ref="F276:F280" r:id="rId74" display="susan@pancaputra.co.id" xr:uid="{00000000-0004-0000-0600-000049000000}"/>
    <hyperlink ref="F307:F309" r:id="rId75" display="susan@pancaputra.co.id" xr:uid="{00000000-0004-0000-0600-00004A000000}"/>
    <hyperlink ref="F251:F255" r:id="rId76" display="susan@pancaputra.co.id" xr:uid="{00000000-0004-0000-0600-00004B000000}"/>
    <hyperlink ref="F302" r:id="rId77" xr:uid="{00000000-0004-0000-0600-00004C000000}"/>
    <hyperlink ref="F319" r:id="rId78" xr:uid="{00000000-0004-0000-0600-00004D000000}"/>
    <hyperlink ref="F45:F46" r:id="rId79" display="made_indra@datascrip.co.id" xr:uid="{00000000-0004-0000-0600-00004E000000}"/>
    <hyperlink ref="F250" r:id="rId80" xr:uid="{00000000-0004-0000-0600-00004F000000}"/>
    <hyperlink ref="F261" r:id="rId81" xr:uid="{00000000-0004-0000-0600-000050000000}"/>
    <hyperlink ref="F267" r:id="rId82" xr:uid="{00000000-0004-0000-0600-000051000000}"/>
    <hyperlink ref="F256" r:id="rId83" xr:uid="{00000000-0004-0000-0600-000052000000}"/>
    <hyperlink ref="F263" r:id="rId84" xr:uid="{00000000-0004-0000-0600-000053000000}"/>
    <hyperlink ref="F295" r:id="rId85" xr:uid="{00000000-0004-0000-0600-000054000000}"/>
    <hyperlink ref="F297" r:id="rId86" xr:uid="{00000000-0004-0000-0600-000055000000}"/>
    <hyperlink ref="F306" r:id="rId87" xr:uid="{00000000-0004-0000-0600-000056000000}"/>
    <hyperlink ref="F311" r:id="rId88" xr:uid="{00000000-0004-0000-0600-000057000000}"/>
    <hyperlink ref="F108" r:id="rId89" xr:uid="{00000000-0004-0000-0600-000058000000}"/>
    <hyperlink ref="F262" r:id="rId90" xr:uid="{00000000-0004-0000-0600-000059000000}"/>
    <hyperlink ref="F287" r:id="rId91" xr:uid="{00000000-0004-0000-0600-00005A000000}"/>
    <hyperlink ref="F120" r:id="rId92" xr:uid="{00000000-0004-0000-0600-00005B000000}"/>
    <hyperlink ref="F249" r:id="rId93" xr:uid="{00000000-0004-0000-0600-00005C000000}"/>
    <hyperlink ref="F235" r:id="rId94" xr:uid="{00000000-0004-0000-0600-00005D000000}"/>
    <hyperlink ref="F268" r:id="rId95" xr:uid="{00000000-0004-0000-0600-00005E000000}"/>
    <hyperlink ref="F288:F289" r:id="rId96" display="frilla.triyanditama@gdn-commerce.com" xr:uid="{00000000-0004-0000-0600-00005F000000}"/>
    <hyperlink ref="F298:F299" r:id="rId97" display="frilla.triyanditama@gdn-commerce.com" xr:uid="{00000000-0004-0000-0600-000060000000}"/>
    <hyperlink ref="F301" r:id="rId98" xr:uid="{00000000-0004-0000-0600-000061000000}"/>
    <hyperlink ref="F12" r:id="rId99" xr:uid="{00000000-0004-0000-0600-000062000000}"/>
    <hyperlink ref="F140" r:id="rId100" xr:uid="{00000000-0004-0000-0600-000063000000}"/>
    <hyperlink ref="F228" r:id="rId101" xr:uid="{00000000-0004-0000-0600-000064000000}"/>
    <hyperlink ref="F21" r:id="rId102" xr:uid="{00000000-0004-0000-0600-000065000000}"/>
    <hyperlink ref="F318" r:id="rId103" xr:uid="{00000000-0004-0000-0600-000066000000}"/>
    <hyperlink ref="F222" r:id="rId104" xr:uid="{00000000-0004-0000-0600-000067000000}"/>
    <hyperlink ref="F70" r:id="rId105" xr:uid="{00000000-0004-0000-0600-000068000000}"/>
    <hyperlink ref="F207" r:id="rId106" xr:uid="{00000000-0004-0000-0600-000069000000}"/>
    <hyperlink ref="F208" r:id="rId107" xr:uid="{00000000-0004-0000-0600-00006A000000}"/>
    <hyperlink ref="F247" r:id="rId108" xr:uid="{00000000-0004-0000-0600-00006B000000}"/>
    <hyperlink ref="F324" r:id="rId109" xr:uid="{00000000-0004-0000-0600-00006C000000}"/>
    <hyperlink ref="F86" r:id="rId110" xr:uid="{00000000-0004-0000-0600-00006D000000}"/>
    <hyperlink ref="F220" r:id="rId111" xr:uid="{00000000-0004-0000-0600-00006E000000}"/>
    <hyperlink ref="F223" r:id="rId112" xr:uid="{00000000-0004-0000-0600-00006F000000}"/>
    <hyperlink ref="F124" r:id="rId113" xr:uid="{00000000-0004-0000-0600-000070000000}"/>
    <hyperlink ref="F258" r:id="rId114" xr:uid="{00000000-0004-0000-0600-000071000000}"/>
    <hyperlink ref="F320" r:id="rId115" xr:uid="{00000000-0004-0000-0600-000072000000}"/>
    <hyperlink ref="F322" r:id="rId116" xr:uid="{00000000-0004-0000-0600-000073000000}"/>
    <hyperlink ref="F323" r:id="rId117" xr:uid="{00000000-0004-0000-0600-000074000000}"/>
    <hyperlink ref="F104" r:id="rId118" xr:uid="{00000000-0004-0000-0600-000075000000}"/>
    <hyperlink ref="F229" r:id="rId119" xr:uid="{00000000-0004-0000-0600-000076000000}"/>
    <hyperlink ref="F226" r:id="rId120" xr:uid="{00000000-0004-0000-0600-000077000000}"/>
    <hyperlink ref="F227" r:id="rId121" xr:uid="{00000000-0004-0000-0600-000078000000}"/>
    <hyperlink ref="F244" r:id="rId122" xr:uid="{00000000-0004-0000-0600-000079000000}"/>
    <hyperlink ref="F245" r:id="rId123" xr:uid="{00000000-0004-0000-0600-00007A000000}"/>
    <hyperlink ref="F248" r:id="rId124" xr:uid="{00000000-0004-0000-0600-00007B000000}"/>
    <hyperlink ref="F266" r:id="rId125" xr:uid="{00000000-0004-0000-0600-00007C000000}"/>
    <hyperlink ref="F270" r:id="rId126" xr:uid="{00000000-0004-0000-0600-00007D000000}"/>
    <hyperlink ref="F259" r:id="rId127" xr:uid="{00000000-0004-0000-0600-00007E000000}"/>
    <hyperlink ref="F286" r:id="rId128" xr:uid="{00000000-0004-0000-0600-00007F000000}"/>
    <hyperlink ref="F292" r:id="rId129" xr:uid="{00000000-0004-0000-0600-000080000000}"/>
    <hyperlink ref="F293" r:id="rId130" xr:uid="{00000000-0004-0000-0600-000081000000}"/>
    <hyperlink ref="F294" r:id="rId131" xr:uid="{00000000-0004-0000-0600-000082000000}"/>
    <hyperlink ref="F296" r:id="rId132" xr:uid="{00000000-0004-0000-0600-000083000000}"/>
    <hyperlink ref="F304" r:id="rId133" xr:uid="{00000000-0004-0000-0600-000084000000}"/>
    <hyperlink ref="F314" r:id="rId134" xr:uid="{00000000-0004-0000-0600-000085000000}"/>
    <hyperlink ref="F310" r:id="rId135" xr:uid="{00000000-0004-0000-0600-000086000000}"/>
    <hyperlink ref="F317" r:id="rId136" xr:uid="{00000000-0004-0000-0600-000087000000}"/>
    <hyperlink ref="F316" r:id="rId137" xr:uid="{00000000-0004-0000-0600-000088000000}"/>
    <hyperlink ref="F321" r:id="rId138" xr:uid="{00000000-0004-0000-0600-000089000000}"/>
    <hyperlink ref="F325" r:id="rId139" xr:uid="{00000000-0004-0000-0600-00008A000000}"/>
    <hyperlink ref="F203:F204" r:id="rId140" display="fransisca.desyanti@faasri.com" xr:uid="{00000000-0004-0000-0600-00008B000000}"/>
    <hyperlink ref="F202" r:id="rId141" xr:uid="{00000000-0004-0000-0600-00008C000000}"/>
  </hyperlinks>
  <pageMargins left="0.75" right="0.75" top="1" bottom="1" header="0.5" footer="0.5"/>
  <pageSetup scale="37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S344"/>
  <sheetViews>
    <sheetView zoomScale="85" zoomScaleNormal="85" workbookViewId="0">
      <pane ySplit="3" topLeftCell="A343" activePane="bottomLeft" state="frozen"/>
      <selection pane="bottomLeft" activeCell="D353" sqref="D353"/>
    </sheetView>
  </sheetViews>
  <sheetFormatPr defaultColWidth="9.140625" defaultRowHeight="15"/>
  <cols>
    <col min="1" max="1" width="4.140625" customWidth="1"/>
    <col min="2" max="2" width="5.7109375" style="2" customWidth="1"/>
    <col min="3" max="3" width="20" customWidth="1"/>
    <col min="4" max="4" width="28.140625" style="3" customWidth="1"/>
    <col min="5" max="5" width="32.85546875" style="4" customWidth="1"/>
    <col min="6" max="6" width="44.5703125" style="4" customWidth="1"/>
    <col min="7" max="7" width="39.42578125" style="5" customWidth="1"/>
    <col min="8" max="8" width="56.140625" customWidth="1"/>
    <col min="9" max="9" width="23.85546875" hidden="1" customWidth="1"/>
    <col min="10" max="10" width="24" customWidth="1"/>
    <col min="11" max="11" width="21.7109375" customWidth="1"/>
    <col min="12" max="12" width="46.7109375" style="6" customWidth="1"/>
    <col min="13" max="13" width="37.85546875" customWidth="1"/>
    <col min="14" max="14" width="10.7109375" style="7" customWidth="1"/>
    <col min="15" max="15" width="16.28515625" customWidth="1"/>
    <col min="16" max="16" width="9.140625" customWidth="1"/>
    <col min="17" max="17" width="17.140625" customWidth="1"/>
    <col min="18" max="18" width="18.42578125" customWidth="1"/>
    <col min="19" max="19" width="18" customWidth="1"/>
    <col min="21" max="21" width="14.28515625" customWidth="1"/>
  </cols>
  <sheetData>
    <row r="2" spans="1:19">
      <c r="B2" s="374" t="s">
        <v>24</v>
      </c>
      <c r="C2" s="372" t="s">
        <v>25</v>
      </c>
      <c r="D2" s="10"/>
      <c r="E2" s="376" t="s">
        <v>26</v>
      </c>
      <c r="F2" s="11" t="s">
        <v>1690</v>
      </c>
      <c r="G2" s="12" t="s">
        <v>1691</v>
      </c>
      <c r="H2" s="372" t="s">
        <v>27</v>
      </c>
      <c r="I2" s="13" t="s">
        <v>28</v>
      </c>
      <c r="J2" s="13" t="s">
        <v>29</v>
      </c>
      <c r="K2" s="13" t="s">
        <v>30</v>
      </c>
      <c r="L2" s="372" t="s">
        <v>31</v>
      </c>
      <c r="M2" s="372" t="s">
        <v>32</v>
      </c>
      <c r="N2" s="33"/>
      <c r="O2" s="370" t="s">
        <v>33</v>
      </c>
      <c r="P2" s="372" t="s">
        <v>34</v>
      </c>
      <c r="Q2" s="370" t="s">
        <v>35</v>
      </c>
      <c r="R2" s="370" t="s">
        <v>36</v>
      </c>
      <c r="S2" s="370" t="s">
        <v>37</v>
      </c>
    </row>
    <row r="3" spans="1:19">
      <c r="B3" s="375"/>
      <c r="C3" s="373"/>
      <c r="D3" s="14" t="s">
        <v>38</v>
      </c>
      <c r="E3" s="377"/>
      <c r="F3" s="15"/>
      <c r="G3" s="16"/>
      <c r="H3" s="373"/>
      <c r="I3" s="13" t="s">
        <v>28</v>
      </c>
      <c r="J3" s="13" t="s">
        <v>29</v>
      </c>
      <c r="K3" s="13" t="s">
        <v>30</v>
      </c>
      <c r="L3" s="373"/>
      <c r="M3" s="373"/>
      <c r="N3" s="35" t="s">
        <v>39</v>
      </c>
      <c r="O3" s="371"/>
      <c r="P3" s="373"/>
      <c r="Q3" s="371"/>
      <c r="R3" s="371"/>
      <c r="S3" s="371"/>
    </row>
    <row r="4" spans="1:19">
      <c r="A4" s="17"/>
      <c r="B4" s="18">
        <v>92</v>
      </c>
      <c r="C4" s="19" t="s">
        <v>390</v>
      </c>
      <c r="D4" s="20" t="s">
        <v>391</v>
      </c>
      <c r="E4" s="21" t="s">
        <v>9</v>
      </c>
      <c r="F4" s="22" t="s">
        <v>1692</v>
      </c>
      <c r="G4" s="23" t="s">
        <v>1693</v>
      </c>
      <c r="H4" s="24" t="s">
        <v>392</v>
      </c>
      <c r="I4" s="19"/>
      <c r="J4" s="19" t="s">
        <v>393</v>
      </c>
      <c r="K4" s="19"/>
      <c r="L4" s="24" t="s">
        <v>50</v>
      </c>
      <c r="M4" s="19" t="s">
        <v>394</v>
      </c>
      <c r="N4" s="36">
        <v>44363</v>
      </c>
      <c r="O4" s="37">
        <v>254545</v>
      </c>
      <c r="P4" s="19">
        <v>8</v>
      </c>
      <c r="Q4" s="40">
        <f t="shared" ref="Q4:Q67" si="0">P4*O4</f>
        <v>2036360</v>
      </c>
      <c r="R4" s="40">
        <v>275000</v>
      </c>
      <c r="S4" s="40">
        <f t="shared" ref="S4:S67" si="1">R4*P4</f>
        <v>2200000</v>
      </c>
    </row>
    <row r="5" spans="1:19">
      <c r="A5" s="17"/>
      <c r="B5" s="18">
        <v>102</v>
      </c>
      <c r="C5" s="19" t="s">
        <v>430</v>
      </c>
      <c r="D5" s="20" t="s">
        <v>431</v>
      </c>
      <c r="E5" s="21" t="s">
        <v>9</v>
      </c>
      <c r="F5" s="22" t="s">
        <v>1692</v>
      </c>
      <c r="G5" s="23" t="s">
        <v>1693</v>
      </c>
      <c r="H5" s="24" t="s">
        <v>432</v>
      </c>
      <c r="I5" s="19"/>
      <c r="J5" s="19" t="s">
        <v>433</v>
      </c>
      <c r="K5" s="19"/>
      <c r="L5" s="24" t="s">
        <v>50</v>
      </c>
      <c r="M5" s="19" t="s">
        <v>434</v>
      </c>
      <c r="N5" s="36">
        <v>44376</v>
      </c>
      <c r="O5" s="37">
        <v>254545</v>
      </c>
      <c r="P5" s="19">
        <v>2</v>
      </c>
      <c r="Q5" s="40">
        <f t="shared" si="0"/>
        <v>509090</v>
      </c>
      <c r="R5" s="40">
        <v>275000</v>
      </c>
      <c r="S5" s="40">
        <f t="shared" si="1"/>
        <v>550000</v>
      </c>
    </row>
    <row r="6" spans="1:19">
      <c r="A6" s="17"/>
      <c r="B6" s="18">
        <v>103</v>
      </c>
      <c r="C6" s="19" t="s">
        <v>435</v>
      </c>
      <c r="D6" s="20" t="s">
        <v>431</v>
      </c>
      <c r="E6" s="21" t="s">
        <v>9</v>
      </c>
      <c r="F6" s="22" t="s">
        <v>1692</v>
      </c>
      <c r="G6" s="23" t="s">
        <v>1693</v>
      </c>
      <c r="H6" s="24" t="s">
        <v>436</v>
      </c>
      <c r="I6" s="19"/>
      <c r="J6" s="19" t="s">
        <v>433</v>
      </c>
      <c r="K6" s="19"/>
      <c r="L6" s="24" t="s">
        <v>50</v>
      </c>
      <c r="M6" s="19" t="s">
        <v>437</v>
      </c>
      <c r="N6" s="36">
        <v>44376</v>
      </c>
      <c r="O6" s="37">
        <v>254545</v>
      </c>
      <c r="P6" s="19">
        <v>3</v>
      </c>
      <c r="Q6" s="40">
        <f t="shared" si="0"/>
        <v>763635</v>
      </c>
      <c r="R6" s="40">
        <v>275000</v>
      </c>
      <c r="S6" s="40">
        <f t="shared" si="1"/>
        <v>825000</v>
      </c>
    </row>
    <row r="7" spans="1:19">
      <c r="A7" s="17"/>
      <c r="B7" s="18">
        <v>104</v>
      </c>
      <c r="C7" s="19" t="s">
        <v>438</v>
      </c>
      <c r="D7" s="20" t="s">
        <v>439</v>
      </c>
      <c r="E7" s="21" t="s">
        <v>9</v>
      </c>
      <c r="F7" s="22" t="s">
        <v>1692</v>
      </c>
      <c r="G7" s="23" t="s">
        <v>1693</v>
      </c>
      <c r="H7" s="24" t="s">
        <v>440</v>
      </c>
      <c r="I7" s="19"/>
      <c r="J7" s="19" t="s">
        <v>441</v>
      </c>
      <c r="K7" s="19"/>
      <c r="L7" s="24" t="s">
        <v>50</v>
      </c>
      <c r="M7" s="19" t="s">
        <v>442</v>
      </c>
      <c r="N7" s="36">
        <v>44377</v>
      </c>
      <c r="O7" s="37">
        <v>254545</v>
      </c>
      <c r="P7" s="19">
        <v>1</v>
      </c>
      <c r="Q7" s="40">
        <f t="shared" si="0"/>
        <v>254545</v>
      </c>
      <c r="R7" s="40">
        <v>275000</v>
      </c>
      <c r="S7" s="40">
        <f t="shared" si="1"/>
        <v>275000</v>
      </c>
    </row>
    <row r="8" spans="1:19">
      <c r="A8" s="17"/>
      <c r="B8" s="18">
        <v>105</v>
      </c>
      <c r="C8" s="25" t="s">
        <v>443</v>
      </c>
      <c r="D8" s="26" t="s">
        <v>444</v>
      </c>
      <c r="E8" s="27" t="s">
        <v>9</v>
      </c>
      <c r="F8" s="28" t="s">
        <v>1692</v>
      </c>
      <c r="G8" s="29" t="s">
        <v>1693</v>
      </c>
      <c r="H8" s="30" t="s">
        <v>445</v>
      </c>
      <c r="I8" s="25"/>
      <c r="J8" s="25" t="s">
        <v>446</v>
      </c>
      <c r="K8" s="25"/>
      <c r="L8" s="30" t="s">
        <v>50</v>
      </c>
      <c r="M8" s="25" t="s">
        <v>447</v>
      </c>
      <c r="N8" s="38">
        <v>44407</v>
      </c>
      <c r="O8" s="39">
        <v>254545</v>
      </c>
      <c r="P8" s="25">
        <v>1</v>
      </c>
      <c r="Q8" s="41">
        <f t="shared" si="0"/>
        <v>254545</v>
      </c>
      <c r="R8" s="41">
        <v>275000</v>
      </c>
      <c r="S8" s="41">
        <f t="shared" si="1"/>
        <v>275000</v>
      </c>
    </row>
    <row r="9" spans="1:19">
      <c r="A9" s="17"/>
      <c r="B9" s="18">
        <v>106</v>
      </c>
      <c r="C9" s="25" t="s">
        <v>448</v>
      </c>
      <c r="D9" s="26" t="s">
        <v>449</v>
      </c>
      <c r="E9" s="27" t="s">
        <v>9</v>
      </c>
      <c r="F9" s="28" t="s">
        <v>1692</v>
      </c>
      <c r="G9" s="29" t="s">
        <v>1693</v>
      </c>
      <c r="H9" s="30" t="s">
        <v>450</v>
      </c>
      <c r="I9" s="25"/>
      <c r="J9" s="25" t="s">
        <v>451</v>
      </c>
      <c r="K9" s="25"/>
      <c r="L9" s="30" t="s">
        <v>50</v>
      </c>
      <c r="M9" s="25" t="s">
        <v>452</v>
      </c>
      <c r="N9" s="38">
        <v>44385</v>
      </c>
      <c r="O9" s="39">
        <v>254545</v>
      </c>
      <c r="P9" s="25">
        <v>3</v>
      </c>
      <c r="Q9" s="41">
        <f t="shared" si="0"/>
        <v>763635</v>
      </c>
      <c r="R9" s="41">
        <v>275000</v>
      </c>
      <c r="S9" s="41">
        <f t="shared" si="1"/>
        <v>825000</v>
      </c>
    </row>
    <row r="10" spans="1:19">
      <c r="A10" s="17"/>
      <c r="B10" s="18">
        <v>107</v>
      </c>
      <c r="C10" s="25" t="s">
        <v>453</v>
      </c>
      <c r="D10" s="26" t="s">
        <v>449</v>
      </c>
      <c r="E10" s="27" t="s">
        <v>9</v>
      </c>
      <c r="F10" s="28" t="s">
        <v>1692</v>
      </c>
      <c r="G10" s="29" t="s">
        <v>1693</v>
      </c>
      <c r="H10" s="30" t="s">
        <v>454</v>
      </c>
      <c r="I10" s="25"/>
      <c r="J10" s="25" t="s">
        <v>455</v>
      </c>
      <c r="K10" s="25"/>
      <c r="L10" s="30" t="s">
        <v>50</v>
      </c>
      <c r="M10" s="25" t="s">
        <v>456</v>
      </c>
      <c r="N10" s="38">
        <v>44385</v>
      </c>
      <c r="O10" s="39">
        <v>254545</v>
      </c>
      <c r="P10" s="25">
        <v>2</v>
      </c>
      <c r="Q10" s="41">
        <f t="shared" si="0"/>
        <v>509090</v>
      </c>
      <c r="R10" s="41">
        <v>275000</v>
      </c>
      <c r="S10" s="41">
        <f t="shared" si="1"/>
        <v>550000</v>
      </c>
    </row>
    <row r="11" spans="1:19">
      <c r="A11" s="17"/>
      <c r="B11" s="18">
        <v>108</v>
      </c>
      <c r="C11" s="25" t="s">
        <v>457</v>
      </c>
      <c r="D11" s="26" t="s">
        <v>449</v>
      </c>
      <c r="E11" s="27" t="s">
        <v>9</v>
      </c>
      <c r="F11" s="28" t="s">
        <v>1692</v>
      </c>
      <c r="G11" s="29" t="s">
        <v>1693</v>
      </c>
      <c r="H11" s="30" t="s">
        <v>458</v>
      </c>
      <c r="I11" s="25"/>
      <c r="J11" s="25" t="s">
        <v>459</v>
      </c>
      <c r="K11" s="25"/>
      <c r="L11" s="30" t="s">
        <v>50</v>
      </c>
      <c r="M11" s="25" t="s">
        <v>460</v>
      </c>
      <c r="N11" s="38">
        <v>44385</v>
      </c>
      <c r="O11" s="39">
        <v>254545</v>
      </c>
      <c r="P11" s="25">
        <v>1</v>
      </c>
      <c r="Q11" s="41">
        <f t="shared" si="0"/>
        <v>254545</v>
      </c>
      <c r="R11" s="41">
        <v>275000</v>
      </c>
      <c r="S11" s="41">
        <f t="shared" si="1"/>
        <v>275000</v>
      </c>
    </row>
    <row r="12" spans="1:19">
      <c r="A12" s="17"/>
      <c r="B12" s="18">
        <v>111</v>
      </c>
      <c r="C12" s="25" t="s">
        <v>469</v>
      </c>
      <c r="D12" s="26" t="s">
        <v>470</v>
      </c>
      <c r="E12" s="27" t="s">
        <v>6</v>
      </c>
      <c r="F12" s="28" t="s">
        <v>1694</v>
      </c>
      <c r="G12" s="31" t="s">
        <v>1695</v>
      </c>
      <c r="H12" s="30" t="s">
        <v>185</v>
      </c>
      <c r="I12" s="25"/>
      <c r="J12" s="25" t="s">
        <v>471</v>
      </c>
      <c r="K12" s="25"/>
      <c r="L12" s="30" t="s">
        <v>50</v>
      </c>
      <c r="M12" s="25" t="s">
        <v>472</v>
      </c>
      <c r="N12" s="38">
        <v>44395</v>
      </c>
      <c r="O12" s="39">
        <v>345455</v>
      </c>
      <c r="P12" s="25">
        <v>258</v>
      </c>
      <c r="Q12" s="41">
        <f t="shared" si="0"/>
        <v>89127390</v>
      </c>
      <c r="R12" s="41">
        <v>388181.82</v>
      </c>
      <c r="S12" s="41">
        <f t="shared" si="1"/>
        <v>100150909.56</v>
      </c>
    </row>
    <row r="13" spans="1:19">
      <c r="A13" s="17"/>
      <c r="B13" s="18">
        <v>113</v>
      </c>
      <c r="C13" s="25" t="s">
        <v>477</v>
      </c>
      <c r="D13" s="26" t="s">
        <v>478</v>
      </c>
      <c r="E13" s="27" t="s">
        <v>9</v>
      </c>
      <c r="F13" s="28" t="s">
        <v>1692</v>
      </c>
      <c r="G13" s="29" t="s">
        <v>1693</v>
      </c>
      <c r="H13" s="30" t="s">
        <v>479</v>
      </c>
      <c r="I13" s="25"/>
      <c r="J13" s="25" t="s">
        <v>480</v>
      </c>
      <c r="K13" s="25"/>
      <c r="L13" s="30" t="s">
        <v>50</v>
      </c>
      <c r="M13" s="25" t="s">
        <v>481</v>
      </c>
      <c r="N13" s="38">
        <v>44398</v>
      </c>
      <c r="O13" s="39">
        <v>254545</v>
      </c>
      <c r="P13" s="25">
        <v>1</v>
      </c>
      <c r="Q13" s="41">
        <f t="shared" si="0"/>
        <v>254545</v>
      </c>
      <c r="R13" s="41">
        <v>275000</v>
      </c>
      <c r="S13" s="41">
        <f t="shared" si="1"/>
        <v>275000</v>
      </c>
    </row>
    <row r="14" spans="1:19">
      <c r="A14" s="17"/>
      <c r="B14" s="18">
        <v>114</v>
      </c>
      <c r="C14" s="25" t="s">
        <v>482</v>
      </c>
      <c r="D14" s="26" t="s">
        <v>478</v>
      </c>
      <c r="E14" s="27" t="s">
        <v>9</v>
      </c>
      <c r="F14" s="28" t="s">
        <v>1692</v>
      </c>
      <c r="G14" s="29" t="s">
        <v>1693</v>
      </c>
      <c r="H14" s="30" t="s">
        <v>483</v>
      </c>
      <c r="I14" s="25"/>
      <c r="J14" s="25" t="s">
        <v>480</v>
      </c>
      <c r="K14" s="25"/>
      <c r="L14" s="30" t="s">
        <v>50</v>
      </c>
      <c r="M14" s="25" t="s">
        <v>484</v>
      </c>
      <c r="N14" s="38">
        <v>44398</v>
      </c>
      <c r="O14" s="39">
        <v>254545</v>
      </c>
      <c r="P14" s="25">
        <v>8</v>
      </c>
      <c r="Q14" s="41">
        <f t="shared" si="0"/>
        <v>2036360</v>
      </c>
      <c r="R14" s="41">
        <v>275000</v>
      </c>
      <c r="S14" s="41">
        <f t="shared" si="1"/>
        <v>2200000</v>
      </c>
    </row>
    <row r="15" spans="1:19">
      <c r="A15" s="17"/>
      <c r="B15" s="18">
        <v>115</v>
      </c>
      <c r="C15" s="25" t="s">
        <v>485</v>
      </c>
      <c r="D15" s="26" t="s">
        <v>444</v>
      </c>
      <c r="E15" s="27" t="s">
        <v>9</v>
      </c>
      <c r="F15" s="28" t="s">
        <v>1692</v>
      </c>
      <c r="G15" s="29" t="s">
        <v>1693</v>
      </c>
      <c r="H15" s="30" t="s">
        <v>203</v>
      </c>
      <c r="I15" s="25"/>
      <c r="J15" s="25" t="s">
        <v>446</v>
      </c>
      <c r="K15" s="25"/>
      <c r="L15" s="30" t="s">
        <v>50</v>
      </c>
      <c r="M15" s="25" t="s">
        <v>486</v>
      </c>
      <c r="N15" s="38">
        <v>44407</v>
      </c>
      <c r="O15" s="39">
        <v>254545</v>
      </c>
      <c r="P15" s="25">
        <v>1</v>
      </c>
      <c r="Q15" s="41">
        <f t="shared" si="0"/>
        <v>254545</v>
      </c>
      <c r="R15" s="41">
        <v>275000</v>
      </c>
      <c r="S15" s="41">
        <f t="shared" si="1"/>
        <v>275000</v>
      </c>
    </row>
    <row r="16" spans="1:19">
      <c r="A16" s="17"/>
      <c r="B16" s="18">
        <v>116</v>
      </c>
      <c r="C16" s="25" t="s">
        <v>487</v>
      </c>
      <c r="D16" s="26" t="s">
        <v>488</v>
      </c>
      <c r="E16" s="27" t="s">
        <v>9</v>
      </c>
      <c r="F16" s="28" t="s">
        <v>1692</v>
      </c>
      <c r="G16" s="29" t="s">
        <v>1693</v>
      </c>
      <c r="H16" s="30" t="s">
        <v>489</v>
      </c>
      <c r="I16" s="25"/>
      <c r="J16" s="25" t="s">
        <v>490</v>
      </c>
      <c r="K16" s="25"/>
      <c r="L16" s="30" t="s">
        <v>50</v>
      </c>
      <c r="M16" s="25" t="s">
        <v>491</v>
      </c>
      <c r="N16" s="38">
        <v>44404</v>
      </c>
      <c r="O16" s="39">
        <v>254545</v>
      </c>
      <c r="P16" s="25">
        <v>1</v>
      </c>
      <c r="Q16" s="41">
        <f t="shared" si="0"/>
        <v>254545</v>
      </c>
      <c r="R16" s="41">
        <v>275000</v>
      </c>
      <c r="S16" s="41">
        <f t="shared" si="1"/>
        <v>275000</v>
      </c>
    </row>
    <row r="17" spans="1:19">
      <c r="A17" s="17"/>
      <c r="B17" s="18">
        <v>117</v>
      </c>
      <c r="C17" s="25" t="s">
        <v>492</v>
      </c>
      <c r="D17" s="26" t="s">
        <v>444</v>
      </c>
      <c r="E17" s="27" t="s">
        <v>9</v>
      </c>
      <c r="F17" s="28" t="s">
        <v>1692</v>
      </c>
      <c r="G17" s="29" t="s">
        <v>1693</v>
      </c>
      <c r="H17" s="30" t="s">
        <v>445</v>
      </c>
      <c r="I17" s="25"/>
      <c r="J17" s="25" t="s">
        <v>446</v>
      </c>
      <c r="K17" s="25"/>
      <c r="L17" s="30" t="s">
        <v>50</v>
      </c>
      <c r="M17" s="25" t="s">
        <v>493</v>
      </c>
      <c r="N17" s="38">
        <v>44407</v>
      </c>
      <c r="O17" s="39">
        <v>254545</v>
      </c>
      <c r="P17" s="25">
        <v>1</v>
      </c>
      <c r="Q17" s="41">
        <f t="shared" si="0"/>
        <v>254545</v>
      </c>
      <c r="R17" s="41">
        <v>275000</v>
      </c>
      <c r="S17" s="41">
        <f t="shared" si="1"/>
        <v>275000</v>
      </c>
    </row>
    <row r="18" spans="1:19">
      <c r="A18" s="17"/>
      <c r="B18" s="18">
        <v>118</v>
      </c>
      <c r="C18" s="25" t="s">
        <v>494</v>
      </c>
      <c r="D18" s="26" t="s">
        <v>444</v>
      </c>
      <c r="E18" s="27" t="s">
        <v>9</v>
      </c>
      <c r="F18" s="28" t="s">
        <v>1692</v>
      </c>
      <c r="G18" s="29" t="s">
        <v>1693</v>
      </c>
      <c r="H18" s="30" t="s">
        <v>495</v>
      </c>
      <c r="I18" s="25"/>
      <c r="J18" s="25" t="s">
        <v>496</v>
      </c>
      <c r="K18" s="25"/>
      <c r="L18" s="30" t="s">
        <v>50</v>
      </c>
      <c r="M18" s="25" t="s">
        <v>497</v>
      </c>
      <c r="N18" s="38">
        <v>44407</v>
      </c>
      <c r="O18" s="39">
        <v>254545</v>
      </c>
      <c r="P18" s="25">
        <v>1</v>
      </c>
      <c r="Q18" s="41">
        <f t="shared" si="0"/>
        <v>254545</v>
      </c>
      <c r="R18" s="41">
        <v>275000</v>
      </c>
      <c r="S18" s="41">
        <f t="shared" si="1"/>
        <v>275000</v>
      </c>
    </row>
    <row r="19" spans="1:19">
      <c r="A19" s="17"/>
      <c r="B19" s="18">
        <v>119</v>
      </c>
      <c r="C19" s="19" t="s">
        <v>498</v>
      </c>
      <c r="D19" s="20" t="s">
        <v>499</v>
      </c>
      <c r="E19" s="21" t="s">
        <v>11</v>
      </c>
      <c r="F19" s="22" t="s">
        <v>1696</v>
      </c>
      <c r="G19" s="32" t="s">
        <v>1697</v>
      </c>
      <c r="H19" s="24" t="s">
        <v>320</v>
      </c>
      <c r="I19" s="19"/>
      <c r="J19" s="19" t="s">
        <v>500</v>
      </c>
      <c r="K19" s="19"/>
      <c r="L19" s="24" t="s">
        <v>50</v>
      </c>
      <c r="M19" s="19" t="s">
        <v>501</v>
      </c>
      <c r="N19" s="36">
        <v>44410</v>
      </c>
      <c r="O19" s="37">
        <v>444545</v>
      </c>
      <c r="P19" s="19">
        <v>19</v>
      </c>
      <c r="Q19" s="40">
        <f t="shared" si="0"/>
        <v>8446355</v>
      </c>
      <c r="R19" s="40">
        <v>556363.63</v>
      </c>
      <c r="S19" s="40">
        <f t="shared" si="1"/>
        <v>10570908.970000001</v>
      </c>
    </row>
    <row r="20" spans="1:19">
      <c r="A20" s="17"/>
      <c r="B20" s="18">
        <v>120</v>
      </c>
      <c r="C20" s="19" t="s">
        <v>502</v>
      </c>
      <c r="D20" s="20" t="s">
        <v>503</v>
      </c>
      <c r="E20" s="21" t="s">
        <v>9</v>
      </c>
      <c r="F20" s="22" t="s">
        <v>1692</v>
      </c>
      <c r="G20" s="23" t="s">
        <v>1693</v>
      </c>
      <c r="H20" s="24" t="s">
        <v>504</v>
      </c>
      <c r="I20" s="19"/>
      <c r="J20" s="19" t="s">
        <v>505</v>
      </c>
      <c r="K20" s="19"/>
      <c r="L20" s="24" t="s">
        <v>50</v>
      </c>
      <c r="M20" s="19" t="s">
        <v>506</v>
      </c>
      <c r="N20" s="36">
        <v>44410</v>
      </c>
      <c r="O20" s="37">
        <v>254545</v>
      </c>
      <c r="P20" s="19">
        <v>5</v>
      </c>
      <c r="Q20" s="40">
        <f t="shared" si="0"/>
        <v>1272725</v>
      </c>
      <c r="R20" s="40">
        <v>275000</v>
      </c>
      <c r="S20" s="40">
        <f t="shared" si="1"/>
        <v>1375000</v>
      </c>
    </row>
    <row r="21" spans="1:19">
      <c r="A21" s="17"/>
      <c r="B21" s="18">
        <v>121</v>
      </c>
      <c r="C21" s="19" t="s">
        <v>507</v>
      </c>
      <c r="D21" s="20" t="s">
        <v>508</v>
      </c>
      <c r="E21" s="21" t="s">
        <v>6</v>
      </c>
      <c r="F21" s="22" t="s">
        <v>1694</v>
      </c>
      <c r="G21" s="32" t="s">
        <v>1695</v>
      </c>
      <c r="H21" s="24" t="s">
        <v>509</v>
      </c>
      <c r="I21" s="19"/>
      <c r="J21" s="19" t="s">
        <v>510</v>
      </c>
      <c r="K21" s="19"/>
      <c r="L21" s="24" t="s">
        <v>50</v>
      </c>
      <c r="M21" s="19" t="s">
        <v>511</v>
      </c>
      <c r="N21" s="36">
        <v>44414</v>
      </c>
      <c r="O21" s="37">
        <v>444545</v>
      </c>
      <c r="P21" s="19">
        <v>73</v>
      </c>
      <c r="Q21" s="40">
        <f t="shared" si="0"/>
        <v>32451785</v>
      </c>
      <c r="R21" s="40">
        <v>530000</v>
      </c>
      <c r="S21" s="40">
        <f t="shared" si="1"/>
        <v>38690000</v>
      </c>
    </row>
    <row r="22" spans="1:19">
      <c r="A22" s="17"/>
      <c r="B22" s="18">
        <v>122</v>
      </c>
      <c r="C22" s="19" t="s">
        <v>512</v>
      </c>
      <c r="D22" s="20" t="s">
        <v>513</v>
      </c>
      <c r="E22" s="21" t="s">
        <v>9</v>
      </c>
      <c r="F22" s="22" t="s">
        <v>1692</v>
      </c>
      <c r="G22" s="23" t="s">
        <v>1693</v>
      </c>
      <c r="H22" s="24" t="s">
        <v>514</v>
      </c>
      <c r="I22" s="19"/>
      <c r="J22" s="19" t="s">
        <v>515</v>
      </c>
      <c r="K22" s="19"/>
      <c r="L22" s="24" t="s">
        <v>50</v>
      </c>
      <c r="M22" s="19" t="s">
        <v>516</v>
      </c>
      <c r="N22" s="36">
        <v>44417</v>
      </c>
      <c r="O22" s="37">
        <v>254545</v>
      </c>
      <c r="P22" s="19">
        <v>2</v>
      </c>
      <c r="Q22" s="40">
        <f t="shared" si="0"/>
        <v>509090</v>
      </c>
      <c r="R22" s="40">
        <v>275000</v>
      </c>
      <c r="S22" s="40">
        <f t="shared" si="1"/>
        <v>550000</v>
      </c>
    </row>
    <row r="23" spans="1:19">
      <c r="A23" s="17"/>
      <c r="B23" s="18">
        <v>123</v>
      </c>
      <c r="C23" s="19" t="s">
        <v>517</v>
      </c>
      <c r="D23" s="20" t="s">
        <v>513</v>
      </c>
      <c r="E23" s="21" t="s">
        <v>9</v>
      </c>
      <c r="F23" s="22" t="s">
        <v>1692</v>
      </c>
      <c r="G23" s="23" t="s">
        <v>1693</v>
      </c>
      <c r="H23" s="24" t="s">
        <v>518</v>
      </c>
      <c r="I23" s="19"/>
      <c r="J23" s="19" t="s">
        <v>515</v>
      </c>
      <c r="K23" s="19"/>
      <c r="L23" s="24" t="s">
        <v>50</v>
      </c>
      <c r="M23" s="19" t="s">
        <v>519</v>
      </c>
      <c r="N23" s="36">
        <v>44417</v>
      </c>
      <c r="O23" s="37">
        <v>254545</v>
      </c>
      <c r="P23" s="19">
        <v>3</v>
      </c>
      <c r="Q23" s="40">
        <f t="shared" si="0"/>
        <v>763635</v>
      </c>
      <c r="R23" s="40">
        <v>275000</v>
      </c>
      <c r="S23" s="40">
        <f t="shared" si="1"/>
        <v>825000</v>
      </c>
    </row>
    <row r="24" spans="1:19">
      <c r="A24" s="17"/>
      <c r="B24" s="18">
        <v>124</v>
      </c>
      <c r="C24" s="19" t="s">
        <v>520</v>
      </c>
      <c r="D24" s="20" t="s">
        <v>521</v>
      </c>
      <c r="E24" s="21" t="s">
        <v>9</v>
      </c>
      <c r="F24" s="22" t="s">
        <v>1692</v>
      </c>
      <c r="G24" s="23" t="s">
        <v>1693</v>
      </c>
      <c r="H24" s="24" t="s">
        <v>522</v>
      </c>
      <c r="I24" s="19"/>
      <c r="J24" s="19" t="s">
        <v>446</v>
      </c>
      <c r="K24" s="19"/>
      <c r="L24" s="24" t="s">
        <v>50</v>
      </c>
      <c r="M24" s="19" t="s">
        <v>523</v>
      </c>
      <c r="N24" s="36">
        <v>44417</v>
      </c>
      <c r="O24" s="37">
        <v>254545</v>
      </c>
      <c r="P24" s="19">
        <v>1</v>
      </c>
      <c r="Q24" s="40">
        <f t="shared" si="0"/>
        <v>254545</v>
      </c>
      <c r="R24" s="40">
        <v>275000</v>
      </c>
      <c r="S24" s="40">
        <f t="shared" si="1"/>
        <v>275000</v>
      </c>
    </row>
    <row r="25" spans="1:19">
      <c r="A25" s="17"/>
      <c r="B25" s="18">
        <v>125</v>
      </c>
      <c r="C25" s="19" t="s">
        <v>524</v>
      </c>
      <c r="D25" s="20" t="s">
        <v>525</v>
      </c>
      <c r="E25" s="21" t="s">
        <v>9</v>
      </c>
      <c r="F25" s="22" t="s">
        <v>1692</v>
      </c>
      <c r="G25" s="23" t="s">
        <v>1693</v>
      </c>
      <c r="H25" s="24" t="s">
        <v>368</v>
      </c>
      <c r="I25" s="19"/>
      <c r="J25" s="19" t="s">
        <v>526</v>
      </c>
      <c r="K25" s="19"/>
      <c r="L25" s="24" t="s">
        <v>50</v>
      </c>
      <c r="M25" s="19" t="s">
        <v>527</v>
      </c>
      <c r="N25" s="36">
        <v>44418</v>
      </c>
      <c r="O25" s="37">
        <v>254545</v>
      </c>
      <c r="P25" s="19">
        <v>5</v>
      </c>
      <c r="Q25" s="40">
        <f t="shared" si="0"/>
        <v>1272725</v>
      </c>
      <c r="R25" s="40">
        <v>275000</v>
      </c>
      <c r="S25" s="40">
        <f t="shared" si="1"/>
        <v>1375000</v>
      </c>
    </row>
    <row r="26" spans="1:19">
      <c r="A26" s="17"/>
      <c r="B26" s="18">
        <v>126</v>
      </c>
      <c r="C26" s="19" t="s">
        <v>528</v>
      </c>
      <c r="D26" s="20" t="s">
        <v>525</v>
      </c>
      <c r="E26" s="21" t="s">
        <v>9</v>
      </c>
      <c r="F26" s="22" t="s">
        <v>1692</v>
      </c>
      <c r="G26" s="23" t="s">
        <v>1693</v>
      </c>
      <c r="H26" s="24" t="s">
        <v>368</v>
      </c>
      <c r="I26" s="19"/>
      <c r="J26" s="19" t="s">
        <v>510</v>
      </c>
      <c r="K26" s="19"/>
      <c r="L26" s="24" t="s">
        <v>50</v>
      </c>
      <c r="M26" s="19" t="s">
        <v>529</v>
      </c>
      <c r="N26" s="36">
        <v>44418</v>
      </c>
      <c r="O26" s="37">
        <v>254545</v>
      </c>
      <c r="P26" s="19">
        <v>2</v>
      </c>
      <c r="Q26" s="40">
        <f t="shared" si="0"/>
        <v>509090</v>
      </c>
      <c r="R26" s="40">
        <v>275000</v>
      </c>
      <c r="S26" s="40">
        <f t="shared" si="1"/>
        <v>550000</v>
      </c>
    </row>
    <row r="27" spans="1:19">
      <c r="A27" s="17"/>
      <c r="B27" s="18">
        <v>128</v>
      </c>
      <c r="C27" s="19" t="s">
        <v>535</v>
      </c>
      <c r="D27" s="20" t="s">
        <v>536</v>
      </c>
      <c r="E27" s="21" t="s">
        <v>9</v>
      </c>
      <c r="F27" s="22" t="s">
        <v>1692</v>
      </c>
      <c r="G27" s="23" t="s">
        <v>1693</v>
      </c>
      <c r="H27" s="24" t="s">
        <v>537</v>
      </c>
      <c r="I27" s="19"/>
      <c r="J27" s="19" t="s">
        <v>538</v>
      </c>
      <c r="K27" s="19"/>
      <c r="L27" s="24" t="s">
        <v>50</v>
      </c>
      <c r="M27" s="19" t="s">
        <v>539</v>
      </c>
      <c r="N27" s="36">
        <v>44438</v>
      </c>
      <c r="O27" s="37">
        <v>254545</v>
      </c>
      <c r="P27" s="19">
        <v>6</v>
      </c>
      <c r="Q27" s="40">
        <f t="shared" si="0"/>
        <v>1527270</v>
      </c>
      <c r="R27" s="40">
        <v>275000</v>
      </c>
      <c r="S27" s="40">
        <f t="shared" si="1"/>
        <v>1650000</v>
      </c>
    </row>
    <row r="28" spans="1:19">
      <c r="A28" s="17"/>
      <c r="B28" s="18">
        <v>129</v>
      </c>
      <c r="C28" s="19" t="s">
        <v>540</v>
      </c>
      <c r="D28" s="20" t="s">
        <v>536</v>
      </c>
      <c r="E28" s="21" t="s">
        <v>9</v>
      </c>
      <c r="F28" s="22" t="s">
        <v>1692</v>
      </c>
      <c r="G28" s="23" t="s">
        <v>1693</v>
      </c>
      <c r="H28" s="24" t="s">
        <v>537</v>
      </c>
      <c r="I28" s="19"/>
      <c r="J28" s="19" t="s">
        <v>538</v>
      </c>
      <c r="K28" s="19"/>
      <c r="L28" s="24" t="s">
        <v>50</v>
      </c>
      <c r="M28" s="19" t="s">
        <v>541</v>
      </c>
      <c r="N28" s="36">
        <v>44438</v>
      </c>
      <c r="O28" s="37">
        <v>254545</v>
      </c>
      <c r="P28" s="19">
        <v>4</v>
      </c>
      <c r="Q28" s="40">
        <f t="shared" si="0"/>
        <v>1018180</v>
      </c>
      <c r="R28" s="40">
        <v>275000</v>
      </c>
      <c r="S28" s="40">
        <f t="shared" si="1"/>
        <v>1100000</v>
      </c>
    </row>
    <row r="29" spans="1:19">
      <c r="A29" s="17"/>
      <c r="B29" s="18">
        <v>130</v>
      </c>
      <c r="C29" s="25" t="s">
        <v>542</v>
      </c>
      <c r="D29" s="26" t="s">
        <v>543</v>
      </c>
      <c r="E29" s="27" t="s">
        <v>9</v>
      </c>
      <c r="F29" s="28" t="s">
        <v>1692</v>
      </c>
      <c r="G29" s="29" t="s">
        <v>1693</v>
      </c>
      <c r="H29" s="30" t="s">
        <v>544</v>
      </c>
      <c r="I29" s="25"/>
      <c r="J29" s="25" t="s">
        <v>545</v>
      </c>
      <c r="K29" s="25"/>
      <c r="L29" s="30" t="s">
        <v>50</v>
      </c>
      <c r="M29" s="25" t="s">
        <v>546</v>
      </c>
      <c r="N29" s="38">
        <v>44469</v>
      </c>
      <c r="O29" s="39">
        <v>254545</v>
      </c>
      <c r="P29" s="25">
        <v>8</v>
      </c>
      <c r="Q29" s="41">
        <f t="shared" si="0"/>
        <v>2036360</v>
      </c>
      <c r="R29" s="41">
        <v>275000</v>
      </c>
      <c r="S29" s="41">
        <f t="shared" si="1"/>
        <v>2200000</v>
      </c>
    </row>
    <row r="30" spans="1:19">
      <c r="A30" s="17"/>
      <c r="B30" s="18">
        <v>131</v>
      </c>
      <c r="C30" s="25" t="s">
        <v>547</v>
      </c>
      <c r="D30" s="26" t="s">
        <v>548</v>
      </c>
      <c r="E30" s="27" t="s">
        <v>9</v>
      </c>
      <c r="F30" s="28" t="s">
        <v>1692</v>
      </c>
      <c r="G30" s="29" t="s">
        <v>1693</v>
      </c>
      <c r="H30" s="30" t="s">
        <v>549</v>
      </c>
      <c r="I30" s="25"/>
      <c r="J30" s="25" t="s">
        <v>550</v>
      </c>
      <c r="K30" s="25"/>
      <c r="L30" s="30" t="s">
        <v>50</v>
      </c>
      <c r="M30" s="25" t="s">
        <v>551</v>
      </c>
      <c r="N30" s="38">
        <v>44446</v>
      </c>
      <c r="O30" s="39">
        <v>254545</v>
      </c>
      <c r="P30" s="25">
        <v>1</v>
      </c>
      <c r="Q30" s="41">
        <f t="shared" si="0"/>
        <v>254545</v>
      </c>
      <c r="R30" s="41">
        <v>275000</v>
      </c>
      <c r="S30" s="41">
        <f t="shared" si="1"/>
        <v>275000</v>
      </c>
    </row>
    <row r="31" spans="1:19">
      <c r="A31" s="17"/>
      <c r="B31" s="18">
        <v>132</v>
      </c>
      <c r="C31" s="25" t="s">
        <v>552</v>
      </c>
      <c r="D31" s="26" t="s">
        <v>548</v>
      </c>
      <c r="E31" s="27" t="s">
        <v>9</v>
      </c>
      <c r="F31" s="28" t="s">
        <v>1692</v>
      </c>
      <c r="G31" s="29" t="s">
        <v>1693</v>
      </c>
      <c r="H31" s="30" t="s">
        <v>445</v>
      </c>
      <c r="I31" s="25"/>
      <c r="J31" s="25" t="s">
        <v>446</v>
      </c>
      <c r="K31" s="25"/>
      <c r="L31" s="30" t="s">
        <v>50</v>
      </c>
      <c r="M31" s="25" t="s">
        <v>553</v>
      </c>
      <c r="N31" s="38">
        <v>44446</v>
      </c>
      <c r="O31" s="39">
        <v>254545</v>
      </c>
      <c r="P31" s="25">
        <v>1</v>
      </c>
      <c r="Q31" s="41">
        <f t="shared" si="0"/>
        <v>254545</v>
      </c>
      <c r="R31" s="41">
        <v>275000</v>
      </c>
      <c r="S31" s="41">
        <f t="shared" si="1"/>
        <v>275000</v>
      </c>
    </row>
    <row r="32" spans="1:19">
      <c r="A32" s="17"/>
      <c r="B32" s="18">
        <v>134</v>
      </c>
      <c r="C32" s="25" t="s">
        <v>559</v>
      </c>
      <c r="D32" s="26" t="s">
        <v>560</v>
      </c>
      <c r="E32" s="27" t="s">
        <v>9</v>
      </c>
      <c r="F32" s="28" t="s">
        <v>1692</v>
      </c>
      <c r="G32" s="29" t="s">
        <v>1693</v>
      </c>
      <c r="H32" s="30" t="s">
        <v>561</v>
      </c>
      <c r="I32" s="25"/>
      <c r="J32" s="25" t="s">
        <v>538</v>
      </c>
      <c r="K32" s="25"/>
      <c r="L32" s="30" t="s">
        <v>50</v>
      </c>
      <c r="M32" s="25" t="s">
        <v>562</v>
      </c>
      <c r="N32" s="38">
        <v>44447</v>
      </c>
      <c r="O32" s="39">
        <v>254545</v>
      </c>
      <c r="P32" s="25">
        <v>1</v>
      </c>
      <c r="Q32" s="41">
        <f t="shared" si="0"/>
        <v>254545</v>
      </c>
      <c r="R32" s="41">
        <v>275000</v>
      </c>
      <c r="S32" s="41">
        <f t="shared" si="1"/>
        <v>275000</v>
      </c>
    </row>
    <row r="33" spans="1:19">
      <c r="A33" s="17"/>
      <c r="B33" s="18">
        <v>135</v>
      </c>
      <c r="C33" s="25" t="s">
        <v>563</v>
      </c>
      <c r="D33" s="26" t="s">
        <v>564</v>
      </c>
      <c r="E33" s="27" t="s">
        <v>9</v>
      </c>
      <c r="F33" s="28" t="s">
        <v>1692</v>
      </c>
      <c r="G33" s="29" t="s">
        <v>1693</v>
      </c>
      <c r="H33" s="30" t="s">
        <v>565</v>
      </c>
      <c r="I33" s="25"/>
      <c r="J33" s="25" t="s">
        <v>566</v>
      </c>
      <c r="K33" s="25"/>
      <c r="L33" s="30" t="s">
        <v>50</v>
      </c>
      <c r="M33" s="25" t="s">
        <v>567</v>
      </c>
      <c r="N33" s="38">
        <v>44448</v>
      </c>
      <c r="O33" s="39">
        <v>254545</v>
      </c>
      <c r="P33" s="25">
        <v>1</v>
      </c>
      <c r="Q33" s="41">
        <f t="shared" si="0"/>
        <v>254545</v>
      </c>
      <c r="R33" s="41">
        <v>275000</v>
      </c>
      <c r="S33" s="41">
        <f t="shared" si="1"/>
        <v>275000</v>
      </c>
    </row>
    <row r="34" spans="1:19">
      <c r="A34" s="17"/>
      <c r="B34" s="18">
        <v>136</v>
      </c>
      <c r="C34" s="25" t="s">
        <v>568</v>
      </c>
      <c r="D34" s="26" t="s">
        <v>569</v>
      </c>
      <c r="E34" s="27" t="s">
        <v>9</v>
      </c>
      <c r="F34" s="28" t="s">
        <v>1692</v>
      </c>
      <c r="G34" s="29" t="s">
        <v>1693</v>
      </c>
      <c r="H34" s="30" t="s">
        <v>570</v>
      </c>
      <c r="I34" s="25"/>
      <c r="J34" s="25" t="s">
        <v>571</v>
      </c>
      <c r="K34" s="25"/>
      <c r="L34" s="30" t="s">
        <v>50</v>
      </c>
      <c r="M34" s="25" t="s">
        <v>572</v>
      </c>
      <c r="N34" s="38">
        <v>44449</v>
      </c>
      <c r="O34" s="39">
        <v>254545</v>
      </c>
      <c r="P34" s="25">
        <v>3</v>
      </c>
      <c r="Q34" s="41">
        <f t="shared" si="0"/>
        <v>763635</v>
      </c>
      <c r="R34" s="41">
        <v>275000</v>
      </c>
      <c r="S34" s="41">
        <f t="shared" si="1"/>
        <v>825000</v>
      </c>
    </row>
    <row r="35" spans="1:19">
      <c r="A35" s="17"/>
      <c r="B35" s="18">
        <v>143</v>
      </c>
      <c r="C35" s="25" t="s">
        <v>587</v>
      </c>
      <c r="D35" s="26" t="s">
        <v>588</v>
      </c>
      <c r="E35" s="27" t="s">
        <v>9</v>
      </c>
      <c r="F35" s="28" t="s">
        <v>1692</v>
      </c>
      <c r="G35" s="29" t="s">
        <v>1693</v>
      </c>
      <c r="H35" s="30" t="s">
        <v>445</v>
      </c>
      <c r="I35" s="25"/>
      <c r="J35" s="25" t="s">
        <v>589</v>
      </c>
      <c r="K35" s="25"/>
      <c r="L35" s="30" t="s">
        <v>50</v>
      </c>
      <c r="M35" s="25" t="s">
        <v>590</v>
      </c>
      <c r="N35" s="38">
        <v>44459</v>
      </c>
      <c r="O35" s="39">
        <v>254545</v>
      </c>
      <c r="P35" s="25">
        <v>1</v>
      </c>
      <c r="Q35" s="41">
        <f t="shared" si="0"/>
        <v>254545</v>
      </c>
      <c r="R35" s="41">
        <v>275000</v>
      </c>
      <c r="S35" s="41">
        <f t="shared" si="1"/>
        <v>275000</v>
      </c>
    </row>
    <row r="36" spans="1:19">
      <c r="A36" s="17"/>
      <c r="B36" s="18">
        <v>144</v>
      </c>
      <c r="C36" s="25" t="s">
        <v>591</v>
      </c>
      <c r="D36" s="26" t="s">
        <v>588</v>
      </c>
      <c r="E36" s="27" t="s">
        <v>9</v>
      </c>
      <c r="F36" s="28" t="s">
        <v>1692</v>
      </c>
      <c r="G36" s="29" t="s">
        <v>1693</v>
      </c>
      <c r="H36" s="30" t="s">
        <v>206</v>
      </c>
      <c r="I36" s="25"/>
      <c r="J36" s="25" t="s">
        <v>592</v>
      </c>
      <c r="K36" s="25"/>
      <c r="L36" s="30" t="s">
        <v>50</v>
      </c>
      <c r="M36" s="25" t="s">
        <v>593</v>
      </c>
      <c r="N36" s="38">
        <v>44459</v>
      </c>
      <c r="O36" s="39">
        <v>254545</v>
      </c>
      <c r="P36" s="25">
        <v>1</v>
      </c>
      <c r="Q36" s="41">
        <f t="shared" si="0"/>
        <v>254545</v>
      </c>
      <c r="R36" s="41">
        <v>275000</v>
      </c>
      <c r="S36" s="41">
        <f t="shared" si="1"/>
        <v>275000</v>
      </c>
    </row>
    <row r="37" spans="1:19">
      <c r="A37" s="17"/>
      <c r="B37" s="18">
        <v>145</v>
      </c>
      <c r="C37" s="25" t="s">
        <v>594</v>
      </c>
      <c r="D37" s="26" t="s">
        <v>588</v>
      </c>
      <c r="E37" s="27" t="s">
        <v>9</v>
      </c>
      <c r="F37" s="28" t="s">
        <v>1692</v>
      </c>
      <c r="G37" s="29" t="s">
        <v>1693</v>
      </c>
      <c r="H37" s="30" t="s">
        <v>595</v>
      </c>
      <c r="I37" s="25"/>
      <c r="J37" s="25" t="s">
        <v>592</v>
      </c>
      <c r="K37" s="25"/>
      <c r="L37" s="30" t="s">
        <v>50</v>
      </c>
      <c r="M37" s="25" t="s">
        <v>596</v>
      </c>
      <c r="N37" s="38">
        <v>44459</v>
      </c>
      <c r="O37" s="39">
        <v>254545</v>
      </c>
      <c r="P37" s="25">
        <v>1</v>
      </c>
      <c r="Q37" s="41">
        <f t="shared" si="0"/>
        <v>254545</v>
      </c>
      <c r="R37" s="41">
        <v>275000</v>
      </c>
      <c r="S37" s="41">
        <f t="shared" si="1"/>
        <v>275000</v>
      </c>
    </row>
    <row r="38" spans="1:19">
      <c r="A38" s="17"/>
      <c r="B38" s="18">
        <v>146</v>
      </c>
      <c r="C38" s="25" t="s">
        <v>597</v>
      </c>
      <c r="D38" s="26" t="s">
        <v>598</v>
      </c>
      <c r="E38" s="27" t="s">
        <v>9</v>
      </c>
      <c r="F38" s="28" t="s">
        <v>1692</v>
      </c>
      <c r="G38" s="29" t="s">
        <v>1693</v>
      </c>
      <c r="H38" s="30" t="s">
        <v>599</v>
      </c>
      <c r="I38" s="25"/>
      <c r="J38" s="25" t="s">
        <v>600</v>
      </c>
      <c r="K38" s="25"/>
      <c r="L38" s="30" t="s">
        <v>50</v>
      </c>
      <c r="M38" s="25" t="s">
        <v>601</v>
      </c>
      <c r="N38" s="38">
        <v>44461</v>
      </c>
      <c r="O38" s="39">
        <v>254545</v>
      </c>
      <c r="P38" s="25">
        <v>6</v>
      </c>
      <c r="Q38" s="41">
        <f t="shared" si="0"/>
        <v>1527270</v>
      </c>
      <c r="R38" s="41">
        <v>275000</v>
      </c>
      <c r="S38" s="41">
        <f t="shared" si="1"/>
        <v>1650000</v>
      </c>
    </row>
    <row r="39" spans="1:19">
      <c r="A39" s="17"/>
      <c r="B39" s="18">
        <v>147</v>
      </c>
      <c r="C39" s="25" t="s">
        <v>602</v>
      </c>
      <c r="D39" s="26" t="s">
        <v>598</v>
      </c>
      <c r="E39" s="27" t="s">
        <v>9</v>
      </c>
      <c r="F39" s="28" t="s">
        <v>1692</v>
      </c>
      <c r="G39" s="29" t="s">
        <v>1693</v>
      </c>
      <c r="H39" s="30" t="s">
        <v>603</v>
      </c>
      <c r="I39" s="25"/>
      <c r="J39" s="25" t="s">
        <v>604</v>
      </c>
      <c r="K39" s="25"/>
      <c r="L39" s="30" t="s">
        <v>50</v>
      </c>
      <c r="M39" s="25" t="s">
        <v>605</v>
      </c>
      <c r="N39" s="38">
        <v>44461</v>
      </c>
      <c r="O39" s="39">
        <v>254545</v>
      </c>
      <c r="P39" s="25">
        <v>2</v>
      </c>
      <c r="Q39" s="41">
        <f t="shared" si="0"/>
        <v>509090</v>
      </c>
      <c r="R39" s="41">
        <v>275000</v>
      </c>
      <c r="S39" s="41">
        <f t="shared" si="1"/>
        <v>550000</v>
      </c>
    </row>
    <row r="40" spans="1:19">
      <c r="A40" s="17"/>
      <c r="B40" s="18">
        <v>148</v>
      </c>
      <c r="C40" s="25" t="s">
        <v>606</v>
      </c>
      <c r="D40" s="26" t="s">
        <v>598</v>
      </c>
      <c r="E40" s="27" t="s">
        <v>9</v>
      </c>
      <c r="F40" s="28" t="s">
        <v>1692</v>
      </c>
      <c r="G40" s="29" t="s">
        <v>1693</v>
      </c>
      <c r="H40" s="30" t="s">
        <v>607</v>
      </c>
      <c r="I40" s="25"/>
      <c r="J40" s="25" t="s">
        <v>608</v>
      </c>
      <c r="K40" s="25"/>
      <c r="L40" s="30" t="s">
        <v>50</v>
      </c>
      <c r="M40" s="25" t="s">
        <v>609</v>
      </c>
      <c r="N40" s="38">
        <v>44461</v>
      </c>
      <c r="O40" s="39">
        <v>254545</v>
      </c>
      <c r="P40" s="25">
        <v>3</v>
      </c>
      <c r="Q40" s="41">
        <f t="shared" si="0"/>
        <v>763635</v>
      </c>
      <c r="R40" s="41">
        <v>275000</v>
      </c>
      <c r="S40" s="41">
        <f t="shared" si="1"/>
        <v>825000</v>
      </c>
    </row>
    <row r="41" spans="1:19">
      <c r="A41" s="17"/>
      <c r="B41" s="18">
        <v>149</v>
      </c>
      <c r="C41" s="25" t="s">
        <v>610</v>
      </c>
      <c r="D41" s="26" t="s">
        <v>598</v>
      </c>
      <c r="E41" s="27" t="s">
        <v>9</v>
      </c>
      <c r="F41" s="28" t="s">
        <v>1692</v>
      </c>
      <c r="G41" s="29" t="s">
        <v>1693</v>
      </c>
      <c r="H41" s="30" t="s">
        <v>611</v>
      </c>
      <c r="I41" s="25"/>
      <c r="J41" s="25" t="s">
        <v>612</v>
      </c>
      <c r="K41" s="25"/>
      <c r="L41" s="30" t="s">
        <v>50</v>
      </c>
      <c r="M41" s="25" t="s">
        <v>613</v>
      </c>
      <c r="N41" s="38">
        <v>44461</v>
      </c>
      <c r="O41" s="39">
        <v>254545</v>
      </c>
      <c r="P41" s="25">
        <v>6</v>
      </c>
      <c r="Q41" s="41">
        <f t="shared" si="0"/>
        <v>1527270</v>
      </c>
      <c r="R41" s="41">
        <v>275000</v>
      </c>
      <c r="S41" s="41">
        <f t="shared" si="1"/>
        <v>1650000</v>
      </c>
    </row>
    <row r="42" spans="1:19">
      <c r="A42" s="17"/>
      <c r="B42" s="18">
        <v>150</v>
      </c>
      <c r="C42" s="25" t="s">
        <v>614</v>
      </c>
      <c r="D42" s="26" t="s">
        <v>615</v>
      </c>
      <c r="E42" s="27" t="s">
        <v>9</v>
      </c>
      <c r="F42" s="28" t="s">
        <v>1692</v>
      </c>
      <c r="G42" s="29" t="s">
        <v>1693</v>
      </c>
      <c r="H42" s="30" t="s">
        <v>77</v>
      </c>
      <c r="I42" s="25"/>
      <c r="J42" s="25" t="s">
        <v>616</v>
      </c>
      <c r="K42" s="25"/>
      <c r="L42" s="30" t="s">
        <v>50</v>
      </c>
      <c r="M42" s="25" t="s">
        <v>617</v>
      </c>
      <c r="N42" s="38">
        <v>44463</v>
      </c>
      <c r="O42" s="39">
        <v>254545</v>
      </c>
      <c r="P42" s="25">
        <v>1</v>
      </c>
      <c r="Q42" s="41">
        <f t="shared" si="0"/>
        <v>254545</v>
      </c>
      <c r="R42" s="41">
        <v>275000</v>
      </c>
      <c r="S42" s="41">
        <f t="shared" si="1"/>
        <v>275000</v>
      </c>
    </row>
    <row r="43" spans="1:19">
      <c r="A43" s="17"/>
      <c r="B43" s="18">
        <v>151</v>
      </c>
      <c r="C43" s="25" t="s">
        <v>618</v>
      </c>
      <c r="D43" s="26" t="s">
        <v>615</v>
      </c>
      <c r="E43" s="27" t="s">
        <v>9</v>
      </c>
      <c r="F43" s="28" t="s">
        <v>1692</v>
      </c>
      <c r="G43" s="29" t="s">
        <v>1693</v>
      </c>
      <c r="H43" s="30" t="s">
        <v>619</v>
      </c>
      <c r="I43" s="25"/>
      <c r="J43" s="25" t="s">
        <v>620</v>
      </c>
      <c r="K43" s="25"/>
      <c r="L43" s="30" t="s">
        <v>50</v>
      </c>
      <c r="M43" s="25" t="s">
        <v>621</v>
      </c>
      <c r="N43" s="38">
        <v>44463</v>
      </c>
      <c r="O43" s="39">
        <v>254545</v>
      </c>
      <c r="P43" s="25">
        <v>1</v>
      </c>
      <c r="Q43" s="41">
        <f t="shared" si="0"/>
        <v>254545</v>
      </c>
      <c r="R43" s="41">
        <v>275000</v>
      </c>
      <c r="S43" s="41">
        <f t="shared" si="1"/>
        <v>275000</v>
      </c>
    </row>
    <row r="44" spans="1:19">
      <c r="A44" s="17"/>
      <c r="B44" s="18">
        <v>152</v>
      </c>
      <c r="C44" s="25" t="s">
        <v>622</v>
      </c>
      <c r="D44" s="26" t="s">
        <v>615</v>
      </c>
      <c r="E44" s="27" t="s">
        <v>9</v>
      </c>
      <c r="F44" s="28" t="s">
        <v>1692</v>
      </c>
      <c r="G44" s="29" t="s">
        <v>1693</v>
      </c>
      <c r="H44" s="30" t="s">
        <v>623</v>
      </c>
      <c r="I44" s="25"/>
      <c r="J44" s="25" t="s">
        <v>620</v>
      </c>
      <c r="K44" s="25"/>
      <c r="L44" s="30" t="s">
        <v>50</v>
      </c>
      <c r="M44" s="25" t="s">
        <v>624</v>
      </c>
      <c r="N44" s="38">
        <v>44463</v>
      </c>
      <c r="O44" s="39">
        <v>254545</v>
      </c>
      <c r="P44" s="25">
        <v>5</v>
      </c>
      <c r="Q44" s="41">
        <f t="shared" si="0"/>
        <v>1272725</v>
      </c>
      <c r="R44" s="41">
        <v>275000</v>
      </c>
      <c r="S44" s="41">
        <f t="shared" si="1"/>
        <v>1375000</v>
      </c>
    </row>
    <row r="45" spans="1:19">
      <c r="A45" s="17"/>
      <c r="B45" s="18">
        <v>153</v>
      </c>
      <c r="C45" s="25" t="s">
        <v>625</v>
      </c>
      <c r="D45" s="26" t="s">
        <v>626</v>
      </c>
      <c r="E45" s="27" t="s">
        <v>7</v>
      </c>
      <c r="F45" s="28" t="s">
        <v>1698</v>
      </c>
      <c r="G45" s="31" t="s">
        <v>1699</v>
      </c>
      <c r="H45" s="30" t="s">
        <v>627</v>
      </c>
      <c r="I45" s="25"/>
      <c r="J45" s="25" t="s">
        <v>628</v>
      </c>
      <c r="K45" s="25"/>
      <c r="L45" s="30" t="s">
        <v>629</v>
      </c>
      <c r="M45" s="25" t="s">
        <v>630</v>
      </c>
      <c r="N45" s="38">
        <v>44463</v>
      </c>
      <c r="O45" s="39">
        <v>185455</v>
      </c>
      <c r="P45" s="25">
        <v>2</v>
      </c>
      <c r="Q45" s="41">
        <f t="shared" si="0"/>
        <v>370910</v>
      </c>
      <c r="R45" s="41">
        <v>231818.81</v>
      </c>
      <c r="S45" s="41">
        <f t="shared" si="1"/>
        <v>463637.62</v>
      </c>
    </row>
    <row r="46" spans="1:19">
      <c r="A46" s="17"/>
      <c r="B46" s="18">
        <v>154</v>
      </c>
      <c r="C46" s="25" t="s">
        <v>631</v>
      </c>
      <c r="D46" s="26" t="s">
        <v>626</v>
      </c>
      <c r="E46" s="27" t="s">
        <v>7</v>
      </c>
      <c r="F46" s="28" t="s">
        <v>1698</v>
      </c>
      <c r="G46" s="31" t="s">
        <v>1699</v>
      </c>
      <c r="H46" s="30" t="s">
        <v>627</v>
      </c>
      <c r="I46" s="25"/>
      <c r="J46" s="25" t="s">
        <v>632</v>
      </c>
      <c r="K46" s="25"/>
      <c r="L46" s="30" t="s">
        <v>63</v>
      </c>
      <c r="M46" s="25" t="s">
        <v>630</v>
      </c>
      <c r="N46" s="38">
        <v>44463</v>
      </c>
      <c r="O46" s="39">
        <v>92727</v>
      </c>
      <c r="P46" s="25">
        <v>2</v>
      </c>
      <c r="Q46" s="41">
        <f t="shared" si="0"/>
        <v>185454</v>
      </c>
      <c r="R46" s="41">
        <v>116363.63</v>
      </c>
      <c r="S46" s="41">
        <f t="shared" si="1"/>
        <v>232727.26</v>
      </c>
    </row>
    <row r="47" spans="1:19" s="1" customFormat="1" ht="12.75">
      <c r="A47" s="17"/>
      <c r="B47" s="18">
        <v>156</v>
      </c>
      <c r="C47" s="19" t="s">
        <v>636</v>
      </c>
      <c r="D47" s="20" t="s">
        <v>637</v>
      </c>
      <c r="E47" s="21" t="s">
        <v>9</v>
      </c>
      <c r="F47" s="22" t="s">
        <v>1692</v>
      </c>
      <c r="G47" s="23" t="s">
        <v>1693</v>
      </c>
      <c r="H47" s="24" t="s">
        <v>638</v>
      </c>
      <c r="I47" s="19"/>
      <c r="J47" s="19" t="s">
        <v>526</v>
      </c>
      <c r="K47" s="19"/>
      <c r="L47" s="24" t="s">
        <v>50</v>
      </c>
      <c r="M47" s="19" t="s">
        <v>639</v>
      </c>
      <c r="N47" s="36">
        <v>44475</v>
      </c>
      <c r="O47" s="37">
        <v>254545</v>
      </c>
      <c r="P47" s="19">
        <v>1</v>
      </c>
      <c r="Q47" s="40">
        <f t="shared" si="0"/>
        <v>254545</v>
      </c>
      <c r="R47" s="40">
        <v>275000</v>
      </c>
      <c r="S47" s="40">
        <f t="shared" si="1"/>
        <v>275000</v>
      </c>
    </row>
    <row r="48" spans="1:19">
      <c r="A48" s="17"/>
      <c r="B48" s="18">
        <v>157</v>
      </c>
      <c r="C48" s="19" t="s">
        <v>640</v>
      </c>
      <c r="D48" s="20" t="s">
        <v>641</v>
      </c>
      <c r="E48" s="21" t="s">
        <v>9</v>
      </c>
      <c r="F48" s="22" t="s">
        <v>1692</v>
      </c>
      <c r="G48" s="23" t="s">
        <v>1693</v>
      </c>
      <c r="H48" s="24" t="s">
        <v>206</v>
      </c>
      <c r="I48" s="19"/>
      <c r="J48" s="19" t="s">
        <v>642</v>
      </c>
      <c r="K48" s="19"/>
      <c r="L48" s="24" t="s">
        <v>50</v>
      </c>
      <c r="M48" s="19" t="s">
        <v>643</v>
      </c>
      <c r="N48" s="36">
        <v>44475</v>
      </c>
      <c r="O48" s="37">
        <v>254545</v>
      </c>
      <c r="P48" s="19">
        <v>1</v>
      </c>
      <c r="Q48" s="40">
        <f t="shared" si="0"/>
        <v>254545</v>
      </c>
      <c r="R48" s="40">
        <v>275000</v>
      </c>
      <c r="S48" s="40">
        <f t="shared" si="1"/>
        <v>275000</v>
      </c>
    </row>
    <row r="49" spans="1:19">
      <c r="A49" s="17"/>
      <c r="B49" s="18">
        <v>158</v>
      </c>
      <c r="C49" s="19" t="s">
        <v>644</v>
      </c>
      <c r="D49" s="20" t="s">
        <v>641</v>
      </c>
      <c r="E49" s="21" t="s">
        <v>9</v>
      </c>
      <c r="F49" s="22" t="s">
        <v>1692</v>
      </c>
      <c r="G49" s="23" t="s">
        <v>1693</v>
      </c>
      <c r="H49" s="24" t="s">
        <v>645</v>
      </c>
      <c r="I49" s="19"/>
      <c r="J49" s="19" t="s">
        <v>642</v>
      </c>
      <c r="K49" s="19"/>
      <c r="L49" s="24" t="s">
        <v>50</v>
      </c>
      <c r="M49" s="19" t="s">
        <v>646</v>
      </c>
      <c r="N49" s="36">
        <v>44475</v>
      </c>
      <c r="O49" s="37">
        <v>254545</v>
      </c>
      <c r="P49" s="19">
        <v>1</v>
      </c>
      <c r="Q49" s="40">
        <f t="shared" si="0"/>
        <v>254545</v>
      </c>
      <c r="R49" s="40">
        <v>275000</v>
      </c>
      <c r="S49" s="40">
        <f t="shared" si="1"/>
        <v>275000</v>
      </c>
    </row>
    <row r="50" spans="1:19">
      <c r="A50" s="17"/>
      <c r="B50" s="18">
        <v>159</v>
      </c>
      <c r="C50" s="19" t="s">
        <v>647</v>
      </c>
      <c r="D50" s="20" t="s">
        <v>641</v>
      </c>
      <c r="E50" s="21" t="s">
        <v>9</v>
      </c>
      <c r="F50" s="22" t="s">
        <v>1692</v>
      </c>
      <c r="G50" s="23" t="s">
        <v>1693</v>
      </c>
      <c r="H50" s="24" t="s">
        <v>648</v>
      </c>
      <c r="I50" s="19"/>
      <c r="J50" s="19" t="s">
        <v>642</v>
      </c>
      <c r="K50" s="19"/>
      <c r="L50" s="24" t="s">
        <v>50</v>
      </c>
      <c r="M50" s="19" t="s">
        <v>649</v>
      </c>
      <c r="N50" s="36">
        <v>44475</v>
      </c>
      <c r="O50" s="37">
        <v>254545</v>
      </c>
      <c r="P50" s="19">
        <v>1</v>
      </c>
      <c r="Q50" s="40">
        <f t="shared" si="0"/>
        <v>254545</v>
      </c>
      <c r="R50" s="40">
        <v>275000</v>
      </c>
      <c r="S50" s="40">
        <f t="shared" si="1"/>
        <v>275000</v>
      </c>
    </row>
    <row r="51" spans="1:19">
      <c r="A51" s="17"/>
      <c r="B51" s="18">
        <v>160</v>
      </c>
      <c r="C51" s="19" t="s">
        <v>650</v>
      </c>
      <c r="D51" s="20" t="s">
        <v>651</v>
      </c>
      <c r="E51" s="21" t="s">
        <v>9</v>
      </c>
      <c r="F51" s="22" t="s">
        <v>1692</v>
      </c>
      <c r="G51" s="23" t="s">
        <v>1693</v>
      </c>
      <c r="H51" s="24" t="s">
        <v>652</v>
      </c>
      <c r="I51" s="19"/>
      <c r="J51" s="19" t="s">
        <v>642</v>
      </c>
      <c r="K51" s="19"/>
      <c r="L51" s="24" t="s">
        <v>50</v>
      </c>
      <c r="M51" s="19" t="s">
        <v>653</v>
      </c>
      <c r="N51" s="36">
        <v>44476</v>
      </c>
      <c r="O51" s="37">
        <v>254545</v>
      </c>
      <c r="P51" s="19">
        <v>1</v>
      </c>
      <c r="Q51" s="40">
        <f t="shared" si="0"/>
        <v>254545</v>
      </c>
      <c r="R51" s="40">
        <v>275000</v>
      </c>
      <c r="S51" s="40">
        <f t="shared" si="1"/>
        <v>275000</v>
      </c>
    </row>
    <row r="52" spans="1:19">
      <c r="A52" s="17"/>
      <c r="B52" s="18">
        <v>161</v>
      </c>
      <c r="C52" s="19" t="s">
        <v>654</v>
      </c>
      <c r="D52" s="20" t="s">
        <v>655</v>
      </c>
      <c r="E52" s="21" t="s">
        <v>9</v>
      </c>
      <c r="F52" s="22" t="s">
        <v>1692</v>
      </c>
      <c r="G52" s="23" t="s">
        <v>1693</v>
      </c>
      <c r="H52" s="24" t="s">
        <v>206</v>
      </c>
      <c r="I52" s="19"/>
      <c r="J52" s="19" t="s">
        <v>656</v>
      </c>
      <c r="K52" s="19"/>
      <c r="L52" s="24" t="s">
        <v>50</v>
      </c>
      <c r="M52" s="19" t="s">
        <v>657</v>
      </c>
      <c r="N52" s="36">
        <v>44480</v>
      </c>
      <c r="O52" s="37">
        <v>254545</v>
      </c>
      <c r="P52" s="19">
        <v>1</v>
      </c>
      <c r="Q52" s="40">
        <f t="shared" si="0"/>
        <v>254545</v>
      </c>
      <c r="R52" s="40">
        <v>275000</v>
      </c>
      <c r="S52" s="40">
        <f t="shared" si="1"/>
        <v>275000</v>
      </c>
    </row>
    <row r="53" spans="1:19">
      <c r="A53" s="17"/>
      <c r="B53" s="18">
        <v>162</v>
      </c>
      <c r="C53" s="19" t="s">
        <v>658</v>
      </c>
      <c r="D53" s="20" t="s">
        <v>659</v>
      </c>
      <c r="E53" s="21" t="s">
        <v>9</v>
      </c>
      <c r="F53" s="22" t="s">
        <v>1692</v>
      </c>
      <c r="G53" s="23" t="s">
        <v>1693</v>
      </c>
      <c r="H53" s="24" t="s">
        <v>660</v>
      </c>
      <c r="I53" s="19"/>
      <c r="J53" s="19" t="s">
        <v>661</v>
      </c>
      <c r="K53" s="19"/>
      <c r="L53" s="24" t="s">
        <v>50</v>
      </c>
      <c r="M53" s="19" t="s">
        <v>662</v>
      </c>
      <c r="N53" s="36">
        <v>44481</v>
      </c>
      <c r="O53" s="37">
        <v>254545</v>
      </c>
      <c r="P53" s="19">
        <v>1</v>
      </c>
      <c r="Q53" s="40">
        <f t="shared" si="0"/>
        <v>254545</v>
      </c>
      <c r="R53" s="40">
        <v>275000</v>
      </c>
      <c r="S53" s="40">
        <f t="shared" si="1"/>
        <v>275000</v>
      </c>
    </row>
    <row r="54" spans="1:19">
      <c r="A54" s="17"/>
      <c r="B54" s="18">
        <v>163</v>
      </c>
      <c r="C54" s="19" t="s">
        <v>663</v>
      </c>
      <c r="D54" s="20" t="s">
        <v>664</v>
      </c>
      <c r="E54" s="21" t="s">
        <v>9</v>
      </c>
      <c r="F54" s="22" t="s">
        <v>1692</v>
      </c>
      <c r="G54" s="23" t="s">
        <v>1693</v>
      </c>
      <c r="H54" s="24" t="s">
        <v>665</v>
      </c>
      <c r="I54" s="19"/>
      <c r="J54" s="19" t="s">
        <v>666</v>
      </c>
      <c r="K54" s="19"/>
      <c r="L54" s="24" t="s">
        <v>50</v>
      </c>
      <c r="M54" s="19" t="s">
        <v>667</v>
      </c>
      <c r="N54" s="36">
        <v>44488</v>
      </c>
      <c r="O54" s="37">
        <v>254545</v>
      </c>
      <c r="P54" s="19">
        <v>1</v>
      </c>
      <c r="Q54" s="40">
        <f t="shared" si="0"/>
        <v>254545</v>
      </c>
      <c r="R54" s="40">
        <v>275000</v>
      </c>
      <c r="S54" s="40">
        <f t="shared" si="1"/>
        <v>275000</v>
      </c>
    </row>
    <row r="55" spans="1:19">
      <c r="A55" s="17"/>
      <c r="B55" s="18">
        <v>164</v>
      </c>
      <c r="C55" s="19" t="s">
        <v>668</v>
      </c>
      <c r="D55" s="20" t="s">
        <v>664</v>
      </c>
      <c r="E55" s="21" t="s">
        <v>9</v>
      </c>
      <c r="F55" s="22" t="s">
        <v>1692</v>
      </c>
      <c r="G55" s="23" t="s">
        <v>1693</v>
      </c>
      <c r="H55" s="24" t="s">
        <v>669</v>
      </c>
      <c r="I55" s="19"/>
      <c r="J55" s="19" t="s">
        <v>666</v>
      </c>
      <c r="K55" s="19"/>
      <c r="L55" s="24" t="s">
        <v>50</v>
      </c>
      <c r="M55" s="19" t="s">
        <v>670</v>
      </c>
      <c r="N55" s="36">
        <v>44488</v>
      </c>
      <c r="O55" s="37">
        <v>254545</v>
      </c>
      <c r="P55" s="19">
        <v>1</v>
      </c>
      <c r="Q55" s="40">
        <f t="shared" si="0"/>
        <v>254545</v>
      </c>
      <c r="R55" s="40">
        <v>275000</v>
      </c>
      <c r="S55" s="40">
        <f t="shared" si="1"/>
        <v>275000</v>
      </c>
    </row>
    <row r="56" spans="1:19">
      <c r="A56" s="17"/>
      <c r="B56" s="18">
        <v>165</v>
      </c>
      <c r="C56" s="19" t="s">
        <v>671</v>
      </c>
      <c r="D56" s="20" t="s">
        <v>672</v>
      </c>
      <c r="E56" s="21" t="s">
        <v>9</v>
      </c>
      <c r="F56" s="22" t="s">
        <v>1692</v>
      </c>
      <c r="G56" s="23" t="s">
        <v>1693</v>
      </c>
      <c r="H56" s="24" t="s">
        <v>673</v>
      </c>
      <c r="I56" s="19"/>
      <c r="J56" s="19" t="s">
        <v>674</v>
      </c>
      <c r="K56" s="19"/>
      <c r="L56" s="24" t="s">
        <v>50</v>
      </c>
      <c r="M56" s="19" t="s">
        <v>675</v>
      </c>
      <c r="N56" s="36">
        <v>44490</v>
      </c>
      <c r="O56" s="37">
        <v>254545</v>
      </c>
      <c r="P56" s="19">
        <v>1</v>
      </c>
      <c r="Q56" s="40">
        <f t="shared" si="0"/>
        <v>254545</v>
      </c>
      <c r="R56" s="40">
        <v>275000</v>
      </c>
      <c r="S56" s="40">
        <f t="shared" si="1"/>
        <v>275000</v>
      </c>
    </row>
    <row r="57" spans="1:19">
      <c r="A57" s="17"/>
      <c r="B57" s="18">
        <v>166</v>
      </c>
      <c r="C57" s="19" t="s">
        <v>676</v>
      </c>
      <c r="D57" s="20" t="s">
        <v>672</v>
      </c>
      <c r="E57" s="21" t="s">
        <v>9</v>
      </c>
      <c r="F57" s="22" t="s">
        <v>1692</v>
      </c>
      <c r="G57" s="23" t="s">
        <v>1693</v>
      </c>
      <c r="H57" s="24" t="s">
        <v>206</v>
      </c>
      <c r="I57" s="19"/>
      <c r="J57" s="19" t="s">
        <v>674</v>
      </c>
      <c r="K57" s="19"/>
      <c r="L57" s="24" t="s">
        <v>50</v>
      </c>
      <c r="M57" s="19" t="s">
        <v>677</v>
      </c>
      <c r="N57" s="36">
        <v>44490</v>
      </c>
      <c r="O57" s="37">
        <v>254545</v>
      </c>
      <c r="P57" s="19">
        <v>2</v>
      </c>
      <c r="Q57" s="40">
        <f t="shared" si="0"/>
        <v>509090</v>
      </c>
      <c r="R57" s="40">
        <v>275000</v>
      </c>
      <c r="S57" s="40">
        <f t="shared" si="1"/>
        <v>550000</v>
      </c>
    </row>
    <row r="58" spans="1:19">
      <c r="A58" s="17"/>
      <c r="B58" s="18">
        <v>167</v>
      </c>
      <c r="C58" s="19" t="s">
        <v>678</v>
      </c>
      <c r="D58" s="20" t="s">
        <v>672</v>
      </c>
      <c r="E58" s="21" t="s">
        <v>9</v>
      </c>
      <c r="F58" s="22" t="s">
        <v>1692</v>
      </c>
      <c r="G58" s="23" t="s">
        <v>1693</v>
      </c>
      <c r="H58" s="24" t="s">
        <v>679</v>
      </c>
      <c r="I58" s="19"/>
      <c r="J58" s="19" t="s">
        <v>680</v>
      </c>
      <c r="K58" s="19"/>
      <c r="L58" s="24" t="s">
        <v>50</v>
      </c>
      <c r="M58" s="19" t="s">
        <v>681</v>
      </c>
      <c r="N58" s="36">
        <v>44490</v>
      </c>
      <c r="O58" s="37">
        <v>254545</v>
      </c>
      <c r="P58" s="19">
        <v>1</v>
      </c>
      <c r="Q58" s="40">
        <f t="shared" si="0"/>
        <v>254545</v>
      </c>
      <c r="R58" s="40">
        <v>275000</v>
      </c>
      <c r="S58" s="40">
        <f t="shared" si="1"/>
        <v>275000</v>
      </c>
    </row>
    <row r="59" spans="1:19">
      <c r="A59" s="17"/>
      <c r="B59" s="18">
        <v>168</v>
      </c>
      <c r="C59" s="19" t="s">
        <v>682</v>
      </c>
      <c r="D59" s="20" t="s">
        <v>683</v>
      </c>
      <c r="E59" s="21" t="s">
        <v>9</v>
      </c>
      <c r="F59" s="22" t="s">
        <v>1692</v>
      </c>
      <c r="G59" s="23" t="s">
        <v>1693</v>
      </c>
      <c r="H59" s="24" t="s">
        <v>684</v>
      </c>
      <c r="I59" s="19"/>
      <c r="J59" s="19" t="s">
        <v>685</v>
      </c>
      <c r="K59" s="19"/>
      <c r="L59" s="24" t="s">
        <v>50</v>
      </c>
      <c r="M59" s="19" t="s">
        <v>686</v>
      </c>
      <c r="N59" s="36">
        <v>44497</v>
      </c>
      <c r="O59" s="37">
        <v>254545</v>
      </c>
      <c r="P59" s="19">
        <v>1</v>
      </c>
      <c r="Q59" s="40">
        <f t="shared" si="0"/>
        <v>254545</v>
      </c>
      <c r="R59" s="40">
        <v>275000</v>
      </c>
      <c r="S59" s="40">
        <f t="shared" si="1"/>
        <v>275000</v>
      </c>
    </row>
    <row r="60" spans="1:19">
      <c r="A60" s="17"/>
      <c r="B60" s="18">
        <v>169</v>
      </c>
      <c r="C60" s="19" t="s">
        <v>687</v>
      </c>
      <c r="D60" s="20" t="s">
        <v>683</v>
      </c>
      <c r="E60" s="21" t="s">
        <v>9</v>
      </c>
      <c r="F60" s="22" t="s">
        <v>1692</v>
      </c>
      <c r="G60" s="23" t="s">
        <v>1693</v>
      </c>
      <c r="H60" s="24" t="s">
        <v>238</v>
      </c>
      <c r="I60" s="19"/>
      <c r="J60" s="19" t="s">
        <v>688</v>
      </c>
      <c r="K60" s="19"/>
      <c r="L60" s="24" t="s">
        <v>50</v>
      </c>
      <c r="M60" s="19" t="s">
        <v>689</v>
      </c>
      <c r="N60" s="36">
        <v>44497</v>
      </c>
      <c r="O60" s="37">
        <v>254545</v>
      </c>
      <c r="P60" s="19">
        <v>1</v>
      </c>
      <c r="Q60" s="40">
        <f t="shared" si="0"/>
        <v>254545</v>
      </c>
      <c r="R60" s="40">
        <v>275000</v>
      </c>
      <c r="S60" s="40">
        <f t="shared" si="1"/>
        <v>275000</v>
      </c>
    </row>
    <row r="61" spans="1:19">
      <c r="A61" s="17"/>
      <c r="B61" s="18">
        <v>170</v>
      </c>
      <c r="C61" s="25" t="s">
        <v>690</v>
      </c>
      <c r="D61" s="26" t="s">
        <v>691</v>
      </c>
      <c r="E61" s="27" t="s">
        <v>9</v>
      </c>
      <c r="F61" s="28" t="s">
        <v>1692</v>
      </c>
      <c r="G61" s="29" t="s">
        <v>1693</v>
      </c>
      <c r="H61" s="30" t="s">
        <v>692</v>
      </c>
      <c r="I61" s="25"/>
      <c r="J61" s="25" t="s">
        <v>693</v>
      </c>
      <c r="K61" s="25"/>
      <c r="L61" s="30" t="s">
        <v>50</v>
      </c>
      <c r="M61" s="25" t="s">
        <v>694</v>
      </c>
      <c r="N61" s="38">
        <v>44508</v>
      </c>
      <c r="O61" s="39">
        <v>254545</v>
      </c>
      <c r="P61" s="25">
        <v>3</v>
      </c>
      <c r="Q61" s="41">
        <f t="shared" si="0"/>
        <v>763635</v>
      </c>
      <c r="R61" s="41">
        <v>275000</v>
      </c>
      <c r="S61" s="41">
        <f t="shared" si="1"/>
        <v>825000</v>
      </c>
    </row>
    <row r="62" spans="1:19">
      <c r="A62" s="17"/>
      <c r="B62" s="18">
        <v>171</v>
      </c>
      <c r="C62" s="25" t="s">
        <v>695</v>
      </c>
      <c r="D62" s="26" t="s">
        <v>696</v>
      </c>
      <c r="E62" s="27" t="s">
        <v>9</v>
      </c>
      <c r="F62" s="28" t="s">
        <v>1692</v>
      </c>
      <c r="G62" s="29" t="s">
        <v>1693</v>
      </c>
      <c r="H62" s="30" t="s">
        <v>697</v>
      </c>
      <c r="I62" s="25"/>
      <c r="J62" s="25" t="s">
        <v>693</v>
      </c>
      <c r="K62" s="25"/>
      <c r="L62" s="30" t="s">
        <v>50</v>
      </c>
      <c r="M62" s="25" t="s">
        <v>698</v>
      </c>
      <c r="N62" s="38">
        <v>44508</v>
      </c>
      <c r="O62" s="39">
        <v>254545</v>
      </c>
      <c r="P62" s="25">
        <v>2</v>
      </c>
      <c r="Q62" s="41">
        <f t="shared" si="0"/>
        <v>509090</v>
      </c>
      <c r="R62" s="41">
        <v>275000</v>
      </c>
      <c r="S62" s="41">
        <f t="shared" si="1"/>
        <v>550000</v>
      </c>
    </row>
    <row r="63" spans="1:19">
      <c r="A63" s="17"/>
      <c r="B63" s="18">
        <v>172</v>
      </c>
      <c r="C63" s="25" t="s">
        <v>699</v>
      </c>
      <c r="D63" s="26" t="s">
        <v>700</v>
      </c>
      <c r="E63" s="27" t="s">
        <v>9</v>
      </c>
      <c r="F63" s="28" t="s">
        <v>1692</v>
      </c>
      <c r="G63" s="29" t="s">
        <v>1693</v>
      </c>
      <c r="H63" s="30" t="s">
        <v>701</v>
      </c>
      <c r="I63" s="25"/>
      <c r="J63" s="25" t="s">
        <v>688</v>
      </c>
      <c r="K63" s="25"/>
      <c r="L63" s="30" t="s">
        <v>50</v>
      </c>
      <c r="M63" s="25" t="s">
        <v>702</v>
      </c>
      <c r="N63" s="38">
        <v>44509</v>
      </c>
      <c r="O63" s="39">
        <v>254545</v>
      </c>
      <c r="P63" s="25">
        <v>1</v>
      </c>
      <c r="Q63" s="41">
        <f t="shared" si="0"/>
        <v>254545</v>
      </c>
      <c r="R63" s="41">
        <v>275000</v>
      </c>
      <c r="S63" s="41">
        <f t="shared" si="1"/>
        <v>275000</v>
      </c>
    </row>
    <row r="64" spans="1:19">
      <c r="A64" s="17"/>
      <c r="B64" s="18">
        <v>173</v>
      </c>
      <c r="C64" s="25" t="s">
        <v>703</v>
      </c>
      <c r="D64" s="26" t="s">
        <v>704</v>
      </c>
      <c r="E64" s="27" t="s">
        <v>9</v>
      </c>
      <c r="F64" s="28" t="s">
        <v>1692</v>
      </c>
      <c r="G64" s="29" t="s">
        <v>1693</v>
      </c>
      <c r="H64" s="30" t="s">
        <v>705</v>
      </c>
      <c r="I64" s="25"/>
      <c r="J64" s="25" t="s">
        <v>706</v>
      </c>
      <c r="K64" s="25"/>
      <c r="L64" s="30" t="s">
        <v>50</v>
      </c>
      <c r="M64" s="25" t="s">
        <v>707</v>
      </c>
      <c r="N64" s="38">
        <v>44510</v>
      </c>
      <c r="O64" s="39">
        <v>254545</v>
      </c>
      <c r="P64" s="25">
        <v>3</v>
      </c>
      <c r="Q64" s="41">
        <f t="shared" si="0"/>
        <v>763635</v>
      </c>
      <c r="R64" s="41">
        <v>275000</v>
      </c>
      <c r="S64" s="41">
        <f t="shared" si="1"/>
        <v>825000</v>
      </c>
    </row>
    <row r="65" spans="1:19">
      <c r="A65" s="17"/>
      <c r="B65" s="18">
        <v>174</v>
      </c>
      <c r="C65" s="25" t="s">
        <v>708</v>
      </c>
      <c r="D65" s="26" t="s">
        <v>709</v>
      </c>
      <c r="E65" s="27" t="s">
        <v>9</v>
      </c>
      <c r="F65" s="28" t="s">
        <v>1692</v>
      </c>
      <c r="G65" s="29" t="s">
        <v>1693</v>
      </c>
      <c r="H65" s="30" t="s">
        <v>72</v>
      </c>
      <c r="I65" s="25"/>
      <c r="J65" s="25" t="s">
        <v>710</v>
      </c>
      <c r="K65" s="25"/>
      <c r="L65" s="30" t="s">
        <v>50</v>
      </c>
      <c r="M65" s="25" t="s">
        <v>711</v>
      </c>
      <c r="N65" s="38">
        <v>44515</v>
      </c>
      <c r="O65" s="39">
        <v>254545</v>
      </c>
      <c r="P65" s="25">
        <v>1</v>
      </c>
      <c r="Q65" s="41">
        <f t="shared" si="0"/>
        <v>254545</v>
      </c>
      <c r="R65" s="41">
        <v>275000</v>
      </c>
      <c r="S65" s="41">
        <f t="shared" si="1"/>
        <v>275000</v>
      </c>
    </row>
    <row r="66" spans="1:19">
      <c r="A66" s="17"/>
      <c r="B66" s="18">
        <v>176</v>
      </c>
      <c r="C66" s="25" t="s">
        <v>716</v>
      </c>
      <c r="D66" s="26" t="s">
        <v>717</v>
      </c>
      <c r="E66" s="27" t="s">
        <v>9</v>
      </c>
      <c r="F66" s="28" t="s">
        <v>1692</v>
      </c>
      <c r="G66" s="29" t="s">
        <v>1693</v>
      </c>
      <c r="H66" s="30" t="s">
        <v>718</v>
      </c>
      <c r="I66" s="25"/>
      <c r="J66" s="25" t="s">
        <v>719</v>
      </c>
      <c r="K66" s="25"/>
      <c r="L66" s="30" t="s">
        <v>50</v>
      </c>
      <c r="M66" s="25" t="s">
        <v>720</v>
      </c>
      <c r="N66" s="38">
        <v>44515</v>
      </c>
      <c r="O66" s="39">
        <v>254545</v>
      </c>
      <c r="P66" s="25">
        <v>7</v>
      </c>
      <c r="Q66" s="41">
        <f t="shared" si="0"/>
        <v>1781815</v>
      </c>
      <c r="R66" s="41">
        <v>275000</v>
      </c>
      <c r="S66" s="41">
        <f t="shared" si="1"/>
        <v>1925000</v>
      </c>
    </row>
    <row r="67" spans="1:19">
      <c r="A67" s="17"/>
      <c r="B67" s="18">
        <v>177</v>
      </c>
      <c r="C67" s="25" t="s">
        <v>721</v>
      </c>
      <c r="D67" s="26" t="s">
        <v>722</v>
      </c>
      <c r="E67" s="27" t="s">
        <v>9</v>
      </c>
      <c r="F67" s="28" t="s">
        <v>1692</v>
      </c>
      <c r="G67" s="29" t="s">
        <v>1693</v>
      </c>
      <c r="H67" s="30" t="s">
        <v>723</v>
      </c>
      <c r="I67" s="25"/>
      <c r="J67" s="25" t="s">
        <v>724</v>
      </c>
      <c r="K67" s="25"/>
      <c r="L67" s="30" t="s">
        <v>50</v>
      </c>
      <c r="M67" s="25" t="s">
        <v>725</v>
      </c>
      <c r="N67" s="38">
        <v>44517</v>
      </c>
      <c r="O67" s="39">
        <v>254545</v>
      </c>
      <c r="P67" s="25">
        <v>1</v>
      </c>
      <c r="Q67" s="41">
        <f t="shared" si="0"/>
        <v>254545</v>
      </c>
      <c r="R67" s="41">
        <v>275000</v>
      </c>
      <c r="S67" s="41">
        <f t="shared" si="1"/>
        <v>275000</v>
      </c>
    </row>
    <row r="68" spans="1:19">
      <c r="A68" s="17"/>
      <c r="B68" s="18">
        <v>178</v>
      </c>
      <c r="C68" s="25" t="s">
        <v>726</v>
      </c>
      <c r="D68" s="26" t="s">
        <v>727</v>
      </c>
      <c r="E68" s="27" t="s">
        <v>9</v>
      </c>
      <c r="F68" s="28" t="s">
        <v>1692</v>
      </c>
      <c r="G68" s="29" t="s">
        <v>1693</v>
      </c>
      <c r="H68" s="30" t="s">
        <v>728</v>
      </c>
      <c r="I68" s="25"/>
      <c r="J68" s="25" t="s">
        <v>729</v>
      </c>
      <c r="K68" s="25"/>
      <c r="L68" s="30" t="s">
        <v>50</v>
      </c>
      <c r="M68" s="25" t="s">
        <v>730</v>
      </c>
      <c r="N68" s="38">
        <v>44522</v>
      </c>
      <c r="O68" s="39">
        <v>254545</v>
      </c>
      <c r="P68" s="25">
        <v>1</v>
      </c>
      <c r="Q68" s="41">
        <f t="shared" ref="Q68:Q83" si="2">P68*O68</f>
        <v>254545</v>
      </c>
      <c r="R68" s="41">
        <v>275000</v>
      </c>
      <c r="S68" s="41">
        <f t="shared" ref="S68:S85" si="3">R68*P68</f>
        <v>275000</v>
      </c>
    </row>
    <row r="69" spans="1:19">
      <c r="A69" s="17"/>
      <c r="B69" s="18">
        <v>180</v>
      </c>
      <c r="C69" s="19" t="s">
        <v>736</v>
      </c>
      <c r="D69" s="20" t="s">
        <v>737</v>
      </c>
      <c r="E69" s="21" t="s">
        <v>9</v>
      </c>
      <c r="F69" s="22" t="s">
        <v>1692</v>
      </c>
      <c r="G69" s="23" t="s">
        <v>1693</v>
      </c>
      <c r="H69" s="24" t="s">
        <v>738</v>
      </c>
      <c r="I69" s="19"/>
      <c r="J69" s="42" t="s">
        <v>739</v>
      </c>
      <c r="K69" s="19"/>
      <c r="L69" s="24" t="s">
        <v>50</v>
      </c>
      <c r="M69" s="19" t="s">
        <v>740</v>
      </c>
      <c r="N69" s="36">
        <v>44543</v>
      </c>
      <c r="O69" s="37">
        <v>254545</v>
      </c>
      <c r="P69" s="19">
        <v>1</v>
      </c>
      <c r="Q69" s="40">
        <f t="shared" si="2"/>
        <v>254545</v>
      </c>
      <c r="R69" s="40">
        <v>275000</v>
      </c>
      <c r="S69" s="40">
        <f t="shared" si="3"/>
        <v>275000</v>
      </c>
    </row>
    <row r="70" spans="1:19">
      <c r="A70" s="17"/>
      <c r="B70" s="18">
        <v>181</v>
      </c>
      <c r="C70" s="19" t="s">
        <v>741</v>
      </c>
      <c r="D70" s="20">
        <v>4800437545</v>
      </c>
      <c r="E70" s="21" t="s">
        <v>12</v>
      </c>
      <c r="F70" s="22" t="s">
        <v>1700</v>
      </c>
      <c r="G70" s="32" t="s">
        <v>1701</v>
      </c>
      <c r="H70" s="24" t="s">
        <v>742</v>
      </c>
      <c r="I70" s="19"/>
      <c r="J70" s="42" t="s">
        <v>743</v>
      </c>
      <c r="K70" s="19"/>
      <c r="L70" s="24" t="s">
        <v>92</v>
      </c>
      <c r="M70" s="19" t="s">
        <v>744</v>
      </c>
      <c r="N70" s="36">
        <v>44545</v>
      </c>
      <c r="O70" s="37">
        <v>32272.73</v>
      </c>
      <c r="P70" s="19">
        <v>292</v>
      </c>
      <c r="Q70" s="40">
        <f t="shared" si="2"/>
        <v>9423637.1600000001</v>
      </c>
      <c r="R70" s="40">
        <v>35500</v>
      </c>
      <c r="S70" s="40">
        <f t="shared" si="3"/>
        <v>10366000</v>
      </c>
    </row>
    <row r="71" spans="1:19">
      <c r="A71" s="17"/>
      <c r="B71" s="18">
        <v>182</v>
      </c>
      <c r="C71" s="19" t="s">
        <v>745</v>
      </c>
      <c r="D71" s="20" t="s">
        <v>746</v>
      </c>
      <c r="E71" s="21" t="s">
        <v>9</v>
      </c>
      <c r="F71" s="22" t="s">
        <v>1692</v>
      </c>
      <c r="G71" s="23" t="s">
        <v>1693</v>
      </c>
      <c r="H71" s="24" t="s">
        <v>747</v>
      </c>
      <c r="I71" s="19"/>
      <c r="J71" s="19" t="s">
        <v>748</v>
      </c>
      <c r="K71" s="19"/>
      <c r="L71" s="24" t="s">
        <v>50</v>
      </c>
      <c r="M71" s="19" t="s">
        <v>749</v>
      </c>
      <c r="N71" s="36">
        <v>44551</v>
      </c>
      <c r="O71" s="37">
        <v>254545</v>
      </c>
      <c r="P71" s="19">
        <v>1</v>
      </c>
      <c r="Q71" s="40">
        <f t="shared" si="2"/>
        <v>254545</v>
      </c>
      <c r="R71" s="40">
        <v>275000</v>
      </c>
      <c r="S71" s="40">
        <f t="shared" si="3"/>
        <v>275000</v>
      </c>
    </row>
    <row r="72" spans="1:19">
      <c r="A72" s="17"/>
      <c r="B72" s="18">
        <v>183</v>
      </c>
      <c r="C72" s="19" t="s">
        <v>750</v>
      </c>
      <c r="D72" s="20" t="s">
        <v>746</v>
      </c>
      <c r="E72" s="21" t="s">
        <v>9</v>
      </c>
      <c r="F72" s="22" t="s">
        <v>1692</v>
      </c>
      <c r="G72" s="23" t="s">
        <v>1693</v>
      </c>
      <c r="H72" s="24" t="s">
        <v>751</v>
      </c>
      <c r="I72" s="19"/>
      <c r="J72" s="19" t="s">
        <v>752</v>
      </c>
      <c r="K72" s="19"/>
      <c r="L72" s="24" t="s">
        <v>50</v>
      </c>
      <c r="M72" s="19" t="s">
        <v>753</v>
      </c>
      <c r="N72" s="36">
        <v>44551</v>
      </c>
      <c r="O72" s="37">
        <v>254545</v>
      </c>
      <c r="P72" s="19">
        <v>1</v>
      </c>
      <c r="Q72" s="40">
        <f t="shared" si="2"/>
        <v>254545</v>
      </c>
      <c r="R72" s="40">
        <v>275000</v>
      </c>
      <c r="S72" s="40">
        <f t="shared" si="3"/>
        <v>275000</v>
      </c>
    </row>
    <row r="73" spans="1:19">
      <c r="A73" s="17"/>
      <c r="B73" s="18">
        <v>184</v>
      </c>
      <c r="C73" s="19" t="s">
        <v>754</v>
      </c>
      <c r="D73" s="20" t="s">
        <v>746</v>
      </c>
      <c r="E73" s="21" t="s">
        <v>9</v>
      </c>
      <c r="F73" s="22" t="s">
        <v>1692</v>
      </c>
      <c r="G73" s="23" t="s">
        <v>1693</v>
      </c>
      <c r="H73" s="24" t="s">
        <v>679</v>
      </c>
      <c r="I73" s="19"/>
      <c r="J73" s="19" t="s">
        <v>755</v>
      </c>
      <c r="K73" s="19"/>
      <c r="L73" s="24" t="s">
        <v>50</v>
      </c>
      <c r="M73" s="19" t="s">
        <v>756</v>
      </c>
      <c r="N73" s="36">
        <v>44551</v>
      </c>
      <c r="O73" s="37">
        <v>254545</v>
      </c>
      <c r="P73" s="19">
        <v>1</v>
      </c>
      <c r="Q73" s="40">
        <f t="shared" si="2"/>
        <v>254545</v>
      </c>
      <c r="R73" s="40">
        <v>275000</v>
      </c>
      <c r="S73" s="40">
        <f t="shared" si="3"/>
        <v>275000</v>
      </c>
    </row>
    <row r="74" spans="1:19">
      <c r="A74" s="17"/>
      <c r="B74" s="18">
        <v>185</v>
      </c>
      <c r="C74" s="19" t="s">
        <v>757</v>
      </c>
      <c r="D74" s="20" t="s">
        <v>746</v>
      </c>
      <c r="E74" s="21" t="s">
        <v>9</v>
      </c>
      <c r="F74" s="22" t="s">
        <v>1692</v>
      </c>
      <c r="G74" s="23" t="s">
        <v>1693</v>
      </c>
      <c r="H74" s="24" t="s">
        <v>758</v>
      </c>
      <c r="I74" s="19"/>
      <c r="J74" s="19" t="s">
        <v>755</v>
      </c>
      <c r="K74" s="19"/>
      <c r="L74" s="24" t="s">
        <v>50</v>
      </c>
      <c r="M74" s="19" t="s">
        <v>759</v>
      </c>
      <c r="N74" s="36">
        <v>44551</v>
      </c>
      <c r="O74" s="37">
        <v>254545</v>
      </c>
      <c r="P74" s="19">
        <v>1</v>
      </c>
      <c r="Q74" s="40">
        <f t="shared" si="2"/>
        <v>254545</v>
      </c>
      <c r="R74" s="40">
        <v>275000</v>
      </c>
      <c r="S74" s="40">
        <f t="shared" si="3"/>
        <v>275000</v>
      </c>
    </row>
    <row r="75" spans="1:19">
      <c r="A75" s="17"/>
      <c r="B75" s="18">
        <v>186</v>
      </c>
      <c r="C75" s="19" t="s">
        <v>760</v>
      </c>
      <c r="D75" s="20" t="s">
        <v>746</v>
      </c>
      <c r="E75" s="21" t="s">
        <v>9</v>
      </c>
      <c r="F75" s="22" t="s">
        <v>1692</v>
      </c>
      <c r="G75" s="23" t="s">
        <v>1693</v>
      </c>
      <c r="H75" s="24" t="s">
        <v>761</v>
      </c>
      <c r="I75" s="19"/>
      <c r="J75" s="19" t="s">
        <v>755</v>
      </c>
      <c r="K75" s="19"/>
      <c r="L75" s="24" t="s">
        <v>50</v>
      </c>
      <c r="M75" s="19" t="s">
        <v>762</v>
      </c>
      <c r="N75" s="36">
        <v>44551</v>
      </c>
      <c r="O75" s="37">
        <v>254545</v>
      </c>
      <c r="P75" s="19">
        <v>6</v>
      </c>
      <c r="Q75" s="40">
        <f t="shared" si="2"/>
        <v>1527270</v>
      </c>
      <c r="R75" s="40">
        <v>275000</v>
      </c>
      <c r="S75" s="40">
        <f t="shared" si="3"/>
        <v>1650000</v>
      </c>
    </row>
    <row r="76" spans="1:19">
      <c r="A76" s="17"/>
      <c r="B76" s="18">
        <v>187</v>
      </c>
      <c r="C76" s="19" t="s">
        <v>763</v>
      </c>
      <c r="D76" s="20" t="s">
        <v>764</v>
      </c>
      <c r="E76" s="21" t="s">
        <v>9</v>
      </c>
      <c r="F76" s="22" t="s">
        <v>1692</v>
      </c>
      <c r="G76" s="23" t="s">
        <v>1693</v>
      </c>
      <c r="H76" s="24" t="s">
        <v>765</v>
      </c>
      <c r="I76" s="19"/>
      <c r="J76" s="19" t="s">
        <v>766</v>
      </c>
      <c r="K76" s="19"/>
      <c r="L76" s="24" t="s">
        <v>50</v>
      </c>
      <c r="M76" s="19" t="s">
        <v>767</v>
      </c>
      <c r="N76" s="36">
        <v>44553</v>
      </c>
      <c r="O76" s="37">
        <v>254545</v>
      </c>
      <c r="P76" s="19">
        <v>1</v>
      </c>
      <c r="Q76" s="40">
        <f t="shared" si="2"/>
        <v>254545</v>
      </c>
      <c r="R76" s="40">
        <v>275000</v>
      </c>
      <c r="S76" s="40">
        <f t="shared" si="3"/>
        <v>275000</v>
      </c>
    </row>
    <row r="77" spans="1:19">
      <c r="A77" s="17"/>
      <c r="B77" s="18">
        <v>188</v>
      </c>
      <c r="C77" s="19" t="s">
        <v>768</v>
      </c>
      <c r="D77" s="20" t="s">
        <v>769</v>
      </c>
      <c r="E77" s="21" t="s">
        <v>9</v>
      </c>
      <c r="F77" s="22" t="s">
        <v>1692</v>
      </c>
      <c r="G77" s="23" t="s">
        <v>1693</v>
      </c>
      <c r="H77" s="24" t="s">
        <v>770</v>
      </c>
      <c r="I77" s="19"/>
      <c r="J77" s="19" t="s">
        <v>771</v>
      </c>
      <c r="K77" s="19"/>
      <c r="L77" s="24" t="s">
        <v>50</v>
      </c>
      <c r="M77" s="19" t="s">
        <v>772</v>
      </c>
      <c r="N77" s="36">
        <v>44559</v>
      </c>
      <c r="O77" s="37">
        <v>254545</v>
      </c>
      <c r="P77" s="19">
        <v>5</v>
      </c>
      <c r="Q77" s="40">
        <f t="shared" si="2"/>
        <v>1272725</v>
      </c>
      <c r="R77" s="40">
        <v>275000</v>
      </c>
      <c r="S77" s="40">
        <f t="shared" si="3"/>
        <v>1375000</v>
      </c>
    </row>
    <row r="78" spans="1:19">
      <c r="A78" s="17"/>
      <c r="B78" s="18">
        <v>189</v>
      </c>
      <c r="C78" s="19" t="s">
        <v>773</v>
      </c>
      <c r="D78" s="20" t="s">
        <v>774</v>
      </c>
      <c r="E78" s="21" t="s">
        <v>9</v>
      </c>
      <c r="F78" s="22" t="s">
        <v>1692</v>
      </c>
      <c r="G78" s="23" t="s">
        <v>1693</v>
      </c>
      <c r="H78" s="24" t="s">
        <v>775</v>
      </c>
      <c r="I78" s="19"/>
      <c r="J78" s="19" t="s">
        <v>776</v>
      </c>
      <c r="K78" s="19"/>
      <c r="L78" s="24" t="s">
        <v>50</v>
      </c>
      <c r="M78" s="19" t="s">
        <v>777</v>
      </c>
      <c r="N78" s="36">
        <v>44561</v>
      </c>
      <c r="O78" s="37">
        <v>254545</v>
      </c>
      <c r="P78" s="19">
        <v>1</v>
      </c>
      <c r="Q78" s="40">
        <f t="shared" si="2"/>
        <v>254545</v>
      </c>
      <c r="R78" s="40">
        <v>275000</v>
      </c>
      <c r="S78" s="40">
        <f t="shared" si="3"/>
        <v>275000</v>
      </c>
    </row>
    <row r="79" spans="1:19">
      <c r="A79" s="17"/>
      <c r="B79" s="18">
        <v>190</v>
      </c>
      <c r="C79" s="19" t="s">
        <v>778</v>
      </c>
      <c r="D79" s="20" t="s">
        <v>779</v>
      </c>
      <c r="E79" s="21" t="s">
        <v>9</v>
      </c>
      <c r="F79" s="22" t="s">
        <v>1692</v>
      </c>
      <c r="G79" s="23" t="s">
        <v>1693</v>
      </c>
      <c r="H79" s="24" t="s">
        <v>780</v>
      </c>
      <c r="I79" s="19"/>
      <c r="J79" s="19" t="s">
        <v>776</v>
      </c>
      <c r="K79" s="19"/>
      <c r="L79" s="24" t="s">
        <v>50</v>
      </c>
      <c r="M79" s="19" t="s">
        <v>781</v>
      </c>
      <c r="N79" s="36">
        <v>44554</v>
      </c>
      <c r="O79" s="37">
        <v>254545</v>
      </c>
      <c r="P79" s="19">
        <v>5</v>
      </c>
      <c r="Q79" s="40">
        <f t="shared" si="2"/>
        <v>1272725</v>
      </c>
      <c r="R79" s="40">
        <v>275000</v>
      </c>
      <c r="S79" s="40">
        <f t="shared" si="3"/>
        <v>1375000</v>
      </c>
    </row>
    <row r="80" spans="1:19">
      <c r="A80" s="17"/>
      <c r="B80" s="18">
        <v>191</v>
      </c>
      <c r="C80" s="19" t="s">
        <v>782</v>
      </c>
      <c r="D80" s="20" t="s">
        <v>779</v>
      </c>
      <c r="E80" s="21" t="s">
        <v>9</v>
      </c>
      <c r="F80" s="22" t="s">
        <v>1692</v>
      </c>
      <c r="G80" s="23" t="s">
        <v>1693</v>
      </c>
      <c r="H80" s="24" t="s">
        <v>349</v>
      </c>
      <c r="I80" s="19"/>
      <c r="J80" s="19" t="s">
        <v>783</v>
      </c>
      <c r="K80" s="19"/>
      <c r="L80" s="24" t="s">
        <v>50</v>
      </c>
      <c r="M80" s="19" t="s">
        <v>784</v>
      </c>
      <c r="N80" s="36">
        <v>44554</v>
      </c>
      <c r="O80" s="37">
        <v>254545</v>
      </c>
      <c r="P80" s="19">
        <v>3</v>
      </c>
      <c r="Q80" s="40">
        <f t="shared" si="2"/>
        <v>763635</v>
      </c>
      <c r="R80" s="40">
        <v>275000</v>
      </c>
      <c r="S80" s="40">
        <f t="shared" si="3"/>
        <v>825000</v>
      </c>
    </row>
    <row r="81" spans="1:19">
      <c r="A81" s="17"/>
      <c r="B81" s="18">
        <v>192</v>
      </c>
      <c r="C81" s="19" t="s">
        <v>785</v>
      </c>
      <c r="D81" s="20" t="s">
        <v>779</v>
      </c>
      <c r="E81" s="21" t="s">
        <v>9</v>
      </c>
      <c r="F81" s="22" t="s">
        <v>1692</v>
      </c>
      <c r="G81" s="23" t="s">
        <v>1693</v>
      </c>
      <c r="H81" s="24" t="s">
        <v>786</v>
      </c>
      <c r="I81" s="19"/>
      <c r="J81" s="19" t="s">
        <v>776</v>
      </c>
      <c r="K81" s="19"/>
      <c r="L81" s="24" t="s">
        <v>50</v>
      </c>
      <c r="M81" s="19" t="s">
        <v>787</v>
      </c>
      <c r="N81" s="36">
        <v>44554</v>
      </c>
      <c r="O81" s="37">
        <v>254545</v>
      </c>
      <c r="P81" s="19">
        <v>8</v>
      </c>
      <c r="Q81" s="40">
        <f t="shared" si="2"/>
        <v>2036360</v>
      </c>
      <c r="R81" s="40">
        <v>275000</v>
      </c>
      <c r="S81" s="40">
        <f t="shared" si="3"/>
        <v>2200000</v>
      </c>
    </row>
    <row r="82" spans="1:19">
      <c r="A82" s="17"/>
      <c r="B82" s="18">
        <v>196</v>
      </c>
      <c r="C82" s="19" t="s">
        <v>794</v>
      </c>
      <c r="D82" s="20" t="s">
        <v>795</v>
      </c>
      <c r="E82" s="21" t="s">
        <v>9</v>
      </c>
      <c r="F82" s="22" t="s">
        <v>1692</v>
      </c>
      <c r="G82" s="23" t="s">
        <v>1693</v>
      </c>
      <c r="H82" s="24" t="s">
        <v>796</v>
      </c>
      <c r="I82" s="19"/>
      <c r="J82" s="19" t="s">
        <v>797</v>
      </c>
      <c r="K82" s="19"/>
      <c r="L82" s="24" t="s">
        <v>50</v>
      </c>
      <c r="M82" s="19" t="s">
        <v>798</v>
      </c>
      <c r="N82" s="36">
        <v>44561</v>
      </c>
      <c r="O82" s="37">
        <v>254545</v>
      </c>
      <c r="P82" s="19">
        <v>1</v>
      </c>
      <c r="Q82" s="40">
        <f t="shared" si="2"/>
        <v>254545</v>
      </c>
      <c r="R82" s="40">
        <v>275000</v>
      </c>
      <c r="S82" s="40">
        <f t="shared" si="3"/>
        <v>275000</v>
      </c>
    </row>
    <row r="83" spans="1:19">
      <c r="A83" s="17"/>
      <c r="B83" s="18">
        <v>197</v>
      </c>
      <c r="C83" s="19" t="s">
        <v>799</v>
      </c>
      <c r="D83" s="20" t="s">
        <v>795</v>
      </c>
      <c r="E83" s="21" t="s">
        <v>9</v>
      </c>
      <c r="F83" s="22" t="s">
        <v>1692</v>
      </c>
      <c r="G83" s="23" t="s">
        <v>1693</v>
      </c>
      <c r="H83" s="24" t="s">
        <v>800</v>
      </c>
      <c r="I83" s="19"/>
      <c r="J83" s="19" t="s">
        <v>801</v>
      </c>
      <c r="K83" s="19"/>
      <c r="L83" s="24" t="s">
        <v>50</v>
      </c>
      <c r="M83" s="19" t="s">
        <v>802</v>
      </c>
      <c r="N83" s="36">
        <v>44561</v>
      </c>
      <c r="O83" s="37">
        <v>254545</v>
      </c>
      <c r="P83" s="19">
        <v>1</v>
      </c>
      <c r="Q83" s="40">
        <f t="shared" si="2"/>
        <v>254545</v>
      </c>
      <c r="R83" s="40">
        <v>275000</v>
      </c>
      <c r="S83" s="40">
        <f t="shared" si="3"/>
        <v>275000</v>
      </c>
    </row>
    <row r="84" spans="1:19">
      <c r="A84" s="17"/>
      <c r="B84" s="18">
        <v>198</v>
      </c>
      <c r="C84" s="25" t="s">
        <v>803</v>
      </c>
      <c r="D84" s="26" t="s">
        <v>804</v>
      </c>
      <c r="E84" s="27" t="s">
        <v>9</v>
      </c>
      <c r="F84" s="28" t="s">
        <v>1692</v>
      </c>
      <c r="G84" s="29" t="s">
        <v>1693</v>
      </c>
      <c r="H84" s="30" t="s">
        <v>805</v>
      </c>
      <c r="I84" s="25"/>
      <c r="J84" s="25" t="s">
        <v>806</v>
      </c>
      <c r="K84" s="25"/>
      <c r="L84" s="30" t="s">
        <v>50</v>
      </c>
      <c r="M84" s="25" t="s">
        <v>807</v>
      </c>
      <c r="N84" s="38">
        <v>44564</v>
      </c>
      <c r="O84" s="39">
        <v>254545</v>
      </c>
      <c r="P84" s="25">
        <v>2</v>
      </c>
      <c r="Q84" s="41">
        <f>O84*P84</f>
        <v>509090</v>
      </c>
      <c r="R84" s="41">
        <v>275000</v>
      </c>
      <c r="S84" s="41">
        <f t="shared" si="3"/>
        <v>550000</v>
      </c>
    </row>
    <row r="85" spans="1:19">
      <c r="A85" s="17"/>
      <c r="B85" s="18">
        <v>199</v>
      </c>
      <c r="C85" s="25" t="s">
        <v>808</v>
      </c>
      <c r="D85" s="26" t="s">
        <v>804</v>
      </c>
      <c r="E85" s="27" t="s">
        <v>9</v>
      </c>
      <c r="F85" s="28" t="s">
        <v>1692</v>
      </c>
      <c r="G85" s="29" t="s">
        <v>1693</v>
      </c>
      <c r="H85" s="30" t="s">
        <v>809</v>
      </c>
      <c r="I85" s="25"/>
      <c r="J85" s="25" t="s">
        <v>810</v>
      </c>
      <c r="K85" s="25"/>
      <c r="L85" s="30" t="s">
        <v>50</v>
      </c>
      <c r="M85" s="25" t="s">
        <v>811</v>
      </c>
      <c r="N85" s="38">
        <v>44564</v>
      </c>
      <c r="O85" s="39">
        <v>254545</v>
      </c>
      <c r="P85" s="25">
        <v>3</v>
      </c>
      <c r="Q85" s="41">
        <f>O85*P85</f>
        <v>763635</v>
      </c>
      <c r="R85" s="41">
        <v>275001</v>
      </c>
      <c r="S85" s="41">
        <f t="shared" si="3"/>
        <v>825003</v>
      </c>
    </row>
    <row r="86" spans="1:19">
      <c r="A86" s="17"/>
      <c r="B86" s="18">
        <v>200</v>
      </c>
      <c r="C86" s="25" t="s">
        <v>812</v>
      </c>
      <c r="D86" s="26" t="s">
        <v>813</v>
      </c>
      <c r="E86" s="27" t="s">
        <v>10</v>
      </c>
      <c r="F86" s="28" t="s">
        <v>1702</v>
      </c>
      <c r="G86" s="31" t="s">
        <v>1703</v>
      </c>
      <c r="H86" s="30" t="s">
        <v>814</v>
      </c>
      <c r="I86" s="25" t="s">
        <v>815</v>
      </c>
      <c r="J86" s="25" t="s">
        <v>2</v>
      </c>
      <c r="K86" s="25"/>
      <c r="L86" s="30" t="s">
        <v>816</v>
      </c>
      <c r="M86" s="25" t="s">
        <v>817</v>
      </c>
      <c r="N86" s="38">
        <v>44568</v>
      </c>
      <c r="O86" s="39">
        <v>22727</v>
      </c>
      <c r="P86" s="25">
        <v>150</v>
      </c>
      <c r="Q86" s="41">
        <f t="shared" ref="Q86:Q222" si="4">O86*P86</f>
        <v>3409050</v>
      </c>
      <c r="R86" s="41">
        <v>29090.91</v>
      </c>
      <c r="S86" s="41">
        <f t="shared" ref="S86:S226" si="5">R86*P86</f>
        <v>4363636.5</v>
      </c>
    </row>
    <row r="87" spans="1:19">
      <c r="A87" s="17"/>
      <c r="B87" s="18">
        <v>201</v>
      </c>
      <c r="C87" s="25" t="s">
        <v>818</v>
      </c>
      <c r="D87" s="26" t="s">
        <v>819</v>
      </c>
      <c r="E87" s="27" t="s">
        <v>9</v>
      </c>
      <c r="F87" s="28" t="s">
        <v>1692</v>
      </c>
      <c r="G87" s="29" t="s">
        <v>1693</v>
      </c>
      <c r="H87" s="30" t="s">
        <v>820</v>
      </c>
      <c r="I87" s="25"/>
      <c r="J87" s="25" t="s">
        <v>821</v>
      </c>
      <c r="K87" s="25"/>
      <c r="L87" s="30" t="s">
        <v>50</v>
      </c>
      <c r="M87" s="25" t="s">
        <v>822</v>
      </c>
      <c r="N87" s="38">
        <v>44567</v>
      </c>
      <c r="O87" s="39">
        <v>254545</v>
      </c>
      <c r="P87" s="25">
        <v>7</v>
      </c>
      <c r="Q87" s="41">
        <f t="shared" si="4"/>
        <v>1781815</v>
      </c>
      <c r="R87" s="41">
        <v>275000</v>
      </c>
      <c r="S87" s="41">
        <f t="shared" si="5"/>
        <v>1925000</v>
      </c>
    </row>
    <row r="88" spans="1:19">
      <c r="A88" s="17"/>
      <c r="B88" s="18">
        <v>202</v>
      </c>
      <c r="C88" s="25" t="s">
        <v>823</v>
      </c>
      <c r="D88" s="26" t="s">
        <v>824</v>
      </c>
      <c r="E88" s="27" t="s">
        <v>9</v>
      </c>
      <c r="F88" s="28" t="s">
        <v>1692</v>
      </c>
      <c r="G88" s="29" t="s">
        <v>1693</v>
      </c>
      <c r="H88" s="30" t="s">
        <v>825</v>
      </c>
      <c r="I88" s="25"/>
      <c r="J88" s="25" t="s">
        <v>826</v>
      </c>
      <c r="K88" s="25"/>
      <c r="L88" s="30" t="s">
        <v>50</v>
      </c>
      <c r="M88" s="25" t="s">
        <v>827</v>
      </c>
      <c r="N88" s="38">
        <v>44568</v>
      </c>
      <c r="O88" s="39">
        <v>254545</v>
      </c>
      <c r="P88" s="25">
        <v>3</v>
      </c>
      <c r="Q88" s="41">
        <f t="shared" si="4"/>
        <v>763635</v>
      </c>
      <c r="R88" s="41">
        <v>275000</v>
      </c>
      <c r="S88" s="41">
        <f t="shared" si="5"/>
        <v>825000</v>
      </c>
    </row>
    <row r="89" spans="1:19">
      <c r="A89" s="17"/>
      <c r="B89" s="18">
        <v>203</v>
      </c>
      <c r="C89" s="25" t="s">
        <v>828</v>
      </c>
      <c r="D89" s="26" t="s">
        <v>824</v>
      </c>
      <c r="E89" s="27" t="s">
        <v>9</v>
      </c>
      <c r="F89" s="28" t="s">
        <v>1692</v>
      </c>
      <c r="G89" s="29" t="s">
        <v>1693</v>
      </c>
      <c r="H89" s="30" t="s">
        <v>829</v>
      </c>
      <c r="I89" s="25"/>
      <c r="J89" s="25" t="s">
        <v>826</v>
      </c>
      <c r="K89" s="25"/>
      <c r="L89" s="30" t="s">
        <v>50</v>
      </c>
      <c r="M89" s="25" t="s">
        <v>830</v>
      </c>
      <c r="N89" s="38">
        <v>44568</v>
      </c>
      <c r="O89" s="39">
        <v>254545</v>
      </c>
      <c r="P89" s="25">
        <v>3</v>
      </c>
      <c r="Q89" s="41">
        <f t="shared" si="4"/>
        <v>763635</v>
      </c>
      <c r="R89" s="41">
        <v>275000</v>
      </c>
      <c r="S89" s="41">
        <f t="shared" si="5"/>
        <v>825000</v>
      </c>
    </row>
    <row r="90" spans="1:19">
      <c r="A90" s="17"/>
      <c r="B90" s="18">
        <v>204</v>
      </c>
      <c r="C90" s="25" t="s">
        <v>831</v>
      </c>
      <c r="D90" s="26" t="s">
        <v>824</v>
      </c>
      <c r="E90" s="27" t="s">
        <v>9</v>
      </c>
      <c r="F90" s="28" t="s">
        <v>1692</v>
      </c>
      <c r="G90" s="29" t="s">
        <v>1693</v>
      </c>
      <c r="H90" s="30" t="s">
        <v>832</v>
      </c>
      <c r="I90" s="25"/>
      <c r="J90" s="25" t="s">
        <v>826</v>
      </c>
      <c r="K90" s="25"/>
      <c r="L90" s="30" t="s">
        <v>50</v>
      </c>
      <c r="M90" s="25" t="s">
        <v>833</v>
      </c>
      <c r="N90" s="38">
        <v>44568</v>
      </c>
      <c r="O90" s="39">
        <v>254545</v>
      </c>
      <c r="P90" s="25">
        <v>5</v>
      </c>
      <c r="Q90" s="41">
        <f t="shared" si="4"/>
        <v>1272725</v>
      </c>
      <c r="R90" s="41">
        <v>275000</v>
      </c>
      <c r="S90" s="41">
        <f t="shared" si="5"/>
        <v>1375000</v>
      </c>
    </row>
    <row r="91" spans="1:19">
      <c r="A91" s="17"/>
      <c r="B91" s="18">
        <v>205</v>
      </c>
      <c r="C91" s="25" t="s">
        <v>834</v>
      </c>
      <c r="D91" s="26" t="s">
        <v>835</v>
      </c>
      <c r="E91" s="27" t="s">
        <v>9</v>
      </c>
      <c r="F91" s="28" t="s">
        <v>1692</v>
      </c>
      <c r="G91" s="29" t="s">
        <v>1693</v>
      </c>
      <c r="H91" s="30" t="s">
        <v>836</v>
      </c>
      <c r="I91" s="25"/>
      <c r="J91" s="25" t="s">
        <v>837</v>
      </c>
      <c r="K91" s="25"/>
      <c r="L91" s="30" t="s">
        <v>50</v>
      </c>
      <c r="M91" s="25" t="s">
        <v>838</v>
      </c>
      <c r="N91" s="38">
        <v>44572</v>
      </c>
      <c r="O91" s="39">
        <v>254545</v>
      </c>
      <c r="P91" s="25">
        <v>2</v>
      </c>
      <c r="Q91" s="41">
        <f t="shared" si="4"/>
        <v>509090</v>
      </c>
      <c r="R91" s="41">
        <v>275000</v>
      </c>
      <c r="S91" s="41">
        <f t="shared" si="5"/>
        <v>550000</v>
      </c>
    </row>
    <row r="92" spans="1:19">
      <c r="A92" s="17"/>
      <c r="B92" s="18">
        <v>206</v>
      </c>
      <c r="C92" s="25" t="s">
        <v>839</v>
      </c>
      <c r="D92" s="26" t="s">
        <v>835</v>
      </c>
      <c r="E92" s="27" t="s">
        <v>9</v>
      </c>
      <c r="F92" s="28" t="s">
        <v>1692</v>
      </c>
      <c r="G92" s="29" t="s">
        <v>1693</v>
      </c>
      <c r="H92" s="30" t="s">
        <v>840</v>
      </c>
      <c r="I92" s="25"/>
      <c r="J92" s="25" t="s">
        <v>837</v>
      </c>
      <c r="K92" s="25"/>
      <c r="L92" s="30" t="s">
        <v>50</v>
      </c>
      <c r="M92" s="25" t="s">
        <v>841</v>
      </c>
      <c r="N92" s="38">
        <v>44572</v>
      </c>
      <c r="O92" s="39">
        <v>254545</v>
      </c>
      <c r="P92" s="25">
        <v>1</v>
      </c>
      <c r="Q92" s="41">
        <f t="shared" si="4"/>
        <v>254545</v>
      </c>
      <c r="R92" s="41">
        <v>275000</v>
      </c>
      <c r="S92" s="41">
        <f t="shared" si="5"/>
        <v>275000</v>
      </c>
    </row>
    <row r="93" spans="1:19">
      <c r="A93" s="17"/>
      <c r="B93" s="18">
        <v>207</v>
      </c>
      <c r="C93" s="25" t="s">
        <v>842</v>
      </c>
      <c r="D93" s="26" t="s">
        <v>835</v>
      </c>
      <c r="E93" s="27" t="s">
        <v>9</v>
      </c>
      <c r="F93" s="28" t="s">
        <v>1692</v>
      </c>
      <c r="G93" s="29" t="s">
        <v>1693</v>
      </c>
      <c r="H93" s="30" t="s">
        <v>843</v>
      </c>
      <c r="I93" s="25"/>
      <c r="J93" s="25" t="s">
        <v>837</v>
      </c>
      <c r="K93" s="25"/>
      <c r="L93" s="30" t="s">
        <v>50</v>
      </c>
      <c r="M93" s="25" t="s">
        <v>844</v>
      </c>
      <c r="N93" s="38">
        <v>44572</v>
      </c>
      <c r="O93" s="39">
        <v>254545</v>
      </c>
      <c r="P93" s="25">
        <v>1</v>
      </c>
      <c r="Q93" s="41">
        <f t="shared" si="4"/>
        <v>254545</v>
      </c>
      <c r="R93" s="41">
        <v>275000</v>
      </c>
      <c r="S93" s="41">
        <f t="shared" si="5"/>
        <v>275000</v>
      </c>
    </row>
    <row r="94" spans="1:19">
      <c r="A94" s="17"/>
      <c r="B94" s="18">
        <v>208</v>
      </c>
      <c r="C94" s="25" t="s">
        <v>845</v>
      </c>
      <c r="D94" s="26" t="s">
        <v>835</v>
      </c>
      <c r="E94" s="27" t="s">
        <v>9</v>
      </c>
      <c r="F94" s="28" t="s">
        <v>1692</v>
      </c>
      <c r="G94" s="29" t="s">
        <v>1693</v>
      </c>
      <c r="H94" s="30" t="s">
        <v>846</v>
      </c>
      <c r="I94" s="25"/>
      <c r="J94" s="25" t="s">
        <v>847</v>
      </c>
      <c r="K94" s="25"/>
      <c r="L94" s="30" t="s">
        <v>50</v>
      </c>
      <c r="M94" s="25" t="s">
        <v>848</v>
      </c>
      <c r="N94" s="38">
        <v>44572</v>
      </c>
      <c r="O94" s="39">
        <v>254545</v>
      </c>
      <c r="P94" s="25">
        <v>2</v>
      </c>
      <c r="Q94" s="41">
        <f t="shared" si="4"/>
        <v>509090</v>
      </c>
      <c r="R94" s="41">
        <v>275000</v>
      </c>
      <c r="S94" s="41">
        <f t="shared" si="5"/>
        <v>550000</v>
      </c>
    </row>
    <row r="95" spans="1:19">
      <c r="A95" s="17"/>
      <c r="B95" s="18">
        <v>209</v>
      </c>
      <c r="C95" s="25" t="s">
        <v>849</v>
      </c>
      <c r="D95" s="26" t="s">
        <v>835</v>
      </c>
      <c r="E95" s="27" t="s">
        <v>9</v>
      </c>
      <c r="F95" s="28" t="s">
        <v>1692</v>
      </c>
      <c r="G95" s="29" t="s">
        <v>1693</v>
      </c>
      <c r="H95" s="30" t="s">
        <v>549</v>
      </c>
      <c r="I95" s="25"/>
      <c r="J95" s="25" t="s">
        <v>837</v>
      </c>
      <c r="K95" s="25"/>
      <c r="L95" s="30" t="s">
        <v>50</v>
      </c>
      <c r="M95" s="25" t="s">
        <v>850</v>
      </c>
      <c r="N95" s="38">
        <v>44572</v>
      </c>
      <c r="O95" s="39">
        <v>254545</v>
      </c>
      <c r="P95" s="25">
        <v>1</v>
      </c>
      <c r="Q95" s="41">
        <f t="shared" si="4"/>
        <v>254545</v>
      </c>
      <c r="R95" s="41">
        <v>275000</v>
      </c>
      <c r="S95" s="41">
        <f t="shared" si="5"/>
        <v>275000</v>
      </c>
    </row>
    <row r="96" spans="1:19">
      <c r="A96" s="17"/>
      <c r="B96" s="18">
        <v>210</v>
      </c>
      <c r="C96" s="25" t="s">
        <v>851</v>
      </c>
      <c r="D96" s="26" t="s">
        <v>835</v>
      </c>
      <c r="E96" s="27" t="s">
        <v>9</v>
      </c>
      <c r="F96" s="28" t="s">
        <v>1692</v>
      </c>
      <c r="G96" s="29" t="s">
        <v>1693</v>
      </c>
      <c r="H96" s="30" t="s">
        <v>141</v>
      </c>
      <c r="I96" s="25"/>
      <c r="J96" s="25" t="s">
        <v>837</v>
      </c>
      <c r="K96" s="25"/>
      <c r="L96" s="30" t="s">
        <v>50</v>
      </c>
      <c r="M96" s="25" t="s">
        <v>852</v>
      </c>
      <c r="N96" s="38">
        <v>44572</v>
      </c>
      <c r="O96" s="39">
        <v>254545</v>
      </c>
      <c r="P96" s="25">
        <v>1</v>
      </c>
      <c r="Q96" s="41">
        <f t="shared" si="4"/>
        <v>254545</v>
      </c>
      <c r="R96" s="41">
        <v>275000</v>
      </c>
      <c r="S96" s="41">
        <f t="shared" si="5"/>
        <v>275000</v>
      </c>
    </row>
    <row r="97" spans="1:19">
      <c r="A97" s="17"/>
      <c r="B97" s="18">
        <v>212</v>
      </c>
      <c r="C97" s="25" t="s">
        <v>856</v>
      </c>
      <c r="D97" s="26" t="s">
        <v>857</v>
      </c>
      <c r="E97" s="27" t="s">
        <v>9</v>
      </c>
      <c r="F97" s="28" t="s">
        <v>1692</v>
      </c>
      <c r="G97" s="29" t="s">
        <v>1693</v>
      </c>
      <c r="H97" s="30" t="s">
        <v>858</v>
      </c>
      <c r="I97" s="25"/>
      <c r="J97" s="25" t="s">
        <v>859</v>
      </c>
      <c r="K97" s="25"/>
      <c r="L97" s="30" t="s">
        <v>50</v>
      </c>
      <c r="M97" s="25" t="s">
        <v>860</v>
      </c>
      <c r="N97" s="38">
        <v>44579</v>
      </c>
      <c r="O97" s="39">
        <v>254545</v>
      </c>
      <c r="P97" s="25">
        <v>4</v>
      </c>
      <c r="Q97" s="41">
        <f t="shared" si="4"/>
        <v>1018180</v>
      </c>
      <c r="R97" s="41">
        <v>275000</v>
      </c>
      <c r="S97" s="41">
        <f t="shared" si="5"/>
        <v>1100000</v>
      </c>
    </row>
    <row r="98" spans="1:19">
      <c r="A98" s="17"/>
      <c r="B98" s="18">
        <v>213</v>
      </c>
      <c r="C98" s="25" t="s">
        <v>861</v>
      </c>
      <c r="D98" s="26" t="s">
        <v>857</v>
      </c>
      <c r="E98" s="27" t="s">
        <v>9</v>
      </c>
      <c r="F98" s="28" t="s">
        <v>1692</v>
      </c>
      <c r="G98" s="29" t="s">
        <v>1693</v>
      </c>
      <c r="H98" s="30" t="s">
        <v>862</v>
      </c>
      <c r="I98" s="25"/>
      <c r="J98" s="25" t="s">
        <v>863</v>
      </c>
      <c r="K98" s="25"/>
      <c r="L98" s="30" t="s">
        <v>50</v>
      </c>
      <c r="M98" s="25" t="s">
        <v>864</v>
      </c>
      <c r="N98" s="38">
        <v>44579</v>
      </c>
      <c r="O98" s="39">
        <v>254545</v>
      </c>
      <c r="P98" s="25">
        <v>3</v>
      </c>
      <c r="Q98" s="41">
        <f t="shared" si="4"/>
        <v>763635</v>
      </c>
      <c r="R98" s="41">
        <v>275000</v>
      </c>
      <c r="S98" s="41">
        <f t="shared" si="5"/>
        <v>825000</v>
      </c>
    </row>
    <row r="99" spans="1:19">
      <c r="A99" s="17"/>
      <c r="B99" s="18">
        <v>214</v>
      </c>
      <c r="C99" s="25" t="s">
        <v>865</v>
      </c>
      <c r="D99" s="26" t="s">
        <v>857</v>
      </c>
      <c r="E99" s="27" t="s">
        <v>9</v>
      </c>
      <c r="F99" s="28" t="s">
        <v>1692</v>
      </c>
      <c r="G99" s="29" t="s">
        <v>1693</v>
      </c>
      <c r="H99" s="30" t="s">
        <v>866</v>
      </c>
      <c r="I99" s="25"/>
      <c r="J99" s="25" t="s">
        <v>837</v>
      </c>
      <c r="K99" s="25"/>
      <c r="L99" s="30" t="s">
        <v>50</v>
      </c>
      <c r="M99" s="25" t="s">
        <v>867</v>
      </c>
      <c r="N99" s="38">
        <v>44579</v>
      </c>
      <c r="O99" s="39">
        <v>254545</v>
      </c>
      <c r="P99" s="25">
        <v>2</v>
      </c>
      <c r="Q99" s="41">
        <f t="shared" si="4"/>
        <v>509090</v>
      </c>
      <c r="R99" s="41">
        <v>275000</v>
      </c>
      <c r="S99" s="41">
        <f t="shared" si="5"/>
        <v>550000</v>
      </c>
    </row>
    <row r="100" spans="1:19">
      <c r="A100" s="17"/>
      <c r="B100" s="18">
        <v>215</v>
      </c>
      <c r="C100" s="25" t="s">
        <v>868</v>
      </c>
      <c r="D100" s="26" t="s">
        <v>869</v>
      </c>
      <c r="E100" s="27" t="s">
        <v>9</v>
      </c>
      <c r="F100" s="28" t="s">
        <v>1692</v>
      </c>
      <c r="G100" s="29" t="s">
        <v>1693</v>
      </c>
      <c r="H100" s="30" t="s">
        <v>870</v>
      </c>
      <c r="I100" s="25"/>
      <c r="J100" s="25" t="s">
        <v>871</v>
      </c>
      <c r="K100" s="25"/>
      <c r="L100" s="30" t="s">
        <v>50</v>
      </c>
      <c r="M100" s="25" t="s">
        <v>872</v>
      </c>
      <c r="N100" s="38">
        <v>44579</v>
      </c>
      <c r="O100" s="39">
        <v>254545</v>
      </c>
      <c r="P100" s="25">
        <v>1</v>
      </c>
      <c r="Q100" s="41">
        <f t="shared" si="4"/>
        <v>254545</v>
      </c>
      <c r="R100" s="41">
        <v>275000</v>
      </c>
      <c r="S100" s="41">
        <f t="shared" si="5"/>
        <v>275000</v>
      </c>
    </row>
    <row r="101" spans="1:19">
      <c r="A101" s="17"/>
      <c r="B101" s="18">
        <v>216</v>
      </c>
      <c r="C101" s="25" t="s">
        <v>873</v>
      </c>
      <c r="D101" s="26" t="s">
        <v>874</v>
      </c>
      <c r="E101" s="27" t="s">
        <v>9</v>
      </c>
      <c r="F101" s="28" t="s">
        <v>1692</v>
      </c>
      <c r="G101" s="29" t="s">
        <v>1693</v>
      </c>
      <c r="H101" s="30" t="s">
        <v>875</v>
      </c>
      <c r="I101" s="25"/>
      <c r="J101" s="25" t="s">
        <v>876</v>
      </c>
      <c r="K101" s="25"/>
      <c r="L101" s="30" t="s">
        <v>50</v>
      </c>
      <c r="M101" s="25" t="s">
        <v>877</v>
      </c>
      <c r="N101" s="38">
        <v>44580</v>
      </c>
      <c r="O101" s="39">
        <v>254545</v>
      </c>
      <c r="P101" s="25">
        <v>140</v>
      </c>
      <c r="Q101" s="41">
        <f t="shared" si="4"/>
        <v>35636300</v>
      </c>
      <c r="R101" s="41">
        <v>275000</v>
      </c>
      <c r="S101" s="41">
        <f t="shared" si="5"/>
        <v>38500000</v>
      </c>
    </row>
    <row r="102" spans="1:19">
      <c r="A102" s="17"/>
      <c r="B102" s="18">
        <v>217</v>
      </c>
      <c r="C102" s="25" t="s">
        <v>878</v>
      </c>
      <c r="D102" s="26" t="s">
        <v>879</v>
      </c>
      <c r="E102" s="27" t="s">
        <v>11</v>
      </c>
      <c r="F102" s="28" t="s">
        <v>1696</v>
      </c>
      <c r="G102" s="31" t="s">
        <v>1697</v>
      </c>
      <c r="H102" s="30" t="s">
        <v>880</v>
      </c>
      <c r="I102" s="25"/>
      <c r="J102" s="25" t="s">
        <v>881</v>
      </c>
      <c r="K102" s="25"/>
      <c r="L102" s="30" t="s">
        <v>882</v>
      </c>
      <c r="M102" s="25" t="s">
        <v>883</v>
      </c>
      <c r="N102" s="38">
        <v>44585</v>
      </c>
      <c r="O102" s="39">
        <v>213150</v>
      </c>
      <c r="P102" s="25">
        <v>6</v>
      </c>
      <c r="Q102" s="41">
        <f t="shared" si="4"/>
        <v>1278900</v>
      </c>
      <c r="R102" s="41">
        <v>232527</v>
      </c>
      <c r="S102" s="41">
        <f t="shared" si="5"/>
        <v>1395162</v>
      </c>
    </row>
    <row r="103" spans="1:19">
      <c r="A103" s="17"/>
      <c r="B103" s="18">
        <v>218</v>
      </c>
      <c r="C103" s="25" t="s">
        <v>884</v>
      </c>
      <c r="D103" s="26" t="s">
        <v>885</v>
      </c>
      <c r="E103" s="27" t="s">
        <v>11</v>
      </c>
      <c r="F103" s="28" t="s">
        <v>1696</v>
      </c>
      <c r="G103" s="31" t="s">
        <v>1697</v>
      </c>
      <c r="H103" s="30" t="s">
        <v>880</v>
      </c>
      <c r="I103" s="25"/>
      <c r="J103" s="25" t="s">
        <v>881</v>
      </c>
      <c r="K103" s="25"/>
      <c r="L103" s="30" t="s">
        <v>886</v>
      </c>
      <c r="M103" s="25" t="s">
        <v>887</v>
      </c>
      <c r="N103" s="38">
        <v>44585</v>
      </c>
      <c r="O103" s="39">
        <v>184875</v>
      </c>
      <c r="P103" s="25">
        <v>6</v>
      </c>
      <c r="Q103" s="41">
        <f t="shared" si="4"/>
        <v>1109250</v>
      </c>
      <c r="R103" s="41">
        <v>201682</v>
      </c>
      <c r="S103" s="41">
        <f t="shared" si="5"/>
        <v>1210092</v>
      </c>
    </row>
    <row r="104" spans="1:19">
      <c r="A104" s="17"/>
      <c r="B104" s="18">
        <v>219</v>
      </c>
      <c r="C104" s="25" t="s">
        <v>888</v>
      </c>
      <c r="D104" s="26" t="s">
        <v>889</v>
      </c>
      <c r="E104" s="27" t="s">
        <v>19</v>
      </c>
      <c r="F104" s="28" t="s">
        <v>1704</v>
      </c>
      <c r="G104" s="31" t="s">
        <v>1705</v>
      </c>
      <c r="H104" s="30" t="s">
        <v>462</v>
      </c>
      <c r="I104" s="25"/>
      <c r="J104" s="25" t="s">
        <v>890</v>
      </c>
      <c r="K104" s="25"/>
      <c r="L104" s="30" t="s">
        <v>85</v>
      </c>
      <c r="M104" s="25" t="s">
        <v>891</v>
      </c>
      <c r="N104" s="38">
        <v>44586</v>
      </c>
      <c r="O104" s="39">
        <v>222727</v>
      </c>
      <c r="P104" s="25">
        <v>1</v>
      </c>
      <c r="Q104" s="41">
        <f t="shared" si="4"/>
        <v>222727</v>
      </c>
      <c r="R104" s="41">
        <v>279090.90999999997</v>
      </c>
      <c r="S104" s="41">
        <f t="shared" si="5"/>
        <v>279090.90999999997</v>
      </c>
    </row>
    <row r="105" spans="1:19">
      <c r="A105" s="17"/>
      <c r="B105" s="18">
        <v>220</v>
      </c>
      <c r="C105" s="25" t="s">
        <v>892</v>
      </c>
      <c r="D105" s="26" t="s">
        <v>893</v>
      </c>
      <c r="E105" s="27" t="s">
        <v>9</v>
      </c>
      <c r="F105" s="28" t="s">
        <v>1692</v>
      </c>
      <c r="G105" s="29" t="s">
        <v>1693</v>
      </c>
      <c r="H105" s="30" t="s">
        <v>894</v>
      </c>
      <c r="I105" s="25"/>
      <c r="J105" s="25" t="s">
        <v>895</v>
      </c>
      <c r="K105" s="25"/>
      <c r="L105" s="30" t="s">
        <v>50</v>
      </c>
      <c r="M105" s="25" t="s">
        <v>896</v>
      </c>
      <c r="N105" s="38">
        <v>44579</v>
      </c>
      <c r="O105" s="39">
        <v>254545</v>
      </c>
      <c r="P105" s="25">
        <v>7</v>
      </c>
      <c r="Q105" s="41">
        <f t="shared" si="4"/>
        <v>1781815</v>
      </c>
      <c r="R105" s="41">
        <v>275000</v>
      </c>
      <c r="S105" s="41">
        <f t="shared" si="5"/>
        <v>1925000</v>
      </c>
    </row>
    <row r="106" spans="1:19">
      <c r="A106" s="17"/>
      <c r="B106" s="18">
        <v>222</v>
      </c>
      <c r="C106" s="25" t="s">
        <v>900</v>
      </c>
      <c r="D106" s="26" t="s">
        <v>901</v>
      </c>
      <c r="E106" s="27" t="s">
        <v>9</v>
      </c>
      <c r="F106" s="28" t="s">
        <v>1692</v>
      </c>
      <c r="G106" s="29" t="s">
        <v>1693</v>
      </c>
      <c r="H106" s="27" t="s">
        <v>902</v>
      </c>
      <c r="I106" s="25"/>
      <c r="J106" s="25" t="s">
        <v>903</v>
      </c>
      <c r="K106" s="25"/>
      <c r="L106" s="30" t="s">
        <v>50</v>
      </c>
      <c r="M106" s="25" t="s">
        <v>904</v>
      </c>
      <c r="N106" s="38">
        <v>44588</v>
      </c>
      <c r="O106" s="39">
        <v>254545</v>
      </c>
      <c r="P106" s="25">
        <v>1</v>
      </c>
      <c r="Q106" s="41">
        <f t="shared" si="4"/>
        <v>254545</v>
      </c>
      <c r="R106" s="41">
        <v>275000</v>
      </c>
      <c r="S106" s="41">
        <f t="shared" si="5"/>
        <v>275000</v>
      </c>
    </row>
    <row r="107" spans="1:19">
      <c r="A107" s="17"/>
      <c r="B107" s="18">
        <v>223</v>
      </c>
      <c r="C107" s="25" t="s">
        <v>905</v>
      </c>
      <c r="D107" s="26" t="s">
        <v>901</v>
      </c>
      <c r="E107" s="27" t="s">
        <v>9</v>
      </c>
      <c r="F107" s="28" t="s">
        <v>1692</v>
      </c>
      <c r="G107" s="29" t="s">
        <v>1693</v>
      </c>
      <c r="H107" s="27" t="s">
        <v>906</v>
      </c>
      <c r="I107" s="25"/>
      <c r="J107" s="25" t="s">
        <v>903</v>
      </c>
      <c r="K107" s="25"/>
      <c r="L107" s="30" t="s">
        <v>50</v>
      </c>
      <c r="M107" s="25" t="s">
        <v>907</v>
      </c>
      <c r="N107" s="38">
        <v>44588</v>
      </c>
      <c r="O107" s="39">
        <v>254545</v>
      </c>
      <c r="P107" s="25">
        <v>3</v>
      </c>
      <c r="Q107" s="41">
        <f t="shared" si="4"/>
        <v>763635</v>
      </c>
      <c r="R107" s="41">
        <v>275000</v>
      </c>
      <c r="S107" s="41">
        <f t="shared" si="5"/>
        <v>825000</v>
      </c>
    </row>
    <row r="108" spans="1:19">
      <c r="A108" s="17"/>
      <c r="B108" s="18">
        <v>224</v>
      </c>
      <c r="C108" s="25" t="s">
        <v>908</v>
      </c>
      <c r="D108" s="26" t="s">
        <v>909</v>
      </c>
      <c r="E108" s="27" t="s">
        <v>10</v>
      </c>
      <c r="F108" s="28" t="s">
        <v>1702</v>
      </c>
      <c r="G108" s="31" t="s">
        <v>1703</v>
      </c>
      <c r="H108" s="30" t="s">
        <v>814</v>
      </c>
      <c r="I108" s="25" t="s">
        <v>910</v>
      </c>
      <c r="J108" s="25" t="s">
        <v>2</v>
      </c>
      <c r="K108" s="25"/>
      <c r="L108" s="30" t="s">
        <v>816</v>
      </c>
      <c r="M108" s="25" t="s">
        <v>817</v>
      </c>
      <c r="N108" s="38">
        <v>44588</v>
      </c>
      <c r="O108" s="39">
        <v>22727</v>
      </c>
      <c r="P108" s="25">
        <v>150</v>
      </c>
      <c r="Q108" s="41">
        <f t="shared" si="4"/>
        <v>3409050</v>
      </c>
      <c r="R108" s="41">
        <v>29090.91</v>
      </c>
      <c r="S108" s="41">
        <f t="shared" si="5"/>
        <v>4363636.5</v>
      </c>
    </row>
    <row r="109" spans="1:19">
      <c r="A109" s="17"/>
      <c r="B109" s="18">
        <v>225</v>
      </c>
      <c r="C109" s="25" t="s">
        <v>911</v>
      </c>
      <c r="D109" s="26" t="s">
        <v>912</v>
      </c>
      <c r="E109" s="27" t="s">
        <v>11</v>
      </c>
      <c r="F109" s="28" t="s">
        <v>1696</v>
      </c>
      <c r="G109" s="31" t="s">
        <v>1697</v>
      </c>
      <c r="H109" s="30" t="s">
        <v>733</v>
      </c>
      <c r="I109" s="25"/>
      <c r="J109" s="25" t="s">
        <v>913</v>
      </c>
      <c r="K109" s="25"/>
      <c r="L109" s="30" t="s">
        <v>85</v>
      </c>
      <c r="M109" s="25" t="s">
        <v>914</v>
      </c>
      <c r="N109" s="38">
        <v>44588</v>
      </c>
      <c r="O109" s="39">
        <v>222727</v>
      </c>
      <c r="P109" s="25">
        <v>15</v>
      </c>
      <c r="Q109" s="41">
        <f t="shared" si="4"/>
        <v>3340905</v>
      </c>
      <c r="R109" s="41">
        <v>297091</v>
      </c>
      <c r="S109" s="41">
        <f t="shared" si="5"/>
        <v>4456365</v>
      </c>
    </row>
    <row r="110" spans="1:19">
      <c r="A110" s="17"/>
      <c r="B110" s="18">
        <v>226</v>
      </c>
      <c r="C110" s="19" t="s">
        <v>915</v>
      </c>
      <c r="D110" s="20" t="s">
        <v>916</v>
      </c>
      <c r="E110" s="21" t="s">
        <v>9</v>
      </c>
      <c r="F110" s="22" t="s">
        <v>1692</v>
      </c>
      <c r="G110" s="23" t="s">
        <v>1693</v>
      </c>
      <c r="H110" s="24" t="s">
        <v>917</v>
      </c>
      <c r="I110" s="19"/>
      <c r="J110" s="19" t="s">
        <v>918</v>
      </c>
      <c r="K110" s="19"/>
      <c r="L110" s="24" t="s">
        <v>50</v>
      </c>
      <c r="M110" s="19" t="s">
        <v>919</v>
      </c>
      <c r="N110" s="36">
        <v>44594</v>
      </c>
      <c r="O110" s="37">
        <v>254545</v>
      </c>
      <c r="P110" s="19">
        <v>1</v>
      </c>
      <c r="Q110" s="40">
        <f t="shared" si="4"/>
        <v>254545</v>
      </c>
      <c r="R110" s="40">
        <v>275000</v>
      </c>
      <c r="S110" s="40">
        <f t="shared" si="5"/>
        <v>275000</v>
      </c>
    </row>
    <row r="111" spans="1:19">
      <c r="A111" s="17"/>
      <c r="B111" s="18">
        <v>227</v>
      </c>
      <c r="C111" s="19" t="s">
        <v>920</v>
      </c>
      <c r="D111" s="20" t="s">
        <v>916</v>
      </c>
      <c r="E111" s="21" t="s">
        <v>9</v>
      </c>
      <c r="F111" s="22" t="s">
        <v>1692</v>
      </c>
      <c r="G111" s="23" t="s">
        <v>1693</v>
      </c>
      <c r="H111" s="24" t="s">
        <v>921</v>
      </c>
      <c r="I111" s="19"/>
      <c r="J111" s="19" t="s">
        <v>922</v>
      </c>
      <c r="K111" s="19"/>
      <c r="L111" s="24" t="s">
        <v>50</v>
      </c>
      <c r="M111" s="19" t="s">
        <v>923</v>
      </c>
      <c r="N111" s="36">
        <v>44594</v>
      </c>
      <c r="O111" s="37">
        <v>254545</v>
      </c>
      <c r="P111" s="19">
        <v>1</v>
      </c>
      <c r="Q111" s="40">
        <f t="shared" si="4"/>
        <v>254545</v>
      </c>
      <c r="R111" s="40">
        <v>275000</v>
      </c>
      <c r="S111" s="40">
        <f t="shared" si="5"/>
        <v>275000</v>
      </c>
    </row>
    <row r="112" spans="1:19">
      <c r="A112" s="17"/>
      <c r="B112" s="18">
        <v>228</v>
      </c>
      <c r="C112" s="19" t="s">
        <v>924</v>
      </c>
      <c r="D112" s="20" t="s">
        <v>916</v>
      </c>
      <c r="E112" s="21" t="s">
        <v>9</v>
      </c>
      <c r="F112" s="22" t="s">
        <v>1692</v>
      </c>
      <c r="G112" s="23" t="s">
        <v>1693</v>
      </c>
      <c r="H112" s="24" t="s">
        <v>925</v>
      </c>
      <c r="I112" s="19"/>
      <c r="J112" s="19" t="s">
        <v>926</v>
      </c>
      <c r="K112" s="19"/>
      <c r="L112" s="24" t="s">
        <v>50</v>
      </c>
      <c r="M112" s="19" t="s">
        <v>927</v>
      </c>
      <c r="N112" s="36">
        <v>44594</v>
      </c>
      <c r="O112" s="37">
        <v>254545</v>
      </c>
      <c r="P112" s="19">
        <v>2</v>
      </c>
      <c r="Q112" s="40">
        <f t="shared" si="4"/>
        <v>509090</v>
      </c>
      <c r="R112" s="40">
        <v>275000</v>
      </c>
      <c r="S112" s="40">
        <f t="shared" si="5"/>
        <v>550000</v>
      </c>
    </row>
    <row r="113" spans="1:19">
      <c r="A113" s="17"/>
      <c r="B113" s="18">
        <v>229</v>
      </c>
      <c r="C113" s="19" t="s">
        <v>928</v>
      </c>
      <c r="D113" s="20" t="s">
        <v>929</v>
      </c>
      <c r="E113" s="21" t="s">
        <v>9</v>
      </c>
      <c r="F113" s="22" t="s">
        <v>1692</v>
      </c>
      <c r="G113" s="23" t="s">
        <v>1693</v>
      </c>
      <c r="H113" s="24" t="s">
        <v>930</v>
      </c>
      <c r="I113" s="19"/>
      <c r="J113" s="19" t="s">
        <v>931</v>
      </c>
      <c r="K113" s="19"/>
      <c r="L113" s="24" t="s">
        <v>50</v>
      </c>
      <c r="M113" s="19" t="s">
        <v>932</v>
      </c>
      <c r="N113" s="36">
        <v>44594</v>
      </c>
      <c r="O113" s="37">
        <v>254545</v>
      </c>
      <c r="P113" s="19">
        <v>3</v>
      </c>
      <c r="Q113" s="40">
        <f t="shared" si="4"/>
        <v>763635</v>
      </c>
      <c r="R113" s="40">
        <v>275000</v>
      </c>
      <c r="S113" s="40">
        <f t="shared" si="5"/>
        <v>825000</v>
      </c>
    </row>
    <row r="114" spans="1:19">
      <c r="A114" s="17"/>
      <c r="B114" s="18">
        <v>230</v>
      </c>
      <c r="C114" s="19" t="s">
        <v>933</v>
      </c>
      <c r="D114" s="20" t="s">
        <v>929</v>
      </c>
      <c r="E114" s="21" t="s">
        <v>9</v>
      </c>
      <c r="F114" s="22" t="s">
        <v>1692</v>
      </c>
      <c r="G114" s="23" t="s">
        <v>1693</v>
      </c>
      <c r="H114" s="24" t="s">
        <v>934</v>
      </c>
      <c r="I114" s="19"/>
      <c r="J114" s="19" t="s">
        <v>931</v>
      </c>
      <c r="K114" s="19"/>
      <c r="L114" s="24" t="s">
        <v>50</v>
      </c>
      <c r="M114" s="19" t="s">
        <v>935</v>
      </c>
      <c r="N114" s="36">
        <v>44594</v>
      </c>
      <c r="O114" s="37">
        <v>254545</v>
      </c>
      <c r="P114" s="19">
        <v>5</v>
      </c>
      <c r="Q114" s="40">
        <f t="shared" si="4"/>
        <v>1272725</v>
      </c>
      <c r="R114" s="40">
        <v>275000</v>
      </c>
      <c r="S114" s="40">
        <f t="shared" si="5"/>
        <v>1375000</v>
      </c>
    </row>
    <row r="115" spans="1:19">
      <c r="A115" s="17"/>
      <c r="B115" s="18">
        <v>234</v>
      </c>
      <c r="C115" s="19" t="s">
        <v>948</v>
      </c>
      <c r="D115" s="20" t="s">
        <v>949</v>
      </c>
      <c r="E115" s="21" t="s">
        <v>9</v>
      </c>
      <c r="F115" s="22" t="s">
        <v>1692</v>
      </c>
      <c r="G115" s="23" t="s">
        <v>1693</v>
      </c>
      <c r="H115" s="24" t="s">
        <v>950</v>
      </c>
      <c r="I115" s="19"/>
      <c r="J115" s="19" t="s">
        <v>951</v>
      </c>
      <c r="K115" s="19"/>
      <c r="L115" s="24" t="s">
        <v>50</v>
      </c>
      <c r="M115" s="19" t="s">
        <v>952</v>
      </c>
      <c r="N115" s="36">
        <v>44601</v>
      </c>
      <c r="O115" s="37">
        <v>254545</v>
      </c>
      <c r="P115" s="19">
        <v>3</v>
      </c>
      <c r="Q115" s="40">
        <f t="shared" si="4"/>
        <v>763635</v>
      </c>
      <c r="R115" s="40">
        <v>275000</v>
      </c>
      <c r="S115" s="40">
        <f t="shared" si="5"/>
        <v>825000</v>
      </c>
    </row>
    <row r="116" spans="1:19">
      <c r="A116" s="17"/>
      <c r="B116" s="18">
        <v>235</v>
      </c>
      <c r="C116" s="19" t="s">
        <v>953</v>
      </c>
      <c r="D116" s="20" t="s">
        <v>949</v>
      </c>
      <c r="E116" s="21" t="s">
        <v>9</v>
      </c>
      <c r="F116" s="22" t="s">
        <v>1692</v>
      </c>
      <c r="G116" s="23" t="s">
        <v>1693</v>
      </c>
      <c r="H116" s="24" t="s">
        <v>684</v>
      </c>
      <c r="I116" s="19"/>
      <c r="J116" s="19" t="s">
        <v>954</v>
      </c>
      <c r="K116" s="19"/>
      <c r="L116" s="24" t="s">
        <v>50</v>
      </c>
      <c r="M116" s="19" t="s">
        <v>955</v>
      </c>
      <c r="N116" s="36">
        <v>44601</v>
      </c>
      <c r="O116" s="37">
        <v>254545</v>
      </c>
      <c r="P116" s="19">
        <v>1</v>
      </c>
      <c r="Q116" s="40">
        <f t="shared" si="4"/>
        <v>254545</v>
      </c>
      <c r="R116" s="40">
        <v>275000</v>
      </c>
      <c r="S116" s="40">
        <f t="shared" si="5"/>
        <v>275000</v>
      </c>
    </row>
    <row r="117" spans="1:19">
      <c r="A117" s="17"/>
      <c r="B117" s="18">
        <v>236</v>
      </c>
      <c r="C117" s="19" t="s">
        <v>956</v>
      </c>
      <c r="D117" s="20" t="s">
        <v>949</v>
      </c>
      <c r="E117" s="21" t="s">
        <v>9</v>
      </c>
      <c r="F117" s="22" t="s">
        <v>1692</v>
      </c>
      <c r="G117" s="23" t="s">
        <v>1693</v>
      </c>
      <c r="H117" s="24" t="s">
        <v>957</v>
      </c>
      <c r="I117" s="19"/>
      <c r="J117" s="19" t="s">
        <v>958</v>
      </c>
      <c r="K117" s="19"/>
      <c r="L117" s="24" t="s">
        <v>50</v>
      </c>
      <c r="M117" s="19" t="s">
        <v>959</v>
      </c>
      <c r="N117" s="36">
        <v>44601</v>
      </c>
      <c r="O117" s="37">
        <v>254545</v>
      </c>
      <c r="P117" s="19">
        <v>9</v>
      </c>
      <c r="Q117" s="40">
        <f t="shared" si="4"/>
        <v>2290905</v>
      </c>
      <c r="R117" s="40">
        <v>275000</v>
      </c>
      <c r="S117" s="40">
        <f t="shared" si="5"/>
        <v>2475000</v>
      </c>
    </row>
    <row r="118" spans="1:19">
      <c r="A118" s="17"/>
      <c r="B118" s="18">
        <v>237</v>
      </c>
      <c r="C118" s="19" t="s">
        <v>960</v>
      </c>
      <c r="D118" s="20" t="s">
        <v>949</v>
      </c>
      <c r="E118" s="21" t="s">
        <v>9</v>
      </c>
      <c r="F118" s="22" t="s">
        <v>1692</v>
      </c>
      <c r="G118" s="23" t="s">
        <v>1693</v>
      </c>
      <c r="H118" s="24" t="s">
        <v>961</v>
      </c>
      <c r="I118" s="19"/>
      <c r="J118" s="19" t="s">
        <v>951</v>
      </c>
      <c r="K118" s="19"/>
      <c r="L118" s="24" t="s">
        <v>50</v>
      </c>
      <c r="M118" s="19" t="s">
        <v>962</v>
      </c>
      <c r="N118" s="36">
        <v>44601</v>
      </c>
      <c r="O118" s="37">
        <v>254545</v>
      </c>
      <c r="P118" s="19">
        <v>2</v>
      </c>
      <c r="Q118" s="40">
        <f t="shared" si="4"/>
        <v>509090</v>
      </c>
      <c r="R118" s="40">
        <v>275000</v>
      </c>
      <c r="S118" s="40">
        <f t="shared" si="5"/>
        <v>550000</v>
      </c>
    </row>
    <row r="119" spans="1:19">
      <c r="A119" s="17"/>
      <c r="B119" s="18">
        <v>239</v>
      </c>
      <c r="C119" s="19" t="s">
        <v>966</v>
      </c>
      <c r="D119" s="20" t="s">
        <v>967</v>
      </c>
      <c r="E119" s="21" t="s">
        <v>11</v>
      </c>
      <c r="F119" s="22" t="s">
        <v>1696</v>
      </c>
      <c r="G119" s="32" t="s">
        <v>1697</v>
      </c>
      <c r="H119" s="24" t="s">
        <v>880</v>
      </c>
      <c r="I119" s="19"/>
      <c r="J119" s="19" t="s">
        <v>968</v>
      </c>
      <c r="K119" s="19"/>
      <c r="L119" s="24" t="s">
        <v>886</v>
      </c>
      <c r="M119" s="19" t="s">
        <v>969</v>
      </c>
      <c r="N119" s="36">
        <v>44607</v>
      </c>
      <c r="O119" s="37">
        <v>184875</v>
      </c>
      <c r="P119" s="19">
        <v>25</v>
      </c>
      <c r="Q119" s="40">
        <f t="shared" si="4"/>
        <v>4621875</v>
      </c>
      <c r="R119" s="40">
        <v>201682</v>
      </c>
      <c r="S119" s="40">
        <f t="shared" si="5"/>
        <v>5042050</v>
      </c>
    </row>
    <row r="120" spans="1:19">
      <c r="A120" s="17"/>
      <c r="B120" s="18">
        <v>240</v>
      </c>
      <c r="C120" s="19" t="s">
        <v>970</v>
      </c>
      <c r="D120" s="20" t="s">
        <v>971</v>
      </c>
      <c r="E120" s="21" t="s">
        <v>10</v>
      </c>
      <c r="F120" s="22" t="s">
        <v>1702</v>
      </c>
      <c r="G120" s="31" t="s">
        <v>1703</v>
      </c>
      <c r="H120" s="24" t="s">
        <v>814</v>
      </c>
      <c r="I120" s="19" t="s">
        <v>972</v>
      </c>
      <c r="J120" s="19" t="s">
        <v>2</v>
      </c>
      <c r="K120" s="19"/>
      <c r="L120" s="24" t="s">
        <v>816</v>
      </c>
      <c r="M120" s="19" t="s">
        <v>973</v>
      </c>
      <c r="N120" s="36">
        <v>44607</v>
      </c>
      <c r="O120" s="37">
        <v>22727</v>
      </c>
      <c r="P120" s="19">
        <v>120</v>
      </c>
      <c r="Q120" s="40">
        <f t="shared" si="4"/>
        <v>2727240</v>
      </c>
      <c r="R120" s="40">
        <v>29090.91</v>
      </c>
      <c r="S120" s="40">
        <f t="shared" si="5"/>
        <v>3490909.2</v>
      </c>
    </row>
    <row r="121" spans="1:19">
      <c r="A121" s="17"/>
      <c r="B121" s="18">
        <v>243</v>
      </c>
      <c r="C121" s="19" t="s">
        <v>977</v>
      </c>
      <c r="D121" s="20" t="s">
        <v>978</v>
      </c>
      <c r="E121" s="21" t="s">
        <v>9</v>
      </c>
      <c r="F121" s="22" t="s">
        <v>1692</v>
      </c>
      <c r="G121" s="23" t="s">
        <v>1693</v>
      </c>
      <c r="H121" s="24" t="s">
        <v>979</v>
      </c>
      <c r="I121" s="19"/>
      <c r="J121" s="19" t="s">
        <v>801</v>
      </c>
      <c r="K121" s="19"/>
      <c r="L121" s="24" t="s">
        <v>50</v>
      </c>
      <c r="M121" s="19" t="s">
        <v>980</v>
      </c>
      <c r="N121" s="36">
        <v>44609</v>
      </c>
      <c r="O121" s="37">
        <v>254545</v>
      </c>
      <c r="P121" s="19">
        <v>1</v>
      </c>
      <c r="Q121" s="40">
        <f t="shared" si="4"/>
        <v>254545</v>
      </c>
      <c r="R121" s="40">
        <v>275000</v>
      </c>
      <c r="S121" s="40">
        <f t="shared" si="5"/>
        <v>275000</v>
      </c>
    </row>
    <row r="122" spans="1:19">
      <c r="A122" s="17"/>
      <c r="B122" s="18">
        <v>244</v>
      </c>
      <c r="C122" s="19" t="s">
        <v>981</v>
      </c>
      <c r="D122" s="20" t="s">
        <v>978</v>
      </c>
      <c r="E122" s="21" t="s">
        <v>9</v>
      </c>
      <c r="F122" s="22" t="s">
        <v>1692</v>
      </c>
      <c r="G122" s="23" t="s">
        <v>1693</v>
      </c>
      <c r="H122" s="24" t="s">
        <v>982</v>
      </c>
      <c r="I122" s="19"/>
      <c r="J122" s="19" t="s">
        <v>983</v>
      </c>
      <c r="K122" s="19"/>
      <c r="L122" s="24" t="s">
        <v>50</v>
      </c>
      <c r="M122" s="19" t="s">
        <v>984</v>
      </c>
      <c r="N122" s="36">
        <v>44609</v>
      </c>
      <c r="O122" s="37">
        <v>254545</v>
      </c>
      <c r="P122" s="19">
        <v>1</v>
      </c>
      <c r="Q122" s="40">
        <f t="shared" si="4"/>
        <v>254545</v>
      </c>
      <c r="R122" s="40">
        <v>275000</v>
      </c>
      <c r="S122" s="40">
        <f t="shared" si="5"/>
        <v>275000</v>
      </c>
    </row>
    <row r="123" spans="1:19">
      <c r="A123" s="17"/>
      <c r="B123" s="18">
        <v>245</v>
      </c>
      <c r="C123" s="19" t="s">
        <v>985</v>
      </c>
      <c r="D123" s="20" t="s">
        <v>978</v>
      </c>
      <c r="E123" s="21" t="s">
        <v>9</v>
      </c>
      <c r="F123" s="22" t="s">
        <v>1692</v>
      </c>
      <c r="G123" s="23" t="s">
        <v>1693</v>
      </c>
      <c r="H123" s="24" t="s">
        <v>986</v>
      </c>
      <c r="I123" s="19"/>
      <c r="J123" s="19" t="s">
        <v>983</v>
      </c>
      <c r="K123" s="19"/>
      <c r="L123" s="24" t="s">
        <v>50</v>
      </c>
      <c r="M123" s="19" t="s">
        <v>987</v>
      </c>
      <c r="N123" s="36">
        <v>44609</v>
      </c>
      <c r="O123" s="37">
        <v>254545</v>
      </c>
      <c r="P123" s="19">
        <v>4</v>
      </c>
      <c r="Q123" s="40">
        <f t="shared" si="4"/>
        <v>1018180</v>
      </c>
      <c r="R123" s="40">
        <v>275000</v>
      </c>
      <c r="S123" s="40">
        <f t="shared" si="5"/>
        <v>1100000</v>
      </c>
    </row>
    <row r="124" spans="1:19">
      <c r="A124" s="17"/>
      <c r="B124" s="18">
        <v>246</v>
      </c>
      <c r="C124" s="19" t="s">
        <v>988</v>
      </c>
      <c r="D124" s="20" t="s">
        <v>989</v>
      </c>
      <c r="E124" s="21" t="s">
        <v>16</v>
      </c>
      <c r="F124" s="22" t="s">
        <v>1706</v>
      </c>
      <c r="G124" s="32" t="s">
        <v>1707</v>
      </c>
      <c r="H124" s="24" t="s">
        <v>165</v>
      </c>
      <c r="I124" s="19"/>
      <c r="J124" s="19" t="s">
        <v>990</v>
      </c>
      <c r="K124" s="19"/>
      <c r="L124" s="24" t="s">
        <v>85</v>
      </c>
      <c r="M124" s="19" t="s">
        <v>991</v>
      </c>
      <c r="N124" s="36">
        <v>44613</v>
      </c>
      <c r="O124" s="37">
        <v>222727</v>
      </c>
      <c r="P124" s="19">
        <v>160</v>
      </c>
      <c r="Q124" s="40">
        <f t="shared" si="4"/>
        <v>35636320</v>
      </c>
      <c r="R124" s="40">
        <v>279090.90999999997</v>
      </c>
      <c r="S124" s="40">
        <f t="shared" si="5"/>
        <v>44654545.599999994</v>
      </c>
    </row>
    <row r="125" spans="1:19">
      <c r="A125" s="17"/>
      <c r="B125" s="18">
        <v>247</v>
      </c>
      <c r="C125" s="19" t="s">
        <v>992</v>
      </c>
      <c r="D125" s="20" t="s">
        <v>978</v>
      </c>
      <c r="E125" s="21" t="s">
        <v>9</v>
      </c>
      <c r="F125" s="22" t="s">
        <v>1692</v>
      </c>
      <c r="G125" s="23" t="s">
        <v>1693</v>
      </c>
      <c r="H125" s="24" t="s">
        <v>445</v>
      </c>
      <c r="I125" s="19"/>
      <c r="J125" s="19" t="s">
        <v>993</v>
      </c>
      <c r="K125" s="19"/>
      <c r="L125" s="24" t="s">
        <v>50</v>
      </c>
      <c r="M125" s="19" t="s">
        <v>994</v>
      </c>
      <c r="N125" s="36">
        <v>44613</v>
      </c>
      <c r="O125" s="37">
        <v>254545</v>
      </c>
      <c r="P125" s="19">
        <v>3</v>
      </c>
      <c r="Q125" s="40">
        <f t="shared" si="4"/>
        <v>763635</v>
      </c>
      <c r="R125" s="40">
        <v>275000</v>
      </c>
      <c r="S125" s="40">
        <f t="shared" si="5"/>
        <v>825000</v>
      </c>
    </row>
    <row r="126" spans="1:19">
      <c r="A126" s="17"/>
      <c r="B126" s="18">
        <v>248</v>
      </c>
      <c r="C126" s="19" t="s">
        <v>995</v>
      </c>
      <c r="D126" s="20" t="s">
        <v>978</v>
      </c>
      <c r="E126" s="21" t="s">
        <v>9</v>
      </c>
      <c r="F126" s="22" t="s">
        <v>1692</v>
      </c>
      <c r="G126" s="23" t="s">
        <v>1693</v>
      </c>
      <c r="H126" s="24" t="s">
        <v>445</v>
      </c>
      <c r="I126" s="19"/>
      <c r="J126" s="19" t="s">
        <v>996</v>
      </c>
      <c r="K126" s="19"/>
      <c r="L126" s="24" t="s">
        <v>50</v>
      </c>
      <c r="M126" s="19" t="s">
        <v>997</v>
      </c>
      <c r="N126" s="36">
        <v>44613</v>
      </c>
      <c r="O126" s="37">
        <v>254545</v>
      </c>
      <c r="P126" s="19">
        <v>3</v>
      </c>
      <c r="Q126" s="40">
        <f t="shared" si="4"/>
        <v>763635</v>
      </c>
      <c r="R126" s="40">
        <v>275000</v>
      </c>
      <c r="S126" s="40">
        <f t="shared" si="5"/>
        <v>825000</v>
      </c>
    </row>
    <row r="127" spans="1:19">
      <c r="A127" s="17"/>
      <c r="B127" s="18">
        <v>249</v>
      </c>
      <c r="C127" s="19" t="s">
        <v>998</v>
      </c>
      <c r="D127" s="20" t="s">
        <v>978</v>
      </c>
      <c r="E127" s="21" t="s">
        <v>9</v>
      </c>
      <c r="F127" s="22" t="s">
        <v>1692</v>
      </c>
      <c r="G127" s="23" t="s">
        <v>1693</v>
      </c>
      <c r="H127" s="24" t="s">
        <v>999</v>
      </c>
      <c r="I127" s="19"/>
      <c r="J127" s="19" t="s">
        <v>1000</v>
      </c>
      <c r="K127" s="19"/>
      <c r="L127" s="24" t="s">
        <v>50</v>
      </c>
      <c r="M127" s="19" t="s">
        <v>1001</v>
      </c>
      <c r="N127" s="36">
        <v>44613</v>
      </c>
      <c r="O127" s="37">
        <v>254545</v>
      </c>
      <c r="P127" s="19">
        <v>2</v>
      </c>
      <c r="Q127" s="40">
        <f t="shared" si="4"/>
        <v>509090</v>
      </c>
      <c r="R127" s="40">
        <v>275000</v>
      </c>
      <c r="S127" s="40">
        <f t="shared" si="5"/>
        <v>550000</v>
      </c>
    </row>
    <row r="128" spans="1:19">
      <c r="A128" s="17"/>
      <c r="B128" s="18">
        <v>250</v>
      </c>
      <c r="C128" s="19" t="s">
        <v>1002</v>
      </c>
      <c r="D128" s="20" t="s">
        <v>978</v>
      </c>
      <c r="E128" s="21" t="s">
        <v>9</v>
      </c>
      <c r="F128" s="22" t="s">
        <v>1692</v>
      </c>
      <c r="G128" s="23" t="s">
        <v>1693</v>
      </c>
      <c r="H128" s="24" t="s">
        <v>1003</v>
      </c>
      <c r="I128" s="19"/>
      <c r="J128" s="19" t="s">
        <v>996</v>
      </c>
      <c r="K128" s="19"/>
      <c r="L128" s="24" t="s">
        <v>50</v>
      </c>
      <c r="M128" s="19" t="s">
        <v>1004</v>
      </c>
      <c r="N128" s="36">
        <v>44613</v>
      </c>
      <c r="O128" s="37">
        <v>254545</v>
      </c>
      <c r="P128" s="19">
        <v>8</v>
      </c>
      <c r="Q128" s="40">
        <f t="shared" si="4"/>
        <v>2036360</v>
      </c>
      <c r="R128" s="40">
        <v>275000</v>
      </c>
      <c r="S128" s="40">
        <f t="shared" si="5"/>
        <v>2200000</v>
      </c>
    </row>
    <row r="129" spans="1:19">
      <c r="A129" s="17"/>
      <c r="B129" s="18">
        <v>251</v>
      </c>
      <c r="C129" s="19" t="s">
        <v>1005</v>
      </c>
      <c r="D129" s="20" t="s">
        <v>978</v>
      </c>
      <c r="E129" s="21" t="s">
        <v>9</v>
      </c>
      <c r="F129" s="22" t="s">
        <v>1692</v>
      </c>
      <c r="G129" s="23" t="s">
        <v>1693</v>
      </c>
      <c r="H129" s="24" t="s">
        <v>1006</v>
      </c>
      <c r="I129" s="19"/>
      <c r="J129" s="19" t="s">
        <v>1000</v>
      </c>
      <c r="K129" s="19"/>
      <c r="L129" s="24" t="s">
        <v>50</v>
      </c>
      <c r="M129" s="19" t="s">
        <v>1007</v>
      </c>
      <c r="N129" s="36">
        <v>44613</v>
      </c>
      <c r="O129" s="37">
        <v>254545</v>
      </c>
      <c r="P129" s="19">
        <v>1</v>
      </c>
      <c r="Q129" s="40">
        <f t="shared" si="4"/>
        <v>254545</v>
      </c>
      <c r="R129" s="40">
        <v>275000</v>
      </c>
      <c r="S129" s="40">
        <f t="shared" si="5"/>
        <v>275000</v>
      </c>
    </row>
    <row r="130" spans="1:19">
      <c r="A130" s="17"/>
      <c r="B130" s="18">
        <v>252</v>
      </c>
      <c r="C130" s="19" t="s">
        <v>1008</v>
      </c>
      <c r="D130" s="20" t="s">
        <v>1009</v>
      </c>
      <c r="E130" s="21" t="s">
        <v>9</v>
      </c>
      <c r="F130" s="22" t="s">
        <v>1692</v>
      </c>
      <c r="G130" s="23" t="s">
        <v>1693</v>
      </c>
      <c r="H130" s="24" t="s">
        <v>925</v>
      </c>
      <c r="I130" s="19"/>
      <c r="J130" s="19" t="s">
        <v>1010</v>
      </c>
      <c r="K130" s="19"/>
      <c r="L130" s="24" t="s">
        <v>50</v>
      </c>
      <c r="M130" s="19" t="s">
        <v>1011</v>
      </c>
      <c r="N130" s="36">
        <v>44617</v>
      </c>
      <c r="O130" s="37">
        <v>254545</v>
      </c>
      <c r="P130" s="19">
        <v>3</v>
      </c>
      <c r="Q130" s="40">
        <f t="shared" si="4"/>
        <v>763635</v>
      </c>
      <c r="R130" s="40">
        <v>275000</v>
      </c>
      <c r="S130" s="40">
        <f t="shared" si="5"/>
        <v>825000</v>
      </c>
    </row>
    <row r="131" spans="1:19">
      <c r="A131" s="17"/>
      <c r="B131" s="18">
        <v>253</v>
      </c>
      <c r="C131" s="19" t="s">
        <v>1012</v>
      </c>
      <c r="D131" s="20" t="s">
        <v>1009</v>
      </c>
      <c r="E131" s="21" t="s">
        <v>9</v>
      </c>
      <c r="F131" s="22" t="s">
        <v>1692</v>
      </c>
      <c r="G131" s="23" t="s">
        <v>1693</v>
      </c>
      <c r="H131" s="24" t="s">
        <v>1013</v>
      </c>
      <c r="I131" s="19"/>
      <c r="J131" s="19" t="s">
        <v>1010</v>
      </c>
      <c r="K131" s="19"/>
      <c r="L131" s="24" t="s">
        <v>50</v>
      </c>
      <c r="M131" s="19" t="s">
        <v>1014</v>
      </c>
      <c r="N131" s="36">
        <v>44617</v>
      </c>
      <c r="O131" s="37">
        <v>254545</v>
      </c>
      <c r="P131" s="19">
        <v>2</v>
      </c>
      <c r="Q131" s="40">
        <f t="shared" si="4"/>
        <v>509090</v>
      </c>
      <c r="R131" s="40">
        <v>275000</v>
      </c>
      <c r="S131" s="40">
        <f t="shared" si="5"/>
        <v>550000</v>
      </c>
    </row>
    <row r="132" spans="1:19">
      <c r="A132" s="17"/>
      <c r="B132" s="18">
        <v>255</v>
      </c>
      <c r="C132" s="25" t="s">
        <v>1019</v>
      </c>
      <c r="D132" s="26" t="s">
        <v>1020</v>
      </c>
      <c r="E132" s="27" t="s">
        <v>9</v>
      </c>
      <c r="F132" s="28" t="s">
        <v>1692</v>
      </c>
      <c r="G132" s="29" t="s">
        <v>1693</v>
      </c>
      <c r="H132" s="30" t="s">
        <v>1021</v>
      </c>
      <c r="I132" s="25"/>
      <c r="J132" s="25" t="s">
        <v>1022</v>
      </c>
      <c r="K132" s="25"/>
      <c r="L132" s="30" t="s">
        <v>50</v>
      </c>
      <c r="M132" s="25" t="s">
        <v>1023</v>
      </c>
      <c r="N132" s="38">
        <v>44628</v>
      </c>
      <c r="O132" s="39">
        <v>254545</v>
      </c>
      <c r="P132" s="25">
        <v>1</v>
      </c>
      <c r="Q132" s="41">
        <f t="shared" si="4"/>
        <v>254545</v>
      </c>
      <c r="R132" s="41">
        <v>275000</v>
      </c>
      <c r="S132" s="41">
        <f t="shared" si="5"/>
        <v>275000</v>
      </c>
    </row>
    <row r="133" spans="1:19">
      <c r="A133" s="17"/>
      <c r="B133" s="18">
        <v>256</v>
      </c>
      <c r="C133" s="25" t="s">
        <v>1024</v>
      </c>
      <c r="D133" s="26" t="s">
        <v>1020</v>
      </c>
      <c r="E133" s="27" t="s">
        <v>9</v>
      </c>
      <c r="F133" s="28" t="s">
        <v>1692</v>
      </c>
      <c r="G133" s="29" t="s">
        <v>1693</v>
      </c>
      <c r="H133" s="30" t="s">
        <v>1025</v>
      </c>
      <c r="I133" s="25"/>
      <c r="J133" s="25" t="s">
        <v>1026</v>
      </c>
      <c r="K133" s="25"/>
      <c r="L133" s="30" t="s">
        <v>50</v>
      </c>
      <c r="M133" s="25" t="s">
        <v>1027</v>
      </c>
      <c r="N133" s="38">
        <v>44628</v>
      </c>
      <c r="O133" s="39">
        <v>254545</v>
      </c>
      <c r="P133" s="25">
        <v>1</v>
      </c>
      <c r="Q133" s="41">
        <f t="shared" si="4"/>
        <v>254545</v>
      </c>
      <c r="R133" s="41">
        <v>275000</v>
      </c>
      <c r="S133" s="41">
        <f t="shared" si="5"/>
        <v>275000</v>
      </c>
    </row>
    <row r="134" spans="1:19">
      <c r="A134" s="17"/>
      <c r="B134" s="18">
        <v>257</v>
      </c>
      <c r="C134" s="25" t="s">
        <v>1028</v>
      </c>
      <c r="D134" s="26" t="s">
        <v>1020</v>
      </c>
      <c r="E134" s="27" t="s">
        <v>9</v>
      </c>
      <c r="F134" s="28" t="s">
        <v>1692</v>
      </c>
      <c r="G134" s="29" t="s">
        <v>1693</v>
      </c>
      <c r="H134" s="30" t="s">
        <v>1029</v>
      </c>
      <c r="I134" s="25"/>
      <c r="J134" s="25" t="s">
        <v>1030</v>
      </c>
      <c r="K134" s="25"/>
      <c r="L134" s="30" t="s">
        <v>50</v>
      </c>
      <c r="M134" s="25" t="s">
        <v>1031</v>
      </c>
      <c r="N134" s="38">
        <v>44628</v>
      </c>
      <c r="O134" s="39">
        <v>254545</v>
      </c>
      <c r="P134" s="25">
        <v>2</v>
      </c>
      <c r="Q134" s="41">
        <f t="shared" si="4"/>
        <v>509090</v>
      </c>
      <c r="R134" s="41">
        <v>275000</v>
      </c>
      <c r="S134" s="41">
        <f t="shared" si="5"/>
        <v>550000</v>
      </c>
    </row>
    <row r="135" spans="1:19">
      <c r="A135" s="17"/>
      <c r="B135" s="18">
        <v>258</v>
      </c>
      <c r="C135" s="25" t="s">
        <v>1032</v>
      </c>
      <c r="D135" s="26" t="s">
        <v>1020</v>
      </c>
      <c r="E135" s="27" t="s">
        <v>9</v>
      </c>
      <c r="F135" s="28" t="s">
        <v>1692</v>
      </c>
      <c r="G135" s="29" t="s">
        <v>1693</v>
      </c>
      <c r="H135" s="30" t="s">
        <v>1033</v>
      </c>
      <c r="I135" s="25"/>
      <c r="J135" s="25" t="s">
        <v>1030</v>
      </c>
      <c r="K135" s="25"/>
      <c r="L135" s="30" t="s">
        <v>50</v>
      </c>
      <c r="M135" s="25" t="s">
        <v>1034</v>
      </c>
      <c r="N135" s="38">
        <v>44628</v>
      </c>
      <c r="O135" s="39">
        <v>254545</v>
      </c>
      <c r="P135" s="25">
        <v>1</v>
      </c>
      <c r="Q135" s="41">
        <f t="shared" si="4"/>
        <v>254545</v>
      </c>
      <c r="R135" s="41">
        <v>275000</v>
      </c>
      <c r="S135" s="41">
        <f t="shared" si="5"/>
        <v>275000</v>
      </c>
    </row>
    <row r="136" spans="1:19">
      <c r="A136" s="17"/>
      <c r="B136" s="18">
        <v>259</v>
      </c>
      <c r="C136" s="25" t="s">
        <v>1035</v>
      </c>
      <c r="D136" s="26" t="s">
        <v>1036</v>
      </c>
      <c r="E136" s="27" t="s">
        <v>11</v>
      </c>
      <c r="F136" s="28" t="s">
        <v>1696</v>
      </c>
      <c r="G136" s="31" t="s">
        <v>1697</v>
      </c>
      <c r="H136" s="30" t="s">
        <v>880</v>
      </c>
      <c r="I136" s="25"/>
      <c r="J136" s="25" t="s">
        <v>1037</v>
      </c>
      <c r="K136" s="25"/>
      <c r="L136" s="30" t="s">
        <v>1038</v>
      </c>
      <c r="M136" s="25" t="s">
        <v>1039</v>
      </c>
      <c r="N136" s="38">
        <v>44629</v>
      </c>
      <c r="O136" s="39">
        <v>184875</v>
      </c>
      <c r="P136" s="25">
        <v>15</v>
      </c>
      <c r="Q136" s="41">
        <f t="shared" si="4"/>
        <v>2773125</v>
      </c>
      <c r="R136" s="41">
        <v>201682</v>
      </c>
      <c r="S136" s="41">
        <f t="shared" si="5"/>
        <v>3025230</v>
      </c>
    </row>
    <row r="137" spans="1:19">
      <c r="A137" s="17"/>
      <c r="B137" s="18">
        <v>260</v>
      </c>
      <c r="C137" s="25" t="s">
        <v>1040</v>
      </c>
      <c r="D137" s="26" t="s">
        <v>1041</v>
      </c>
      <c r="E137" s="27" t="s">
        <v>9</v>
      </c>
      <c r="F137" s="28" t="s">
        <v>1692</v>
      </c>
      <c r="G137" s="29" t="s">
        <v>1693</v>
      </c>
      <c r="H137" s="30" t="s">
        <v>1042</v>
      </c>
      <c r="I137" s="25"/>
      <c r="J137" s="25" t="s">
        <v>1043</v>
      </c>
      <c r="K137" s="25"/>
      <c r="L137" s="30" t="s">
        <v>50</v>
      </c>
      <c r="M137" s="25" t="s">
        <v>1044</v>
      </c>
      <c r="N137" s="38">
        <v>44631</v>
      </c>
      <c r="O137" s="39">
        <v>254545</v>
      </c>
      <c r="P137" s="25">
        <v>1</v>
      </c>
      <c r="Q137" s="41">
        <f t="shared" si="4"/>
        <v>254545</v>
      </c>
      <c r="R137" s="41">
        <v>275000</v>
      </c>
      <c r="S137" s="41">
        <f t="shared" si="5"/>
        <v>275000</v>
      </c>
    </row>
    <row r="138" spans="1:19">
      <c r="A138" s="17"/>
      <c r="B138" s="18">
        <v>261</v>
      </c>
      <c r="C138" s="25" t="s">
        <v>1045</v>
      </c>
      <c r="D138" s="26" t="s">
        <v>1046</v>
      </c>
      <c r="E138" s="27" t="s">
        <v>9</v>
      </c>
      <c r="F138" s="28" t="s">
        <v>1692</v>
      </c>
      <c r="G138" s="29" t="s">
        <v>1693</v>
      </c>
      <c r="H138" s="30" t="s">
        <v>1047</v>
      </c>
      <c r="I138" s="25"/>
      <c r="J138" s="25" t="s">
        <v>1048</v>
      </c>
      <c r="K138" s="25"/>
      <c r="L138" s="30" t="s">
        <v>50</v>
      </c>
      <c r="M138" s="25" t="s">
        <v>1049</v>
      </c>
      <c r="N138" s="38">
        <v>44635</v>
      </c>
      <c r="O138" s="39">
        <v>254545</v>
      </c>
      <c r="P138" s="25">
        <v>1</v>
      </c>
      <c r="Q138" s="41">
        <f t="shared" si="4"/>
        <v>254545</v>
      </c>
      <c r="R138" s="41">
        <v>275000</v>
      </c>
      <c r="S138" s="41">
        <f t="shared" si="5"/>
        <v>275000</v>
      </c>
    </row>
    <row r="139" spans="1:19">
      <c r="A139" s="17"/>
      <c r="B139" s="18">
        <v>262</v>
      </c>
      <c r="C139" s="25" t="s">
        <v>1050</v>
      </c>
      <c r="D139" s="26" t="s">
        <v>1046</v>
      </c>
      <c r="E139" s="27" t="s">
        <v>9</v>
      </c>
      <c r="F139" s="28" t="s">
        <v>1692</v>
      </c>
      <c r="G139" s="29" t="s">
        <v>1693</v>
      </c>
      <c r="H139" s="30" t="s">
        <v>1051</v>
      </c>
      <c r="I139" s="25"/>
      <c r="J139" s="25" t="s">
        <v>1048</v>
      </c>
      <c r="K139" s="25"/>
      <c r="L139" s="30" t="s">
        <v>50</v>
      </c>
      <c r="M139" s="25" t="s">
        <v>1052</v>
      </c>
      <c r="N139" s="38">
        <v>44635</v>
      </c>
      <c r="O139" s="39">
        <v>254545</v>
      </c>
      <c r="P139" s="25">
        <v>1</v>
      </c>
      <c r="Q139" s="41">
        <f t="shared" si="4"/>
        <v>254545</v>
      </c>
      <c r="R139" s="41">
        <v>275000</v>
      </c>
      <c r="S139" s="41">
        <f t="shared" si="5"/>
        <v>275000</v>
      </c>
    </row>
    <row r="140" spans="1:19">
      <c r="A140" s="17"/>
      <c r="B140" s="18">
        <v>263</v>
      </c>
      <c r="C140" s="25" t="s">
        <v>1053</v>
      </c>
      <c r="D140" s="26" t="s">
        <v>1054</v>
      </c>
      <c r="E140" s="27" t="s">
        <v>6</v>
      </c>
      <c r="F140" s="28" t="s">
        <v>1694</v>
      </c>
      <c r="G140" s="31" t="s">
        <v>1695</v>
      </c>
      <c r="H140" s="30" t="s">
        <v>509</v>
      </c>
      <c r="I140" s="25"/>
      <c r="J140" s="25" t="s">
        <v>1055</v>
      </c>
      <c r="K140" s="25"/>
      <c r="L140" s="30" t="s">
        <v>50</v>
      </c>
      <c r="M140" s="25" t="s">
        <v>1056</v>
      </c>
      <c r="N140" s="38">
        <v>44637</v>
      </c>
      <c r="O140" s="39">
        <v>444545</v>
      </c>
      <c r="P140" s="25">
        <v>116</v>
      </c>
      <c r="Q140" s="41">
        <f t="shared" si="4"/>
        <v>51567220</v>
      </c>
      <c r="R140" s="41">
        <v>556363.64</v>
      </c>
      <c r="S140" s="41">
        <f t="shared" si="5"/>
        <v>64538182.240000002</v>
      </c>
    </row>
    <row r="141" spans="1:19">
      <c r="A141" s="17"/>
      <c r="B141" s="18">
        <v>264</v>
      </c>
      <c r="C141" s="25" t="s">
        <v>1057</v>
      </c>
      <c r="D141" s="26" t="s">
        <v>1058</v>
      </c>
      <c r="E141" s="27" t="s">
        <v>9</v>
      </c>
      <c r="F141" s="28" t="s">
        <v>1692</v>
      </c>
      <c r="G141" s="29" t="s">
        <v>1693</v>
      </c>
      <c r="H141" s="30" t="s">
        <v>1059</v>
      </c>
      <c r="I141" s="25"/>
      <c r="J141" s="25" t="s">
        <v>1060</v>
      </c>
      <c r="K141" s="25"/>
      <c r="L141" s="30" t="s">
        <v>50</v>
      </c>
      <c r="M141" s="25" t="s">
        <v>1061</v>
      </c>
      <c r="N141" s="38">
        <v>44641</v>
      </c>
      <c r="O141" s="39">
        <v>254545</v>
      </c>
      <c r="P141" s="25">
        <v>7</v>
      </c>
      <c r="Q141" s="41">
        <f t="shared" si="4"/>
        <v>1781815</v>
      </c>
      <c r="R141" s="41">
        <v>275000</v>
      </c>
      <c r="S141" s="41">
        <f t="shared" si="5"/>
        <v>1925000</v>
      </c>
    </row>
    <row r="142" spans="1:19">
      <c r="A142" s="17"/>
      <c r="B142" s="18">
        <v>265</v>
      </c>
      <c r="C142" s="25" t="s">
        <v>1062</v>
      </c>
      <c r="D142" s="26" t="s">
        <v>1058</v>
      </c>
      <c r="E142" s="27" t="s">
        <v>9</v>
      </c>
      <c r="F142" s="28" t="s">
        <v>1692</v>
      </c>
      <c r="G142" s="29" t="s">
        <v>1693</v>
      </c>
      <c r="H142" s="30" t="s">
        <v>1063</v>
      </c>
      <c r="I142" s="25"/>
      <c r="J142" s="25" t="s">
        <v>1060</v>
      </c>
      <c r="K142" s="25"/>
      <c r="L142" s="30" t="s">
        <v>50</v>
      </c>
      <c r="M142" s="25" t="s">
        <v>1064</v>
      </c>
      <c r="N142" s="38">
        <v>44641</v>
      </c>
      <c r="O142" s="39">
        <v>254545</v>
      </c>
      <c r="P142" s="25">
        <v>2</v>
      </c>
      <c r="Q142" s="41">
        <f t="shared" si="4"/>
        <v>509090</v>
      </c>
      <c r="R142" s="41">
        <v>275000</v>
      </c>
      <c r="S142" s="41">
        <f t="shared" si="5"/>
        <v>550000</v>
      </c>
    </row>
    <row r="143" spans="1:19">
      <c r="A143" s="17"/>
      <c r="B143" s="18">
        <v>266</v>
      </c>
      <c r="C143" s="25" t="s">
        <v>1065</v>
      </c>
      <c r="D143" s="26" t="s">
        <v>1058</v>
      </c>
      <c r="E143" s="27" t="s">
        <v>9</v>
      </c>
      <c r="F143" s="28" t="s">
        <v>1692</v>
      </c>
      <c r="G143" s="29" t="s">
        <v>1693</v>
      </c>
      <c r="H143" s="30" t="s">
        <v>832</v>
      </c>
      <c r="I143" s="25"/>
      <c r="J143" s="25" t="s">
        <v>1060</v>
      </c>
      <c r="K143" s="25"/>
      <c r="L143" s="30" t="s">
        <v>50</v>
      </c>
      <c r="M143" s="25" t="s">
        <v>1066</v>
      </c>
      <c r="N143" s="38">
        <v>44641</v>
      </c>
      <c r="O143" s="39">
        <v>254545</v>
      </c>
      <c r="P143" s="25">
        <v>3</v>
      </c>
      <c r="Q143" s="41">
        <f t="shared" si="4"/>
        <v>763635</v>
      </c>
      <c r="R143" s="41">
        <v>275000</v>
      </c>
      <c r="S143" s="41">
        <f t="shared" si="5"/>
        <v>825000</v>
      </c>
    </row>
    <row r="144" spans="1:19">
      <c r="A144" s="17"/>
      <c r="B144" s="18">
        <v>267</v>
      </c>
      <c r="C144" s="25" t="s">
        <v>1067</v>
      </c>
      <c r="D144" s="26" t="s">
        <v>1068</v>
      </c>
      <c r="E144" s="27" t="s">
        <v>9</v>
      </c>
      <c r="F144" s="28" t="s">
        <v>1692</v>
      </c>
      <c r="G144" s="29" t="s">
        <v>1693</v>
      </c>
      <c r="H144" s="30" t="s">
        <v>1069</v>
      </c>
      <c r="I144" s="25"/>
      <c r="J144" s="25" t="s">
        <v>1070</v>
      </c>
      <c r="K144" s="25"/>
      <c r="L144" s="30" t="s">
        <v>50</v>
      </c>
      <c r="M144" s="25" t="s">
        <v>1071</v>
      </c>
      <c r="N144" s="38">
        <v>44644</v>
      </c>
      <c r="O144" s="39">
        <v>254545</v>
      </c>
      <c r="P144" s="25">
        <v>1</v>
      </c>
      <c r="Q144" s="41">
        <f t="shared" si="4"/>
        <v>254545</v>
      </c>
      <c r="R144" s="41">
        <v>275000</v>
      </c>
      <c r="S144" s="41">
        <f t="shared" si="5"/>
        <v>275000</v>
      </c>
    </row>
    <row r="145" spans="1:19">
      <c r="A145" s="17"/>
      <c r="B145" s="18">
        <v>268</v>
      </c>
      <c r="C145" s="25" t="s">
        <v>1072</v>
      </c>
      <c r="D145" s="26" t="s">
        <v>1068</v>
      </c>
      <c r="E145" s="27" t="s">
        <v>9</v>
      </c>
      <c r="F145" s="28" t="s">
        <v>1692</v>
      </c>
      <c r="G145" s="29" t="s">
        <v>1693</v>
      </c>
      <c r="H145" s="30" t="s">
        <v>1073</v>
      </c>
      <c r="I145" s="25"/>
      <c r="J145" s="25" t="s">
        <v>1070</v>
      </c>
      <c r="K145" s="25"/>
      <c r="L145" s="30" t="s">
        <v>50</v>
      </c>
      <c r="M145" s="25" t="s">
        <v>1074</v>
      </c>
      <c r="N145" s="38">
        <v>44644</v>
      </c>
      <c r="O145" s="39">
        <v>254545</v>
      </c>
      <c r="P145" s="25">
        <v>1</v>
      </c>
      <c r="Q145" s="41">
        <f t="shared" si="4"/>
        <v>254545</v>
      </c>
      <c r="R145" s="41">
        <v>275000</v>
      </c>
      <c r="S145" s="41">
        <f t="shared" si="5"/>
        <v>275000</v>
      </c>
    </row>
    <row r="146" spans="1:19">
      <c r="A146" s="17"/>
      <c r="B146" s="18">
        <v>269</v>
      </c>
      <c r="C146" s="25" t="s">
        <v>1075</v>
      </c>
      <c r="D146" s="26" t="s">
        <v>1068</v>
      </c>
      <c r="E146" s="27" t="s">
        <v>9</v>
      </c>
      <c r="F146" s="28" t="s">
        <v>1692</v>
      </c>
      <c r="G146" s="29" t="s">
        <v>1693</v>
      </c>
      <c r="H146" s="30" t="s">
        <v>206</v>
      </c>
      <c r="I146" s="25"/>
      <c r="J146" s="25" t="s">
        <v>1070</v>
      </c>
      <c r="K146" s="25"/>
      <c r="L146" s="30" t="s">
        <v>50</v>
      </c>
      <c r="M146" s="25" t="s">
        <v>1076</v>
      </c>
      <c r="N146" s="38">
        <v>44644</v>
      </c>
      <c r="O146" s="39">
        <v>254545</v>
      </c>
      <c r="P146" s="25">
        <v>2</v>
      </c>
      <c r="Q146" s="41">
        <f t="shared" si="4"/>
        <v>509090</v>
      </c>
      <c r="R146" s="41">
        <v>275000</v>
      </c>
      <c r="S146" s="41">
        <f t="shared" si="5"/>
        <v>550000</v>
      </c>
    </row>
    <row r="147" spans="1:19">
      <c r="A147" s="17"/>
      <c r="B147" s="18">
        <v>270</v>
      </c>
      <c r="C147" s="25" t="s">
        <v>1077</v>
      </c>
      <c r="D147" s="26" t="s">
        <v>1078</v>
      </c>
      <c r="E147" s="27" t="s">
        <v>9</v>
      </c>
      <c r="F147" s="28" t="s">
        <v>1692</v>
      </c>
      <c r="G147" s="29" t="s">
        <v>1693</v>
      </c>
      <c r="H147" s="30" t="s">
        <v>645</v>
      </c>
      <c r="I147" s="25"/>
      <c r="J147" s="25" t="s">
        <v>1079</v>
      </c>
      <c r="K147" s="25"/>
      <c r="L147" s="30" t="s">
        <v>50</v>
      </c>
      <c r="M147" s="25" t="s">
        <v>1080</v>
      </c>
      <c r="N147" s="38">
        <v>44645</v>
      </c>
      <c r="O147" s="39">
        <v>254545</v>
      </c>
      <c r="P147" s="25">
        <v>2</v>
      </c>
      <c r="Q147" s="41">
        <f t="shared" si="4"/>
        <v>509090</v>
      </c>
      <c r="R147" s="41">
        <v>275000</v>
      </c>
      <c r="S147" s="41">
        <f t="shared" si="5"/>
        <v>550000</v>
      </c>
    </row>
    <row r="148" spans="1:19">
      <c r="A148" s="17"/>
      <c r="B148" s="18">
        <v>271</v>
      </c>
      <c r="C148" s="25" t="s">
        <v>1081</v>
      </c>
      <c r="D148" s="26" t="s">
        <v>1078</v>
      </c>
      <c r="E148" s="27" t="s">
        <v>9</v>
      </c>
      <c r="F148" s="28" t="s">
        <v>1692</v>
      </c>
      <c r="G148" s="29" t="s">
        <v>1693</v>
      </c>
      <c r="H148" s="30" t="s">
        <v>1082</v>
      </c>
      <c r="I148" s="25"/>
      <c r="J148" s="25" t="s">
        <v>1070</v>
      </c>
      <c r="K148" s="25"/>
      <c r="L148" s="30" t="s">
        <v>50</v>
      </c>
      <c r="M148" s="25" t="s">
        <v>1083</v>
      </c>
      <c r="N148" s="38">
        <v>44645</v>
      </c>
      <c r="O148" s="39">
        <v>254545</v>
      </c>
      <c r="P148" s="25">
        <v>3</v>
      </c>
      <c r="Q148" s="41">
        <f t="shared" si="4"/>
        <v>763635</v>
      </c>
      <c r="R148" s="41">
        <v>275000</v>
      </c>
      <c r="S148" s="41">
        <f t="shared" si="5"/>
        <v>825000</v>
      </c>
    </row>
    <row r="149" spans="1:19">
      <c r="A149" s="17"/>
      <c r="B149" s="18">
        <v>272</v>
      </c>
      <c r="C149" s="25" t="s">
        <v>1084</v>
      </c>
      <c r="D149" s="26" t="s">
        <v>1078</v>
      </c>
      <c r="E149" s="27" t="s">
        <v>9</v>
      </c>
      <c r="F149" s="28" t="s">
        <v>1692</v>
      </c>
      <c r="G149" s="29" t="s">
        <v>1693</v>
      </c>
      <c r="H149" s="30" t="s">
        <v>1082</v>
      </c>
      <c r="I149" s="25"/>
      <c r="J149" s="25" t="s">
        <v>1070</v>
      </c>
      <c r="K149" s="25"/>
      <c r="L149" s="30" t="s">
        <v>50</v>
      </c>
      <c r="M149" s="25" t="s">
        <v>1085</v>
      </c>
      <c r="N149" s="38">
        <v>44645</v>
      </c>
      <c r="O149" s="39">
        <v>254545</v>
      </c>
      <c r="P149" s="25">
        <v>1</v>
      </c>
      <c r="Q149" s="41">
        <f t="shared" si="4"/>
        <v>254545</v>
      </c>
      <c r="R149" s="41">
        <v>275000</v>
      </c>
      <c r="S149" s="41">
        <f t="shared" si="5"/>
        <v>275000</v>
      </c>
    </row>
    <row r="150" spans="1:19">
      <c r="A150" s="17"/>
      <c r="B150" s="18">
        <v>273</v>
      </c>
      <c r="C150" s="25" t="s">
        <v>1086</v>
      </c>
      <c r="D150" s="26" t="s">
        <v>1087</v>
      </c>
      <c r="E150" s="27" t="s">
        <v>9</v>
      </c>
      <c r="F150" s="28" t="s">
        <v>1692</v>
      </c>
      <c r="G150" s="29" t="s">
        <v>1693</v>
      </c>
      <c r="H150" s="30" t="s">
        <v>1003</v>
      </c>
      <c r="I150" s="25"/>
      <c r="J150" s="25" t="s">
        <v>1088</v>
      </c>
      <c r="K150" s="25"/>
      <c r="L150" s="30" t="s">
        <v>50</v>
      </c>
      <c r="M150" s="25" t="s">
        <v>1089</v>
      </c>
      <c r="N150" s="38">
        <v>44649</v>
      </c>
      <c r="O150" s="39">
        <v>254545</v>
      </c>
      <c r="P150" s="25">
        <v>5</v>
      </c>
      <c r="Q150" s="41">
        <f t="shared" si="4"/>
        <v>1272725</v>
      </c>
      <c r="R150" s="41">
        <v>275000</v>
      </c>
      <c r="S150" s="41">
        <f t="shared" si="5"/>
        <v>1375000</v>
      </c>
    </row>
    <row r="151" spans="1:19">
      <c r="A151" s="17"/>
      <c r="B151" s="18">
        <v>274</v>
      </c>
      <c r="C151" s="25" t="s">
        <v>1090</v>
      </c>
      <c r="D151" s="26" t="s">
        <v>1087</v>
      </c>
      <c r="E151" s="27" t="s">
        <v>9</v>
      </c>
      <c r="F151" s="28" t="s">
        <v>1692</v>
      </c>
      <c r="G151" s="29" t="s">
        <v>1693</v>
      </c>
      <c r="H151" s="30" t="s">
        <v>1091</v>
      </c>
      <c r="I151" s="25"/>
      <c r="J151" s="25" t="s">
        <v>1088</v>
      </c>
      <c r="K151" s="25"/>
      <c r="L151" s="30" t="s">
        <v>50</v>
      </c>
      <c r="M151" s="25" t="s">
        <v>1092</v>
      </c>
      <c r="N151" s="38">
        <v>44649</v>
      </c>
      <c r="O151" s="39">
        <v>254545</v>
      </c>
      <c r="P151" s="25">
        <v>1</v>
      </c>
      <c r="Q151" s="41">
        <f t="shared" si="4"/>
        <v>254545</v>
      </c>
      <c r="R151" s="41">
        <v>275000</v>
      </c>
      <c r="S151" s="41">
        <f t="shared" si="5"/>
        <v>275000</v>
      </c>
    </row>
    <row r="152" spans="1:19">
      <c r="A152" s="17"/>
      <c r="B152" s="18">
        <v>275</v>
      </c>
      <c r="C152" s="25" t="s">
        <v>1093</v>
      </c>
      <c r="D152" s="26" t="s">
        <v>1087</v>
      </c>
      <c r="E152" s="27" t="s">
        <v>9</v>
      </c>
      <c r="F152" s="28" t="s">
        <v>1692</v>
      </c>
      <c r="G152" s="29" t="s">
        <v>1693</v>
      </c>
      <c r="H152" s="30" t="s">
        <v>1094</v>
      </c>
      <c r="I152" s="25"/>
      <c r="J152" s="25" t="s">
        <v>1088</v>
      </c>
      <c r="K152" s="25"/>
      <c r="L152" s="30" t="s">
        <v>50</v>
      </c>
      <c r="M152" s="25" t="s">
        <v>1095</v>
      </c>
      <c r="N152" s="38">
        <v>44649</v>
      </c>
      <c r="O152" s="39">
        <v>254545</v>
      </c>
      <c r="P152" s="25">
        <v>1</v>
      </c>
      <c r="Q152" s="41">
        <f t="shared" si="4"/>
        <v>254545</v>
      </c>
      <c r="R152" s="41">
        <v>275000</v>
      </c>
      <c r="S152" s="41">
        <f t="shared" si="5"/>
        <v>275000</v>
      </c>
    </row>
    <row r="153" spans="1:19">
      <c r="A153" s="17"/>
      <c r="B153" s="18">
        <v>276</v>
      </c>
      <c r="C153" s="25" t="s">
        <v>1096</v>
      </c>
      <c r="D153" s="26" t="s">
        <v>1087</v>
      </c>
      <c r="E153" s="27" t="s">
        <v>9</v>
      </c>
      <c r="F153" s="28" t="s">
        <v>1692</v>
      </c>
      <c r="G153" s="29" t="s">
        <v>1693</v>
      </c>
      <c r="H153" s="30" t="s">
        <v>1091</v>
      </c>
      <c r="I153" s="25"/>
      <c r="J153" s="25" t="s">
        <v>1088</v>
      </c>
      <c r="K153" s="25"/>
      <c r="L153" s="30" t="s">
        <v>50</v>
      </c>
      <c r="M153" s="25" t="s">
        <v>1097</v>
      </c>
      <c r="N153" s="38">
        <v>44649</v>
      </c>
      <c r="O153" s="39">
        <v>254545</v>
      </c>
      <c r="P153" s="25">
        <v>1</v>
      </c>
      <c r="Q153" s="41">
        <f t="shared" si="4"/>
        <v>254545</v>
      </c>
      <c r="R153" s="41">
        <v>275000</v>
      </c>
      <c r="S153" s="41">
        <f t="shared" si="5"/>
        <v>275000</v>
      </c>
    </row>
    <row r="154" spans="1:19">
      <c r="A154" s="17"/>
      <c r="B154" s="18">
        <v>277</v>
      </c>
      <c r="C154" s="25" t="s">
        <v>1098</v>
      </c>
      <c r="D154" s="26" t="s">
        <v>1087</v>
      </c>
      <c r="E154" s="27" t="s">
        <v>9</v>
      </c>
      <c r="F154" s="28" t="s">
        <v>1692</v>
      </c>
      <c r="G154" s="29" t="s">
        <v>1693</v>
      </c>
      <c r="H154" s="30" t="s">
        <v>1094</v>
      </c>
      <c r="I154" s="25"/>
      <c r="J154" s="25" t="s">
        <v>1088</v>
      </c>
      <c r="K154" s="25"/>
      <c r="L154" s="30" t="s">
        <v>50</v>
      </c>
      <c r="M154" s="25" t="s">
        <v>1099</v>
      </c>
      <c r="N154" s="38">
        <v>44649</v>
      </c>
      <c r="O154" s="39">
        <v>254545</v>
      </c>
      <c r="P154" s="25">
        <v>2</v>
      </c>
      <c r="Q154" s="41">
        <f t="shared" si="4"/>
        <v>509090</v>
      </c>
      <c r="R154" s="41">
        <v>275000</v>
      </c>
      <c r="S154" s="41">
        <f t="shared" si="5"/>
        <v>550000</v>
      </c>
    </row>
    <row r="155" spans="1:19">
      <c r="A155" s="17"/>
      <c r="B155" s="18">
        <v>278</v>
      </c>
      <c r="C155" s="25" t="s">
        <v>1100</v>
      </c>
      <c r="D155" s="26" t="s">
        <v>1087</v>
      </c>
      <c r="E155" s="27" t="s">
        <v>9</v>
      </c>
      <c r="F155" s="28" t="s">
        <v>1692</v>
      </c>
      <c r="G155" s="29" t="s">
        <v>1693</v>
      </c>
      <c r="H155" s="30" t="s">
        <v>1101</v>
      </c>
      <c r="I155" s="25"/>
      <c r="J155" s="25" t="s">
        <v>1088</v>
      </c>
      <c r="K155" s="25"/>
      <c r="L155" s="30" t="s">
        <v>50</v>
      </c>
      <c r="M155" s="25" t="s">
        <v>1102</v>
      </c>
      <c r="N155" s="38">
        <v>44649</v>
      </c>
      <c r="O155" s="39">
        <v>254545</v>
      </c>
      <c r="P155" s="25">
        <v>1</v>
      </c>
      <c r="Q155" s="41">
        <f t="shared" si="4"/>
        <v>254545</v>
      </c>
      <c r="R155" s="41">
        <v>275000</v>
      </c>
      <c r="S155" s="41">
        <f t="shared" si="5"/>
        <v>275000</v>
      </c>
    </row>
    <row r="156" spans="1:19">
      <c r="A156" s="17"/>
      <c r="B156" s="18">
        <v>279</v>
      </c>
      <c r="C156" s="25" t="s">
        <v>1103</v>
      </c>
      <c r="D156" s="26" t="s">
        <v>1087</v>
      </c>
      <c r="E156" s="27" t="s">
        <v>9</v>
      </c>
      <c r="F156" s="28" t="s">
        <v>1692</v>
      </c>
      <c r="G156" s="29" t="s">
        <v>1693</v>
      </c>
      <c r="H156" s="30" t="s">
        <v>1104</v>
      </c>
      <c r="I156" s="25"/>
      <c r="J156" s="25" t="s">
        <v>1088</v>
      </c>
      <c r="K156" s="25"/>
      <c r="L156" s="30" t="s">
        <v>50</v>
      </c>
      <c r="M156" s="25" t="s">
        <v>1105</v>
      </c>
      <c r="N156" s="38">
        <v>44649</v>
      </c>
      <c r="O156" s="39">
        <v>254545</v>
      </c>
      <c r="P156" s="25">
        <v>6</v>
      </c>
      <c r="Q156" s="41">
        <f t="shared" si="4"/>
        <v>1527270</v>
      </c>
      <c r="R156" s="41">
        <v>275000</v>
      </c>
      <c r="S156" s="41">
        <f t="shared" si="5"/>
        <v>1650000</v>
      </c>
    </row>
    <row r="157" spans="1:19">
      <c r="A157" s="17"/>
      <c r="B157" s="18">
        <v>280</v>
      </c>
      <c r="C157" s="25" t="s">
        <v>1106</v>
      </c>
      <c r="D157" s="26" t="s">
        <v>1087</v>
      </c>
      <c r="E157" s="27" t="s">
        <v>9</v>
      </c>
      <c r="F157" s="28" t="s">
        <v>1692</v>
      </c>
      <c r="G157" s="29" t="s">
        <v>1693</v>
      </c>
      <c r="H157" s="30" t="s">
        <v>1107</v>
      </c>
      <c r="I157" s="25"/>
      <c r="J157" s="25" t="s">
        <v>1088</v>
      </c>
      <c r="K157" s="25"/>
      <c r="L157" s="30" t="s">
        <v>50</v>
      </c>
      <c r="M157" s="25" t="s">
        <v>1108</v>
      </c>
      <c r="N157" s="38">
        <v>44649</v>
      </c>
      <c r="O157" s="39">
        <v>254545</v>
      </c>
      <c r="P157" s="25">
        <v>1</v>
      </c>
      <c r="Q157" s="41">
        <f t="shared" si="4"/>
        <v>254545</v>
      </c>
      <c r="R157" s="41">
        <v>275000</v>
      </c>
      <c r="S157" s="41">
        <f t="shared" si="5"/>
        <v>275000</v>
      </c>
    </row>
    <row r="158" spans="1:19">
      <c r="A158" s="17"/>
      <c r="B158" s="18">
        <v>281</v>
      </c>
      <c r="C158" s="25" t="s">
        <v>1109</v>
      </c>
      <c r="D158" s="26" t="s">
        <v>1087</v>
      </c>
      <c r="E158" s="27" t="s">
        <v>9</v>
      </c>
      <c r="F158" s="28" t="s">
        <v>1692</v>
      </c>
      <c r="G158" s="29" t="s">
        <v>1693</v>
      </c>
      <c r="H158" s="30" t="s">
        <v>1110</v>
      </c>
      <c r="I158" s="25"/>
      <c r="J158" s="25" t="s">
        <v>1088</v>
      </c>
      <c r="K158" s="25"/>
      <c r="L158" s="30" t="s">
        <v>50</v>
      </c>
      <c r="M158" s="25" t="s">
        <v>1111</v>
      </c>
      <c r="N158" s="38">
        <v>44649</v>
      </c>
      <c r="O158" s="39">
        <v>254545</v>
      </c>
      <c r="P158" s="25">
        <v>1</v>
      </c>
      <c r="Q158" s="41">
        <f t="shared" si="4"/>
        <v>254545</v>
      </c>
      <c r="R158" s="41">
        <v>275000</v>
      </c>
      <c r="S158" s="41">
        <f t="shared" si="5"/>
        <v>275000</v>
      </c>
    </row>
    <row r="159" spans="1:19">
      <c r="A159" s="17"/>
      <c r="B159" s="18">
        <v>282</v>
      </c>
      <c r="C159" s="25" t="s">
        <v>1112</v>
      </c>
      <c r="D159" s="26" t="s">
        <v>1113</v>
      </c>
      <c r="E159" s="27" t="s">
        <v>9</v>
      </c>
      <c r="F159" s="28" t="s">
        <v>1692</v>
      </c>
      <c r="G159" s="29" t="s">
        <v>1693</v>
      </c>
      <c r="H159" s="30" t="s">
        <v>222</v>
      </c>
      <c r="I159" s="25"/>
      <c r="J159" s="25" t="s">
        <v>1114</v>
      </c>
      <c r="K159" s="25"/>
      <c r="L159" s="30" t="s">
        <v>50</v>
      </c>
      <c r="M159" s="25" t="s">
        <v>1115</v>
      </c>
      <c r="N159" s="38">
        <v>44651</v>
      </c>
      <c r="O159" s="39">
        <v>254545</v>
      </c>
      <c r="P159" s="25">
        <v>1</v>
      </c>
      <c r="Q159" s="41">
        <f t="shared" si="4"/>
        <v>254545</v>
      </c>
      <c r="R159" s="41">
        <v>275000</v>
      </c>
      <c r="S159" s="41">
        <f t="shared" si="5"/>
        <v>275000</v>
      </c>
    </row>
    <row r="160" spans="1:19">
      <c r="A160" s="17"/>
      <c r="B160" s="18">
        <v>283</v>
      </c>
      <c r="C160" s="25" t="s">
        <v>1116</v>
      </c>
      <c r="D160" s="26" t="s">
        <v>1113</v>
      </c>
      <c r="E160" s="27" t="s">
        <v>9</v>
      </c>
      <c r="F160" s="28" t="s">
        <v>1692</v>
      </c>
      <c r="G160" s="29" t="s">
        <v>1693</v>
      </c>
      <c r="H160" s="30" t="s">
        <v>1117</v>
      </c>
      <c r="I160" s="25"/>
      <c r="J160" s="25" t="s">
        <v>1114</v>
      </c>
      <c r="K160" s="25"/>
      <c r="L160" s="30" t="s">
        <v>50</v>
      </c>
      <c r="M160" s="25" t="s">
        <v>1118</v>
      </c>
      <c r="N160" s="38">
        <v>44651</v>
      </c>
      <c r="O160" s="39">
        <v>254545</v>
      </c>
      <c r="P160" s="25">
        <v>2</v>
      </c>
      <c r="Q160" s="41">
        <f t="shared" si="4"/>
        <v>509090</v>
      </c>
      <c r="R160" s="41">
        <v>275000</v>
      </c>
      <c r="S160" s="41">
        <f t="shared" si="5"/>
        <v>550000</v>
      </c>
    </row>
    <row r="161" spans="1:19">
      <c r="A161" s="17"/>
      <c r="B161" s="18">
        <v>284</v>
      </c>
      <c r="C161" s="19" t="s">
        <v>1119</v>
      </c>
      <c r="D161" s="20" t="s">
        <v>1120</v>
      </c>
      <c r="E161" s="21" t="s">
        <v>9</v>
      </c>
      <c r="F161" s="22" t="s">
        <v>1692</v>
      </c>
      <c r="G161" s="23" t="s">
        <v>1693</v>
      </c>
      <c r="H161" s="24" t="s">
        <v>1121</v>
      </c>
      <c r="I161" s="19"/>
      <c r="J161" s="19" t="s">
        <v>1114</v>
      </c>
      <c r="K161" s="19"/>
      <c r="L161" s="24" t="s">
        <v>50</v>
      </c>
      <c r="M161" s="19" t="s">
        <v>1122</v>
      </c>
      <c r="N161" s="36">
        <v>44652</v>
      </c>
      <c r="O161" s="37">
        <v>254545</v>
      </c>
      <c r="P161" s="19">
        <v>2</v>
      </c>
      <c r="Q161" s="40">
        <f t="shared" si="4"/>
        <v>509090</v>
      </c>
      <c r="R161" s="40">
        <v>275000</v>
      </c>
      <c r="S161" s="40">
        <f t="shared" si="5"/>
        <v>550000</v>
      </c>
    </row>
    <row r="162" spans="1:19">
      <c r="A162" s="17"/>
      <c r="B162" s="18">
        <v>285</v>
      </c>
      <c r="C162" s="19" t="s">
        <v>1123</v>
      </c>
      <c r="D162" s="20" t="s">
        <v>1120</v>
      </c>
      <c r="E162" s="21" t="s">
        <v>9</v>
      </c>
      <c r="F162" s="22" t="s">
        <v>1692</v>
      </c>
      <c r="G162" s="23" t="s">
        <v>1693</v>
      </c>
      <c r="H162" s="24" t="s">
        <v>1124</v>
      </c>
      <c r="I162" s="19"/>
      <c r="J162" s="19" t="s">
        <v>1114</v>
      </c>
      <c r="K162" s="19"/>
      <c r="L162" s="24" t="s">
        <v>50</v>
      </c>
      <c r="M162" s="19" t="s">
        <v>1125</v>
      </c>
      <c r="N162" s="36">
        <v>44652</v>
      </c>
      <c r="O162" s="37">
        <v>254545</v>
      </c>
      <c r="P162" s="19">
        <v>9</v>
      </c>
      <c r="Q162" s="40">
        <f t="shared" si="4"/>
        <v>2290905</v>
      </c>
      <c r="R162" s="40">
        <v>275000</v>
      </c>
      <c r="S162" s="40">
        <f t="shared" si="5"/>
        <v>2475000</v>
      </c>
    </row>
    <row r="163" spans="1:19">
      <c r="A163" s="17"/>
      <c r="B163" s="18">
        <v>286</v>
      </c>
      <c r="C163" s="19" t="s">
        <v>1126</v>
      </c>
      <c r="D163" s="20" t="s">
        <v>1120</v>
      </c>
      <c r="E163" s="21" t="s">
        <v>9</v>
      </c>
      <c r="F163" s="22" t="s">
        <v>1692</v>
      </c>
      <c r="G163" s="23" t="s">
        <v>1693</v>
      </c>
      <c r="H163" s="24" t="s">
        <v>1127</v>
      </c>
      <c r="I163" s="19"/>
      <c r="J163" s="19" t="s">
        <v>1114</v>
      </c>
      <c r="K163" s="19"/>
      <c r="L163" s="24" t="s">
        <v>50</v>
      </c>
      <c r="M163" s="19" t="s">
        <v>1128</v>
      </c>
      <c r="N163" s="36">
        <v>44652</v>
      </c>
      <c r="O163" s="37">
        <v>254545</v>
      </c>
      <c r="P163" s="19">
        <v>3</v>
      </c>
      <c r="Q163" s="40">
        <f t="shared" si="4"/>
        <v>763635</v>
      </c>
      <c r="R163" s="40">
        <v>275000</v>
      </c>
      <c r="S163" s="40">
        <f t="shared" si="5"/>
        <v>825000</v>
      </c>
    </row>
    <row r="164" spans="1:19">
      <c r="A164" s="17"/>
      <c r="B164" s="18">
        <v>287</v>
      </c>
      <c r="C164" s="19" t="s">
        <v>1129</v>
      </c>
      <c r="D164" s="20" t="s">
        <v>1120</v>
      </c>
      <c r="E164" s="21" t="s">
        <v>9</v>
      </c>
      <c r="F164" s="22" t="s">
        <v>1692</v>
      </c>
      <c r="G164" s="23" t="s">
        <v>1693</v>
      </c>
      <c r="H164" s="24" t="s">
        <v>1130</v>
      </c>
      <c r="I164" s="19"/>
      <c r="J164" s="19" t="s">
        <v>1114</v>
      </c>
      <c r="K164" s="19"/>
      <c r="L164" s="24" t="s">
        <v>50</v>
      </c>
      <c r="M164" s="19" t="s">
        <v>1131</v>
      </c>
      <c r="N164" s="36">
        <v>44652</v>
      </c>
      <c r="O164" s="37">
        <v>254545</v>
      </c>
      <c r="P164" s="19">
        <v>2</v>
      </c>
      <c r="Q164" s="40">
        <f t="shared" si="4"/>
        <v>509090</v>
      </c>
      <c r="R164" s="40">
        <v>275000</v>
      </c>
      <c r="S164" s="40">
        <f t="shared" si="5"/>
        <v>550000</v>
      </c>
    </row>
    <row r="165" spans="1:19">
      <c r="A165" s="17"/>
      <c r="B165" s="18">
        <v>288</v>
      </c>
      <c r="C165" s="19" t="s">
        <v>1132</v>
      </c>
      <c r="D165" s="20" t="s">
        <v>1120</v>
      </c>
      <c r="E165" s="21" t="s">
        <v>9</v>
      </c>
      <c r="F165" s="22" t="s">
        <v>1692</v>
      </c>
      <c r="G165" s="23" t="s">
        <v>1693</v>
      </c>
      <c r="H165" s="24" t="s">
        <v>1133</v>
      </c>
      <c r="I165" s="19"/>
      <c r="J165" s="19" t="s">
        <v>1114</v>
      </c>
      <c r="K165" s="19"/>
      <c r="L165" s="24" t="s">
        <v>50</v>
      </c>
      <c r="M165" s="19" t="s">
        <v>1134</v>
      </c>
      <c r="N165" s="36">
        <v>44652</v>
      </c>
      <c r="O165" s="37">
        <v>254545</v>
      </c>
      <c r="P165" s="19">
        <v>4</v>
      </c>
      <c r="Q165" s="40">
        <f t="shared" si="4"/>
        <v>1018180</v>
      </c>
      <c r="R165" s="40">
        <v>275000</v>
      </c>
      <c r="S165" s="40">
        <f t="shared" si="5"/>
        <v>1100000</v>
      </c>
    </row>
    <row r="166" spans="1:19">
      <c r="A166" s="17"/>
      <c r="B166" s="18">
        <v>289</v>
      </c>
      <c r="C166" s="19" t="s">
        <v>1135</v>
      </c>
      <c r="D166" s="20" t="s">
        <v>1120</v>
      </c>
      <c r="E166" s="21" t="s">
        <v>9</v>
      </c>
      <c r="F166" s="22" t="s">
        <v>1692</v>
      </c>
      <c r="G166" s="23" t="s">
        <v>1693</v>
      </c>
      <c r="H166" s="24" t="s">
        <v>1136</v>
      </c>
      <c r="I166" s="19"/>
      <c r="J166" s="19" t="s">
        <v>1114</v>
      </c>
      <c r="K166" s="19"/>
      <c r="L166" s="24" t="s">
        <v>50</v>
      </c>
      <c r="M166" s="19" t="s">
        <v>1137</v>
      </c>
      <c r="N166" s="36">
        <v>44652</v>
      </c>
      <c r="O166" s="37">
        <v>254545</v>
      </c>
      <c r="P166" s="19">
        <v>4</v>
      </c>
      <c r="Q166" s="40">
        <f t="shared" si="4"/>
        <v>1018180</v>
      </c>
      <c r="R166" s="40">
        <v>275000</v>
      </c>
      <c r="S166" s="40">
        <f t="shared" si="5"/>
        <v>1100000</v>
      </c>
    </row>
    <row r="167" spans="1:19">
      <c r="A167" s="17"/>
      <c r="B167" s="18">
        <v>290</v>
      </c>
      <c r="C167" s="19" t="s">
        <v>1138</v>
      </c>
      <c r="D167" s="20" t="s">
        <v>1139</v>
      </c>
      <c r="E167" s="21" t="s">
        <v>9</v>
      </c>
      <c r="F167" s="22" t="s">
        <v>1692</v>
      </c>
      <c r="G167" s="23" t="s">
        <v>1693</v>
      </c>
      <c r="H167" s="24" t="s">
        <v>1140</v>
      </c>
      <c r="I167" s="19"/>
      <c r="J167" s="19" t="s">
        <v>1141</v>
      </c>
      <c r="K167" s="19"/>
      <c r="L167" s="24" t="s">
        <v>50</v>
      </c>
      <c r="M167" s="19" t="s">
        <v>1142</v>
      </c>
      <c r="N167" s="36">
        <v>44657</v>
      </c>
      <c r="O167" s="37">
        <v>254545</v>
      </c>
      <c r="P167" s="19">
        <v>4</v>
      </c>
      <c r="Q167" s="40">
        <f t="shared" si="4"/>
        <v>1018180</v>
      </c>
      <c r="R167" s="40">
        <v>275000</v>
      </c>
      <c r="S167" s="40">
        <f t="shared" si="5"/>
        <v>1100000</v>
      </c>
    </row>
    <row r="168" spans="1:19">
      <c r="A168" s="17"/>
      <c r="B168" s="18">
        <v>291</v>
      </c>
      <c r="C168" s="19" t="s">
        <v>1143</v>
      </c>
      <c r="D168" s="20" t="s">
        <v>1139</v>
      </c>
      <c r="E168" s="21" t="s">
        <v>9</v>
      </c>
      <c r="F168" s="22" t="s">
        <v>1692</v>
      </c>
      <c r="G168" s="23" t="s">
        <v>1693</v>
      </c>
      <c r="H168" s="24" t="s">
        <v>1144</v>
      </c>
      <c r="I168" s="19"/>
      <c r="J168" s="19" t="s">
        <v>1141</v>
      </c>
      <c r="K168" s="19"/>
      <c r="L168" s="24" t="s">
        <v>50</v>
      </c>
      <c r="M168" s="19" t="s">
        <v>1145</v>
      </c>
      <c r="N168" s="36">
        <v>44657</v>
      </c>
      <c r="O168" s="37">
        <v>254545</v>
      </c>
      <c r="P168" s="19">
        <v>2</v>
      </c>
      <c r="Q168" s="40">
        <f t="shared" si="4"/>
        <v>509090</v>
      </c>
      <c r="R168" s="40">
        <v>275000</v>
      </c>
      <c r="S168" s="40">
        <f t="shared" si="5"/>
        <v>550000</v>
      </c>
    </row>
    <row r="169" spans="1:19">
      <c r="A169" s="17"/>
      <c r="B169" s="18">
        <v>292</v>
      </c>
      <c r="C169" s="19" t="s">
        <v>1146</v>
      </c>
      <c r="D169" s="20" t="s">
        <v>1139</v>
      </c>
      <c r="E169" s="21" t="s">
        <v>9</v>
      </c>
      <c r="F169" s="22" t="s">
        <v>1692</v>
      </c>
      <c r="G169" s="23" t="s">
        <v>1693</v>
      </c>
      <c r="H169" s="24" t="s">
        <v>1147</v>
      </c>
      <c r="I169" s="19"/>
      <c r="J169" s="19" t="s">
        <v>1141</v>
      </c>
      <c r="K169" s="19"/>
      <c r="L169" s="24" t="s">
        <v>50</v>
      </c>
      <c r="M169" s="19" t="s">
        <v>1148</v>
      </c>
      <c r="N169" s="36">
        <v>44657</v>
      </c>
      <c r="O169" s="37">
        <v>254545</v>
      </c>
      <c r="P169" s="19">
        <v>12</v>
      </c>
      <c r="Q169" s="40">
        <f t="shared" si="4"/>
        <v>3054540</v>
      </c>
      <c r="R169" s="40">
        <v>275000</v>
      </c>
      <c r="S169" s="40">
        <f t="shared" si="5"/>
        <v>3300000</v>
      </c>
    </row>
    <row r="170" spans="1:19">
      <c r="A170" s="17"/>
      <c r="B170" s="18">
        <v>293</v>
      </c>
      <c r="C170" s="19" t="s">
        <v>1149</v>
      </c>
      <c r="D170" s="20" t="s">
        <v>1139</v>
      </c>
      <c r="E170" s="21" t="s">
        <v>9</v>
      </c>
      <c r="F170" s="22" t="s">
        <v>1692</v>
      </c>
      <c r="G170" s="23" t="s">
        <v>1693</v>
      </c>
      <c r="H170" s="24" t="s">
        <v>1150</v>
      </c>
      <c r="I170" s="19"/>
      <c r="J170" s="19" t="s">
        <v>1141</v>
      </c>
      <c r="K170" s="19"/>
      <c r="L170" s="24" t="s">
        <v>50</v>
      </c>
      <c r="M170" s="19" t="s">
        <v>1151</v>
      </c>
      <c r="N170" s="36">
        <v>44657</v>
      </c>
      <c r="O170" s="37">
        <v>254545</v>
      </c>
      <c r="P170" s="19">
        <v>3</v>
      </c>
      <c r="Q170" s="40">
        <f t="shared" si="4"/>
        <v>763635</v>
      </c>
      <c r="R170" s="40">
        <v>275000</v>
      </c>
      <c r="S170" s="40">
        <f t="shared" si="5"/>
        <v>825000</v>
      </c>
    </row>
    <row r="171" spans="1:19">
      <c r="A171" s="17"/>
      <c r="B171" s="18">
        <v>294</v>
      </c>
      <c r="C171" s="19" t="s">
        <v>1152</v>
      </c>
      <c r="D171" s="20" t="s">
        <v>1139</v>
      </c>
      <c r="E171" s="21" t="s">
        <v>9</v>
      </c>
      <c r="F171" s="22" t="s">
        <v>1692</v>
      </c>
      <c r="G171" s="23" t="s">
        <v>1693</v>
      </c>
      <c r="H171" s="24" t="s">
        <v>1153</v>
      </c>
      <c r="I171" s="19"/>
      <c r="J171" s="19" t="s">
        <v>1141</v>
      </c>
      <c r="K171" s="19"/>
      <c r="L171" s="24" t="s">
        <v>50</v>
      </c>
      <c r="M171" s="19" t="s">
        <v>1154</v>
      </c>
      <c r="N171" s="36">
        <v>44657</v>
      </c>
      <c r="O171" s="37">
        <v>254545</v>
      </c>
      <c r="P171" s="19">
        <v>8</v>
      </c>
      <c r="Q171" s="40">
        <f t="shared" si="4"/>
        <v>2036360</v>
      </c>
      <c r="R171" s="40">
        <v>275000</v>
      </c>
      <c r="S171" s="40">
        <f t="shared" si="5"/>
        <v>2200000</v>
      </c>
    </row>
    <row r="172" spans="1:19">
      <c r="A172" s="17"/>
      <c r="B172" s="18">
        <v>295</v>
      </c>
      <c r="C172" s="19" t="s">
        <v>1155</v>
      </c>
      <c r="D172" s="20" t="s">
        <v>1139</v>
      </c>
      <c r="E172" s="21" t="s">
        <v>9</v>
      </c>
      <c r="F172" s="22" t="s">
        <v>1692</v>
      </c>
      <c r="G172" s="23" t="s">
        <v>1693</v>
      </c>
      <c r="H172" s="24" t="s">
        <v>1156</v>
      </c>
      <c r="I172" s="19"/>
      <c r="J172" s="19" t="s">
        <v>1141</v>
      </c>
      <c r="K172" s="19"/>
      <c r="L172" s="24" t="s">
        <v>50</v>
      </c>
      <c r="M172" s="19" t="s">
        <v>1157</v>
      </c>
      <c r="N172" s="36">
        <v>44657</v>
      </c>
      <c r="O172" s="37">
        <v>254545</v>
      </c>
      <c r="P172" s="19">
        <v>1</v>
      </c>
      <c r="Q172" s="40">
        <f t="shared" si="4"/>
        <v>254545</v>
      </c>
      <c r="R172" s="40">
        <v>275000</v>
      </c>
      <c r="S172" s="40">
        <f t="shared" si="5"/>
        <v>275000</v>
      </c>
    </row>
    <row r="173" spans="1:19">
      <c r="A173" s="17"/>
      <c r="B173" s="18">
        <v>296</v>
      </c>
      <c r="C173" s="19" t="s">
        <v>1158</v>
      </c>
      <c r="D173" s="20" t="s">
        <v>1139</v>
      </c>
      <c r="E173" s="21" t="s">
        <v>9</v>
      </c>
      <c r="F173" s="22" t="s">
        <v>1692</v>
      </c>
      <c r="G173" s="23" t="s">
        <v>1693</v>
      </c>
      <c r="H173" s="24" t="s">
        <v>1159</v>
      </c>
      <c r="I173" s="19"/>
      <c r="J173" s="19" t="s">
        <v>1141</v>
      </c>
      <c r="K173" s="19"/>
      <c r="L173" s="24" t="s">
        <v>50</v>
      </c>
      <c r="M173" s="19" t="s">
        <v>1160</v>
      </c>
      <c r="N173" s="36">
        <v>44657</v>
      </c>
      <c r="O173" s="37">
        <v>254545</v>
      </c>
      <c r="P173" s="19">
        <v>1</v>
      </c>
      <c r="Q173" s="40">
        <f t="shared" si="4"/>
        <v>254545</v>
      </c>
      <c r="R173" s="40">
        <v>275000</v>
      </c>
      <c r="S173" s="40">
        <f t="shared" si="5"/>
        <v>275000</v>
      </c>
    </row>
    <row r="174" spans="1:19">
      <c r="A174" s="17"/>
      <c r="B174" s="18">
        <v>297</v>
      </c>
      <c r="C174" s="19" t="s">
        <v>1161</v>
      </c>
      <c r="D174" s="20" t="s">
        <v>1139</v>
      </c>
      <c r="E174" s="21" t="s">
        <v>9</v>
      </c>
      <c r="F174" s="22" t="s">
        <v>1692</v>
      </c>
      <c r="G174" s="23" t="s">
        <v>1693</v>
      </c>
      <c r="H174" s="24" t="s">
        <v>1162</v>
      </c>
      <c r="I174" s="19"/>
      <c r="J174" s="19" t="s">
        <v>1141</v>
      </c>
      <c r="K174" s="19"/>
      <c r="L174" s="24" t="s">
        <v>50</v>
      </c>
      <c r="M174" s="19" t="s">
        <v>1163</v>
      </c>
      <c r="N174" s="36">
        <v>44657</v>
      </c>
      <c r="O174" s="37">
        <v>254545</v>
      </c>
      <c r="P174" s="19">
        <v>1</v>
      </c>
      <c r="Q174" s="40">
        <f t="shared" si="4"/>
        <v>254545</v>
      </c>
      <c r="R174" s="40">
        <v>275000</v>
      </c>
      <c r="S174" s="40">
        <f t="shared" si="5"/>
        <v>275000</v>
      </c>
    </row>
    <row r="175" spans="1:19">
      <c r="A175" s="17"/>
      <c r="B175" s="18">
        <v>298</v>
      </c>
      <c r="C175" s="19" t="s">
        <v>1164</v>
      </c>
      <c r="D175" s="20" t="s">
        <v>1165</v>
      </c>
      <c r="E175" s="21" t="s">
        <v>11</v>
      </c>
      <c r="F175" s="22" t="s">
        <v>1696</v>
      </c>
      <c r="G175" s="32" t="s">
        <v>1697</v>
      </c>
      <c r="H175" s="24" t="s">
        <v>733</v>
      </c>
      <c r="I175" s="19"/>
      <c r="J175" s="19" t="s">
        <v>1166</v>
      </c>
      <c r="K175" s="19"/>
      <c r="L175" s="24" t="s">
        <v>85</v>
      </c>
      <c r="M175" s="19" t="s">
        <v>1167</v>
      </c>
      <c r="N175" s="36">
        <v>44657</v>
      </c>
      <c r="O175" s="37">
        <v>222727</v>
      </c>
      <c r="P175" s="19">
        <v>5</v>
      </c>
      <c r="Q175" s="40">
        <f t="shared" si="4"/>
        <v>1113635</v>
      </c>
      <c r="R175" s="40">
        <v>279091</v>
      </c>
      <c r="S175" s="40">
        <f t="shared" si="5"/>
        <v>1395455</v>
      </c>
    </row>
    <row r="176" spans="1:19">
      <c r="A176" s="17"/>
      <c r="B176" s="18">
        <v>299</v>
      </c>
      <c r="C176" s="19" t="s">
        <v>1168</v>
      </c>
      <c r="D176" s="20" t="s">
        <v>1169</v>
      </c>
      <c r="E176" s="21" t="s">
        <v>9</v>
      </c>
      <c r="F176" s="22" t="s">
        <v>1692</v>
      </c>
      <c r="G176" s="23" t="s">
        <v>1693</v>
      </c>
      <c r="H176" s="24" t="s">
        <v>1170</v>
      </c>
      <c r="I176" s="19"/>
      <c r="J176" s="19" t="s">
        <v>801</v>
      </c>
      <c r="K176" s="19"/>
      <c r="L176" s="24" t="s">
        <v>50</v>
      </c>
      <c r="M176" s="19" t="s">
        <v>1171</v>
      </c>
      <c r="N176" s="36">
        <v>44659</v>
      </c>
      <c r="O176" s="37">
        <v>254545</v>
      </c>
      <c r="P176" s="19">
        <v>4</v>
      </c>
      <c r="Q176" s="40">
        <f t="shared" si="4"/>
        <v>1018180</v>
      </c>
      <c r="R176" s="40">
        <v>275000</v>
      </c>
      <c r="S176" s="40">
        <f t="shared" si="5"/>
        <v>1100000</v>
      </c>
    </row>
    <row r="177" spans="1:19">
      <c r="A177" s="17"/>
      <c r="B177" s="18">
        <v>300</v>
      </c>
      <c r="C177" s="19" t="s">
        <v>1172</v>
      </c>
      <c r="D177" s="20" t="s">
        <v>1169</v>
      </c>
      <c r="E177" s="21" t="s">
        <v>9</v>
      </c>
      <c r="F177" s="22" t="s">
        <v>1692</v>
      </c>
      <c r="G177" s="23" t="s">
        <v>1693</v>
      </c>
      <c r="H177" s="24" t="s">
        <v>1173</v>
      </c>
      <c r="I177" s="19"/>
      <c r="J177" s="19" t="s">
        <v>801</v>
      </c>
      <c r="K177" s="19"/>
      <c r="L177" s="24" t="s">
        <v>50</v>
      </c>
      <c r="M177" s="19" t="s">
        <v>1174</v>
      </c>
      <c r="N177" s="36">
        <v>44659</v>
      </c>
      <c r="O177" s="37">
        <v>254545</v>
      </c>
      <c r="P177" s="19">
        <v>4</v>
      </c>
      <c r="Q177" s="40">
        <f t="shared" si="4"/>
        <v>1018180</v>
      </c>
      <c r="R177" s="40">
        <v>275000</v>
      </c>
      <c r="S177" s="40">
        <f t="shared" si="5"/>
        <v>1100000</v>
      </c>
    </row>
    <row r="178" spans="1:19">
      <c r="A178" s="17"/>
      <c r="B178" s="18">
        <v>301</v>
      </c>
      <c r="C178" s="19" t="s">
        <v>1175</v>
      </c>
      <c r="D178" s="20" t="s">
        <v>1169</v>
      </c>
      <c r="E178" s="21" t="s">
        <v>9</v>
      </c>
      <c r="F178" s="22" t="s">
        <v>1692</v>
      </c>
      <c r="G178" s="23" t="s">
        <v>1693</v>
      </c>
      <c r="H178" s="24" t="s">
        <v>1176</v>
      </c>
      <c r="I178" s="19"/>
      <c r="J178" s="19" t="s">
        <v>801</v>
      </c>
      <c r="K178" s="19"/>
      <c r="L178" s="24" t="s">
        <v>50</v>
      </c>
      <c r="M178" s="19" t="s">
        <v>1177</v>
      </c>
      <c r="N178" s="36">
        <v>44659</v>
      </c>
      <c r="O178" s="37">
        <v>254545</v>
      </c>
      <c r="P178" s="19">
        <v>8</v>
      </c>
      <c r="Q178" s="40">
        <f t="shared" si="4"/>
        <v>2036360</v>
      </c>
      <c r="R178" s="40">
        <v>275000</v>
      </c>
      <c r="S178" s="40">
        <f t="shared" si="5"/>
        <v>2200000</v>
      </c>
    </row>
    <row r="179" spans="1:19">
      <c r="A179" s="17"/>
      <c r="B179" s="18">
        <v>302</v>
      </c>
      <c r="C179" s="19" t="s">
        <v>1178</v>
      </c>
      <c r="D179" s="20" t="s">
        <v>1169</v>
      </c>
      <c r="E179" s="21" t="s">
        <v>9</v>
      </c>
      <c r="F179" s="22" t="s">
        <v>1692</v>
      </c>
      <c r="G179" s="23" t="s">
        <v>1693</v>
      </c>
      <c r="H179" s="24" t="s">
        <v>1179</v>
      </c>
      <c r="I179" s="19"/>
      <c r="J179" s="19" t="s">
        <v>801</v>
      </c>
      <c r="K179" s="19"/>
      <c r="L179" s="24" t="s">
        <v>50</v>
      </c>
      <c r="M179" s="19" t="s">
        <v>1180</v>
      </c>
      <c r="N179" s="36">
        <v>44659</v>
      </c>
      <c r="O179" s="37">
        <v>254545</v>
      </c>
      <c r="P179" s="19">
        <v>5</v>
      </c>
      <c r="Q179" s="40">
        <f t="shared" si="4"/>
        <v>1272725</v>
      </c>
      <c r="R179" s="40">
        <v>275000</v>
      </c>
      <c r="S179" s="40">
        <f t="shared" si="5"/>
        <v>1375000</v>
      </c>
    </row>
    <row r="180" spans="1:19">
      <c r="A180" s="17"/>
      <c r="B180" s="18">
        <v>303</v>
      </c>
      <c r="C180" s="19" t="s">
        <v>1181</v>
      </c>
      <c r="D180" s="20" t="s">
        <v>1169</v>
      </c>
      <c r="E180" s="21" t="s">
        <v>9</v>
      </c>
      <c r="F180" s="22" t="s">
        <v>1692</v>
      </c>
      <c r="G180" s="23" t="s">
        <v>1693</v>
      </c>
      <c r="H180" s="24" t="s">
        <v>1182</v>
      </c>
      <c r="I180" s="19"/>
      <c r="J180" s="19" t="s">
        <v>801</v>
      </c>
      <c r="K180" s="19"/>
      <c r="L180" s="24" t="s">
        <v>50</v>
      </c>
      <c r="M180" s="19" t="s">
        <v>1183</v>
      </c>
      <c r="N180" s="36">
        <v>44659</v>
      </c>
      <c r="O180" s="37">
        <v>254545</v>
      </c>
      <c r="P180" s="19">
        <v>4</v>
      </c>
      <c r="Q180" s="40">
        <f t="shared" si="4"/>
        <v>1018180</v>
      </c>
      <c r="R180" s="40">
        <v>275000</v>
      </c>
      <c r="S180" s="40">
        <f t="shared" si="5"/>
        <v>1100000</v>
      </c>
    </row>
    <row r="181" spans="1:19">
      <c r="A181" s="17"/>
      <c r="B181" s="18">
        <v>304</v>
      </c>
      <c r="C181" s="19" t="s">
        <v>1184</v>
      </c>
      <c r="D181" s="20" t="s">
        <v>1169</v>
      </c>
      <c r="E181" s="21" t="s">
        <v>9</v>
      </c>
      <c r="F181" s="22" t="s">
        <v>1692</v>
      </c>
      <c r="G181" s="23" t="s">
        <v>1693</v>
      </c>
      <c r="H181" s="24" t="s">
        <v>999</v>
      </c>
      <c r="I181" s="19"/>
      <c r="J181" s="19" t="s">
        <v>801</v>
      </c>
      <c r="K181" s="19"/>
      <c r="L181" s="24" t="s">
        <v>50</v>
      </c>
      <c r="M181" s="19" t="s">
        <v>1185</v>
      </c>
      <c r="N181" s="36">
        <v>44659</v>
      </c>
      <c r="O181" s="37">
        <v>254545</v>
      </c>
      <c r="P181" s="19">
        <v>1</v>
      </c>
      <c r="Q181" s="40">
        <f>O181*P181</f>
        <v>254545</v>
      </c>
      <c r="R181" s="40">
        <v>275000</v>
      </c>
      <c r="S181" s="40">
        <f t="shared" si="5"/>
        <v>275000</v>
      </c>
    </row>
    <row r="182" spans="1:19">
      <c r="A182" s="17"/>
      <c r="B182" s="18">
        <v>305</v>
      </c>
      <c r="C182" s="19" t="s">
        <v>1186</v>
      </c>
      <c r="D182" s="20" t="s">
        <v>1187</v>
      </c>
      <c r="E182" s="21" t="s">
        <v>11</v>
      </c>
      <c r="F182" s="22" t="s">
        <v>1696</v>
      </c>
      <c r="G182" s="32" t="s">
        <v>1697</v>
      </c>
      <c r="H182" s="24" t="s">
        <v>1188</v>
      </c>
      <c r="I182" s="19"/>
      <c r="J182" s="19" t="s">
        <v>801</v>
      </c>
      <c r="K182" s="19"/>
      <c r="L182" s="24" t="s">
        <v>50</v>
      </c>
      <c r="M182" s="19" t="s">
        <v>1189</v>
      </c>
      <c r="N182" s="36">
        <v>44662</v>
      </c>
      <c r="O182" s="37">
        <v>444545</v>
      </c>
      <c r="P182" s="19">
        <v>2</v>
      </c>
      <c r="Q182" s="40">
        <f t="shared" ref="Q182:Q208" si="6">O182*P182</f>
        <v>889090</v>
      </c>
      <c r="R182" s="40">
        <v>556363.63</v>
      </c>
      <c r="S182" s="40">
        <f t="shared" si="5"/>
        <v>1112727.26</v>
      </c>
    </row>
    <row r="183" spans="1:19">
      <c r="A183" s="17"/>
      <c r="B183" s="18">
        <v>306</v>
      </c>
      <c r="C183" s="19" t="s">
        <v>1186</v>
      </c>
      <c r="D183" s="20" t="s">
        <v>1187</v>
      </c>
      <c r="E183" s="21" t="s">
        <v>11</v>
      </c>
      <c r="F183" s="22" t="s">
        <v>1696</v>
      </c>
      <c r="G183" s="32" t="s">
        <v>1697</v>
      </c>
      <c r="H183" s="24" t="s">
        <v>1188</v>
      </c>
      <c r="I183" s="19"/>
      <c r="J183" s="19" t="s">
        <v>1190</v>
      </c>
      <c r="K183" s="19"/>
      <c r="L183" s="24" t="s">
        <v>50</v>
      </c>
      <c r="M183" s="19" t="s">
        <v>1191</v>
      </c>
      <c r="N183" s="36">
        <v>44662</v>
      </c>
      <c r="O183" s="37">
        <v>444545</v>
      </c>
      <c r="P183" s="19">
        <v>5</v>
      </c>
      <c r="Q183" s="40">
        <f t="shared" si="6"/>
        <v>2222725</v>
      </c>
      <c r="R183" s="40">
        <v>556363.63</v>
      </c>
      <c r="S183" s="40">
        <f t="shared" si="5"/>
        <v>2781818.15</v>
      </c>
    </row>
    <row r="184" spans="1:19">
      <c r="A184" s="17"/>
      <c r="B184" s="18">
        <v>307</v>
      </c>
      <c r="C184" s="19" t="s">
        <v>1186</v>
      </c>
      <c r="D184" s="20" t="s">
        <v>1187</v>
      </c>
      <c r="E184" s="21" t="s">
        <v>11</v>
      </c>
      <c r="F184" s="22" t="s">
        <v>1696</v>
      </c>
      <c r="G184" s="32" t="s">
        <v>1697</v>
      </c>
      <c r="H184" s="24" t="s">
        <v>1188</v>
      </c>
      <c r="I184" s="19"/>
      <c r="J184" s="19" t="s">
        <v>1192</v>
      </c>
      <c r="K184" s="19"/>
      <c r="L184" s="24" t="s">
        <v>50</v>
      </c>
      <c r="M184" s="19" t="s">
        <v>1193</v>
      </c>
      <c r="N184" s="36">
        <v>44662</v>
      </c>
      <c r="O184" s="37">
        <v>444545</v>
      </c>
      <c r="P184" s="19">
        <v>5</v>
      </c>
      <c r="Q184" s="40">
        <f t="shared" si="6"/>
        <v>2222725</v>
      </c>
      <c r="R184" s="40">
        <v>556363.63</v>
      </c>
      <c r="S184" s="40">
        <f t="shared" si="5"/>
        <v>2781818.15</v>
      </c>
    </row>
    <row r="185" spans="1:19">
      <c r="A185" s="17"/>
      <c r="B185" s="18">
        <v>308</v>
      </c>
      <c r="C185" s="19" t="s">
        <v>1194</v>
      </c>
      <c r="D185" s="20" t="s">
        <v>1195</v>
      </c>
      <c r="E185" s="21" t="s">
        <v>9</v>
      </c>
      <c r="F185" s="22" t="s">
        <v>1692</v>
      </c>
      <c r="G185" s="23" t="s">
        <v>1693</v>
      </c>
      <c r="H185" s="24" t="s">
        <v>1196</v>
      </c>
      <c r="I185" s="19"/>
      <c r="J185" s="19" t="s">
        <v>1197</v>
      </c>
      <c r="K185" s="19"/>
      <c r="L185" s="24" t="s">
        <v>50</v>
      </c>
      <c r="M185" s="19" t="s">
        <v>1198</v>
      </c>
      <c r="N185" s="36">
        <v>44663</v>
      </c>
      <c r="O185" s="37">
        <v>254545</v>
      </c>
      <c r="P185" s="19">
        <v>1</v>
      </c>
      <c r="Q185" s="40">
        <f t="shared" si="6"/>
        <v>254545</v>
      </c>
      <c r="R185" s="40">
        <v>275000</v>
      </c>
      <c r="S185" s="40">
        <f t="shared" si="5"/>
        <v>275000</v>
      </c>
    </row>
    <row r="186" spans="1:19">
      <c r="A186" s="17"/>
      <c r="B186" s="18">
        <v>309</v>
      </c>
      <c r="C186" s="19" t="s">
        <v>1199</v>
      </c>
      <c r="D186" s="20" t="s">
        <v>1195</v>
      </c>
      <c r="E186" s="21" t="s">
        <v>9</v>
      </c>
      <c r="F186" s="22" t="s">
        <v>1692</v>
      </c>
      <c r="G186" s="23" t="s">
        <v>1693</v>
      </c>
      <c r="H186" s="24" t="s">
        <v>1063</v>
      </c>
      <c r="I186" s="19"/>
      <c r="J186" s="19" t="s">
        <v>1197</v>
      </c>
      <c r="K186" s="19"/>
      <c r="L186" s="24" t="s">
        <v>50</v>
      </c>
      <c r="M186" s="19" t="s">
        <v>1200</v>
      </c>
      <c r="N186" s="36">
        <v>44663</v>
      </c>
      <c r="O186" s="37">
        <v>254545</v>
      </c>
      <c r="P186" s="19">
        <v>1</v>
      </c>
      <c r="Q186" s="40">
        <f t="shared" si="6"/>
        <v>254545</v>
      </c>
      <c r="R186" s="40">
        <v>275000</v>
      </c>
      <c r="S186" s="40">
        <f t="shared" si="5"/>
        <v>275000</v>
      </c>
    </row>
    <row r="187" spans="1:19">
      <c r="A187" s="17"/>
      <c r="B187" s="18">
        <v>310</v>
      </c>
      <c r="C187" s="19" t="s">
        <v>1201</v>
      </c>
      <c r="D187" s="20" t="s">
        <v>1202</v>
      </c>
      <c r="E187" s="21" t="s">
        <v>9</v>
      </c>
      <c r="F187" s="22" t="s">
        <v>1692</v>
      </c>
      <c r="G187" s="23" t="s">
        <v>1693</v>
      </c>
      <c r="H187" s="24" t="s">
        <v>1203</v>
      </c>
      <c r="I187" s="19"/>
      <c r="J187" s="19" t="s">
        <v>1204</v>
      </c>
      <c r="K187" s="19"/>
      <c r="L187" s="24" t="s">
        <v>50</v>
      </c>
      <c r="M187" s="19" t="s">
        <v>1205</v>
      </c>
      <c r="N187" s="36">
        <v>44669</v>
      </c>
      <c r="O187" s="37">
        <v>254545</v>
      </c>
      <c r="P187" s="19">
        <v>1</v>
      </c>
      <c r="Q187" s="40">
        <f t="shared" si="6"/>
        <v>254545</v>
      </c>
      <c r="R187" s="40">
        <v>275000</v>
      </c>
      <c r="S187" s="40">
        <f t="shared" si="5"/>
        <v>275000</v>
      </c>
    </row>
    <row r="188" spans="1:19">
      <c r="A188" s="17"/>
      <c r="B188" s="18">
        <v>311</v>
      </c>
      <c r="C188" s="19" t="s">
        <v>1206</v>
      </c>
      <c r="D188" s="20" t="s">
        <v>1202</v>
      </c>
      <c r="E188" s="21" t="s">
        <v>9</v>
      </c>
      <c r="F188" s="22" t="s">
        <v>1692</v>
      </c>
      <c r="G188" s="23" t="s">
        <v>1693</v>
      </c>
      <c r="H188" s="24" t="s">
        <v>1207</v>
      </c>
      <c r="I188" s="19"/>
      <c r="J188" s="19" t="s">
        <v>1204</v>
      </c>
      <c r="K188" s="19"/>
      <c r="L188" s="24" t="s">
        <v>50</v>
      </c>
      <c r="M188" s="19" t="s">
        <v>1208</v>
      </c>
      <c r="N188" s="36">
        <v>44669</v>
      </c>
      <c r="O188" s="37">
        <v>254545</v>
      </c>
      <c r="P188" s="19">
        <v>9</v>
      </c>
      <c r="Q188" s="40">
        <f t="shared" si="6"/>
        <v>2290905</v>
      </c>
      <c r="R188" s="40">
        <v>275000</v>
      </c>
      <c r="S188" s="40">
        <f t="shared" si="5"/>
        <v>2475000</v>
      </c>
    </row>
    <row r="189" spans="1:19">
      <c r="A189" s="17"/>
      <c r="B189" s="18">
        <v>312</v>
      </c>
      <c r="C189" s="19" t="s">
        <v>1209</v>
      </c>
      <c r="D189" s="20" t="s">
        <v>1202</v>
      </c>
      <c r="E189" s="21" t="s">
        <v>9</v>
      </c>
      <c r="F189" s="22" t="s">
        <v>1692</v>
      </c>
      <c r="G189" s="23" t="s">
        <v>1693</v>
      </c>
      <c r="H189" s="24" t="s">
        <v>1210</v>
      </c>
      <c r="I189" s="19"/>
      <c r="J189" s="19" t="s">
        <v>1204</v>
      </c>
      <c r="K189" s="19"/>
      <c r="L189" s="24" t="s">
        <v>50</v>
      </c>
      <c r="M189" s="19" t="s">
        <v>1211</v>
      </c>
      <c r="N189" s="36">
        <v>44669</v>
      </c>
      <c r="O189" s="37">
        <v>254545</v>
      </c>
      <c r="P189" s="19">
        <v>2</v>
      </c>
      <c r="Q189" s="40">
        <f t="shared" si="6"/>
        <v>509090</v>
      </c>
      <c r="R189" s="40">
        <v>275000</v>
      </c>
      <c r="S189" s="40">
        <f t="shared" si="5"/>
        <v>550000</v>
      </c>
    </row>
    <row r="190" spans="1:19">
      <c r="A190" s="17"/>
      <c r="B190" s="18">
        <v>313</v>
      </c>
      <c r="C190" s="19" t="s">
        <v>1212</v>
      </c>
      <c r="D190" s="20" t="s">
        <v>1213</v>
      </c>
      <c r="E190" s="21" t="s">
        <v>9</v>
      </c>
      <c r="F190" s="22" t="s">
        <v>1692</v>
      </c>
      <c r="G190" s="23" t="s">
        <v>1693</v>
      </c>
      <c r="H190" s="24" t="s">
        <v>1214</v>
      </c>
      <c r="I190" s="19"/>
      <c r="J190" s="19" t="s">
        <v>1215</v>
      </c>
      <c r="K190" s="19"/>
      <c r="L190" s="24" t="s">
        <v>50</v>
      </c>
      <c r="M190" s="19" t="s">
        <v>1216</v>
      </c>
      <c r="N190" s="36">
        <v>44676</v>
      </c>
      <c r="O190" s="37">
        <v>254545</v>
      </c>
      <c r="P190" s="19">
        <v>2</v>
      </c>
      <c r="Q190" s="40">
        <f t="shared" si="6"/>
        <v>509090</v>
      </c>
      <c r="R190" s="40">
        <v>275000</v>
      </c>
      <c r="S190" s="40">
        <f t="shared" si="5"/>
        <v>550000</v>
      </c>
    </row>
    <row r="191" spans="1:19">
      <c r="A191" s="17"/>
      <c r="B191" s="18">
        <v>314</v>
      </c>
      <c r="C191" s="19" t="s">
        <v>1217</v>
      </c>
      <c r="D191" s="20" t="s">
        <v>1213</v>
      </c>
      <c r="E191" s="21" t="s">
        <v>9</v>
      </c>
      <c r="F191" s="22" t="s">
        <v>1692</v>
      </c>
      <c r="G191" s="23" t="s">
        <v>1693</v>
      </c>
      <c r="H191" s="24" t="s">
        <v>1218</v>
      </c>
      <c r="I191" s="19"/>
      <c r="J191" s="19" t="s">
        <v>1215</v>
      </c>
      <c r="K191" s="19"/>
      <c r="L191" s="24" t="s">
        <v>50</v>
      </c>
      <c r="M191" s="19" t="s">
        <v>1219</v>
      </c>
      <c r="N191" s="36">
        <v>44676</v>
      </c>
      <c r="O191" s="37">
        <v>254545</v>
      </c>
      <c r="P191" s="19">
        <v>2</v>
      </c>
      <c r="Q191" s="40">
        <f t="shared" si="6"/>
        <v>509090</v>
      </c>
      <c r="R191" s="40">
        <v>275000</v>
      </c>
      <c r="S191" s="40">
        <f t="shared" si="5"/>
        <v>550000</v>
      </c>
    </row>
    <row r="192" spans="1:19">
      <c r="A192" s="17"/>
      <c r="B192" s="18">
        <v>315</v>
      </c>
      <c r="C192" s="19" t="s">
        <v>1220</v>
      </c>
      <c r="D192" s="20" t="s">
        <v>1213</v>
      </c>
      <c r="E192" s="21" t="s">
        <v>9</v>
      </c>
      <c r="F192" s="22" t="s">
        <v>1692</v>
      </c>
      <c r="G192" s="23" t="s">
        <v>1693</v>
      </c>
      <c r="H192" s="24" t="s">
        <v>445</v>
      </c>
      <c r="I192" s="19"/>
      <c r="J192" s="19" t="s">
        <v>1221</v>
      </c>
      <c r="K192" s="19"/>
      <c r="L192" s="24" t="s">
        <v>50</v>
      </c>
      <c r="M192" s="19" t="s">
        <v>1222</v>
      </c>
      <c r="N192" s="36">
        <v>44676</v>
      </c>
      <c r="O192" s="37">
        <v>254545</v>
      </c>
      <c r="P192" s="19">
        <v>1</v>
      </c>
      <c r="Q192" s="40">
        <f t="shared" si="6"/>
        <v>254545</v>
      </c>
      <c r="R192" s="40">
        <v>275000</v>
      </c>
      <c r="S192" s="40">
        <f t="shared" si="5"/>
        <v>275000</v>
      </c>
    </row>
    <row r="193" spans="1:19">
      <c r="A193" s="17"/>
      <c r="B193" s="18">
        <v>316</v>
      </c>
      <c r="C193" s="25" t="s">
        <v>1223</v>
      </c>
      <c r="D193" s="26" t="s">
        <v>1224</v>
      </c>
      <c r="E193" s="27" t="s">
        <v>9</v>
      </c>
      <c r="F193" s="28" t="s">
        <v>1692</v>
      </c>
      <c r="G193" s="29" t="s">
        <v>1693</v>
      </c>
      <c r="H193" s="30" t="s">
        <v>665</v>
      </c>
      <c r="I193" s="25"/>
      <c r="J193" s="25" t="s">
        <v>1225</v>
      </c>
      <c r="K193" s="25"/>
      <c r="L193" s="30" t="s">
        <v>50</v>
      </c>
      <c r="M193" s="25" t="s">
        <v>1226</v>
      </c>
      <c r="N193" s="38">
        <v>44690</v>
      </c>
      <c r="O193" s="39">
        <v>254545</v>
      </c>
      <c r="P193" s="25">
        <v>2</v>
      </c>
      <c r="Q193" s="41">
        <f t="shared" si="6"/>
        <v>509090</v>
      </c>
      <c r="R193" s="41">
        <v>275000</v>
      </c>
      <c r="S193" s="41">
        <f t="shared" si="5"/>
        <v>550000</v>
      </c>
    </row>
    <row r="194" spans="1:19">
      <c r="A194" s="17"/>
      <c r="B194" s="18">
        <v>317</v>
      </c>
      <c r="C194" s="25" t="s">
        <v>1227</v>
      </c>
      <c r="D194" s="26" t="s">
        <v>1224</v>
      </c>
      <c r="E194" s="27" t="s">
        <v>9</v>
      </c>
      <c r="F194" s="28" t="s">
        <v>1692</v>
      </c>
      <c r="G194" s="29" t="s">
        <v>1693</v>
      </c>
      <c r="H194" s="30" t="s">
        <v>1228</v>
      </c>
      <c r="I194" s="25"/>
      <c r="J194" s="25" t="s">
        <v>1225</v>
      </c>
      <c r="K194" s="25"/>
      <c r="L194" s="30" t="s">
        <v>50</v>
      </c>
      <c r="M194" s="25" t="s">
        <v>1229</v>
      </c>
      <c r="N194" s="38">
        <v>44690</v>
      </c>
      <c r="O194" s="39">
        <v>254545</v>
      </c>
      <c r="P194" s="25">
        <v>3</v>
      </c>
      <c r="Q194" s="41">
        <f t="shared" si="6"/>
        <v>763635</v>
      </c>
      <c r="R194" s="41">
        <v>275000</v>
      </c>
      <c r="S194" s="41">
        <f t="shared" si="5"/>
        <v>825000</v>
      </c>
    </row>
    <row r="195" spans="1:19">
      <c r="A195" s="17"/>
      <c r="B195" s="18">
        <v>318</v>
      </c>
      <c r="C195" s="25" t="s">
        <v>1230</v>
      </c>
      <c r="D195" s="26" t="s">
        <v>1231</v>
      </c>
      <c r="E195" s="27" t="s">
        <v>11</v>
      </c>
      <c r="F195" s="28" t="s">
        <v>1696</v>
      </c>
      <c r="G195" s="31" t="s">
        <v>1697</v>
      </c>
      <c r="H195" s="30" t="s">
        <v>6</v>
      </c>
      <c r="I195" s="25"/>
      <c r="J195" s="25" t="s">
        <v>1232</v>
      </c>
      <c r="K195" s="25"/>
      <c r="L195" s="30" t="s">
        <v>50</v>
      </c>
      <c r="M195" s="25" t="s">
        <v>1233</v>
      </c>
      <c r="N195" s="38">
        <v>44690</v>
      </c>
      <c r="O195" s="39">
        <v>184875</v>
      </c>
      <c r="P195" s="25">
        <v>3</v>
      </c>
      <c r="Q195" s="41">
        <f t="shared" si="6"/>
        <v>554625</v>
      </c>
      <c r="R195" s="41">
        <v>201682</v>
      </c>
      <c r="S195" s="41">
        <f t="shared" si="5"/>
        <v>605046</v>
      </c>
    </row>
    <row r="196" spans="1:19">
      <c r="A196" s="17"/>
      <c r="B196" s="18">
        <v>319</v>
      </c>
      <c r="C196" s="25" t="s">
        <v>1234</v>
      </c>
      <c r="D196" s="26" t="s">
        <v>1235</v>
      </c>
      <c r="E196" s="27" t="s">
        <v>9</v>
      </c>
      <c r="F196" s="28" t="s">
        <v>1692</v>
      </c>
      <c r="G196" s="29" t="s">
        <v>1693</v>
      </c>
      <c r="H196" s="30" t="s">
        <v>1047</v>
      </c>
      <c r="I196" s="25"/>
      <c r="J196" s="25" t="s">
        <v>1236</v>
      </c>
      <c r="K196" s="25"/>
      <c r="L196" s="30" t="s">
        <v>50</v>
      </c>
      <c r="M196" s="25" t="s">
        <v>1237</v>
      </c>
      <c r="N196" s="38">
        <v>44690</v>
      </c>
      <c r="O196" s="39">
        <v>254545</v>
      </c>
      <c r="P196" s="25">
        <v>1</v>
      </c>
      <c r="Q196" s="41">
        <f t="shared" si="6"/>
        <v>254545</v>
      </c>
      <c r="R196" s="41">
        <v>275000</v>
      </c>
      <c r="S196" s="41">
        <f t="shared" si="5"/>
        <v>275000</v>
      </c>
    </row>
    <row r="197" spans="1:19">
      <c r="A197" s="17"/>
      <c r="B197" s="18">
        <v>320</v>
      </c>
      <c r="C197" s="25" t="s">
        <v>1238</v>
      </c>
      <c r="D197" s="26" t="s">
        <v>1235</v>
      </c>
      <c r="E197" s="27" t="s">
        <v>9</v>
      </c>
      <c r="F197" s="28" t="s">
        <v>1692</v>
      </c>
      <c r="G197" s="29" t="s">
        <v>1693</v>
      </c>
      <c r="H197" s="30" t="s">
        <v>1173</v>
      </c>
      <c r="I197" s="25"/>
      <c r="J197" s="25" t="s">
        <v>1236</v>
      </c>
      <c r="K197" s="25"/>
      <c r="L197" s="30" t="s">
        <v>50</v>
      </c>
      <c r="M197" s="25" t="s">
        <v>1239</v>
      </c>
      <c r="N197" s="38">
        <v>44690</v>
      </c>
      <c r="O197" s="39">
        <v>254545</v>
      </c>
      <c r="P197" s="25">
        <v>2</v>
      </c>
      <c r="Q197" s="41">
        <f t="shared" si="6"/>
        <v>509090</v>
      </c>
      <c r="R197" s="41">
        <v>275000</v>
      </c>
      <c r="S197" s="41">
        <f t="shared" si="5"/>
        <v>550000</v>
      </c>
    </row>
    <row r="198" spans="1:19">
      <c r="A198" s="17"/>
      <c r="B198" s="18">
        <v>321</v>
      </c>
      <c r="C198" s="25" t="s">
        <v>1240</v>
      </c>
      <c r="D198" s="26" t="s">
        <v>1241</v>
      </c>
      <c r="E198" s="27" t="s">
        <v>9</v>
      </c>
      <c r="F198" s="28" t="s">
        <v>1692</v>
      </c>
      <c r="G198" s="29" t="s">
        <v>1693</v>
      </c>
      <c r="H198" s="30" t="s">
        <v>1242</v>
      </c>
      <c r="I198" s="25"/>
      <c r="J198" s="25" t="s">
        <v>1243</v>
      </c>
      <c r="K198" s="25"/>
      <c r="L198" s="30" t="s">
        <v>50</v>
      </c>
      <c r="M198" s="25" t="s">
        <v>1244</v>
      </c>
      <c r="N198" s="38">
        <v>44693</v>
      </c>
      <c r="O198" s="39">
        <v>254545</v>
      </c>
      <c r="P198" s="25">
        <v>1</v>
      </c>
      <c r="Q198" s="41">
        <f t="shared" si="6"/>
        <v>254545</v>
      </c>
      <c r="R198" s="41">
        <v>275000</v>
      </c>
      <c r="S198" s="41">
        <f t="shared" si="5"/>
        <v>275000</v>
      </c>
    </row>
    <row r="199" spans="1:19">
      <c r="A199" s="17"/>
      <c r="B199" s="18">
        <v>322</v>
      </c>
      <c r="C199" s="25" t="s">
        <v>1245</v>
      </c>
      <c r="D199" s="26" t="s">
        <v>1241</v>
      </c>
      <c r="E199" s="27" t="s">
        <v>9</v>
      </c>
      <c r="F199" s="28" t="s">
        <v>1692</v>
      </c>
      <c r="G199" s="29" t="s">
        <v>1693</v>
      </c>
      <c r="H199" s="30" t="s">
        <v>1246</v>
      </c>
      <c r="I199" s="25"/>
      <c r="J199" s="25" t="s">
        <v>1247</v>
      </c>
      <c r="K199" s="25"/>
      <c r="L199" s="30" t="s">
        <v>50</v>
      </c>
      <c r="M199" s="25" t="s">
        <v>1248</v>
      </c>
      <c r="N199" s="38">
        <v>44693</v>
      </c>
      <c r="O199" s="39">
        <v>254545</v>
      </c>
      <c r="P199" s="25">
        <v>1</v>
      </c>
      <c r="Q199" s="41">
        <f t="shared" si="6"/>
        <v>254545</v>
      </c>
      <c r="R199" s="41">
        <v>275000</v>
      </c>
      <c r="S199" s="41">
        <f t="shared" si="5"/>
        <v>275000</v>
      </c>
    </row>
    <row r="200" spans="1:19">
      <c r="A200" s="17"/>
      <c r="B200" s="18">
        <v>323</v>
      </c>
      <c r="C200" s="25" t="s">
        <v>1249</v>
      </c>
      <c r="D200" s="26" t="s">
        <v>1250</v>
      </c>
      <c r="E200" s="27" t="s">
        <v>9</v>
      </c>
      <c r="F200" s="28" t="s">
        <v>1692</v>
      </c>
      <c r="G200" s="29" t="s">
        <v>1693</v>
      </c>
      <c r="H200" s="30" t="s">
        <v>1251</v>
      </c>
      <c r="I200" s="25"/>
      <c r="J200" s="25" t="s">
        <v>1252</v>
      </c>
      <c r="K200" s="25"/>
      <c r="L200" s="30" t="s">
        <v>50</v>
      </c>
      <c r="M200" s="25" t="s">
        <v>1253</v>
      </c>
      <c r="N200" s="38">
        <v>44701</v>
      </c>
      <c r="O200" s="39">
        <v>254545</v>
      </c>
      <c r="P200" s="25">
        <v>1</v>
      </c>
      <c r="Q200" s="41">
        <f t="shared" si="6"/>
        <v>254545</v>
      </c>
      <c r="R200" s="41">
        <v>275000</v>
      </c>
      <c r="S200" s="41">
        <f t="shared" si="5"/>
        <v>275000</v>
      </c>
    </row>
    <row r="201" spans="1:19">
      <c r="A201" s="17"/>
      <c r="B201" s="18">
        <v>324</v>
      </c>
      <c r="C201" s="25" t="s">
        <v>1254</v>
      </c>
      <c r="D201" s="26" t="s">
        <v>1250</v>
      </c>
      <c r="E201" s="27" t="s">
        <v>9</v>
      </c>
      <c r="F201" s="28" t="s">
        <v>1692</v>
      </c>
      <c r="G201" s="29" t="s">
        <v>1693</v>
      </c>
      <c r="H201" s="30" t="s">
        <v>1255</v>
      </c>
      <c r="I201" s="25"/>
      <c r="J201" s="25" t="s">
        <v>1247</v>
      </c>
      <c r="K201" s="25"/>
      <c r="L201" s="30" t="s">
        <v>50</v>
      </c>
      <c r="M201" s="25" t="s">
        <v>1256</v>
      </c>
      <c r="N201" s="38">
        <v>44701</v>
      </c>
      <c r="O201" s="39">
        <v>254545</v>
      </c>
      <c r="P201" s="25">
        <v>3</v>
      </c>
      <c r="Q201" s="41">
        <f t="shared" si="6"/>
        <v>763635</v>
      </c>
      <c r="R201" s="41">
        <v>275000</v>
      </c>
      <c r="S201" s="41">
        <f t="shared" si="5"/>
        <v>825000</v>
      </c>
    </row>
    <row r="202" spans="1:19">
      <c r="A202" s="17"/>
      <c r="B202" s="18">
        <v>326</v>
      </c>
      <c r="C202" s="25" t="s">
        <v>1261</v>
      </c>
      <c r="D202" s="26" t="s">
        <v>1262</v>
      </c>
      <c r="E202" s="27" t="s">
        <v>9</v>
      </c>
      <c r="F202" s="28" t="s">
        <v>1692</v>
      </c>
      <c r="G202" s="29" t="s">
        <v>1693</v>
      </c>
      <c r="H202" s="30" t="s">
        <v>1263</v>
      </c>
      <c r="I202" s="25"/>
      <c r="J202" s="25" t="s">
        <v>1264</v>
      </c>
      <c r="K202" s="25"/>
      <c r="L202" s="30" t="s">
        <v>50</v>
      </c>
      <c r="M202" s="25" t="s">
        <v>1265</v>
      </c>
      <c r="N202" s="38">
        <v>44706</v>
      </c>
      <c r="O202" s="39">
        <v>254545</v>
      </c>
      <c r="P202" s="25">
        <v>6</v>
      </c>
      <c r="Q202" s="41">
        <f t="shared" si="6"/>
        <v>1527270</v>
      </c>
      <c r="R202" s="41">
        <v>275000</v>
      </c>
      <c r="S202" s="41">
        <f t="shared" si="5"/>
        <v>1650000</v>
      </c>
    </row>
    <row r="203" spans="1:19">
      <c r="A203" s="17"/>
      <c r="B203" s="18">
        <v>327</v>
      </c>
      <c r="C203" s="19" t="s">
        <v>1266</v>
      </c>
      <c r="D203" s="20" t="s">
        <v>1267</v>
      </c>
      <c r="E203" s="21" t="s">
        <v>9</v>
      </c>
      <c r="F203" s="22" t="s">
        <v>1692</v>
      </c>
      <c r="G203" s="23" t="s">
        <v>1693</v>
      </c>
      <c r="H203" s="21" t="s">
        <v>660</v>
      </c>
      <c r="I203" s="19"/>
      <c r="J203" s="19" t="s">
        <v>1268</v>
      </c>
      <c r="K203" s="19"/>
      <c r="L203" s="24" t="s">
        <v>50</v>
      </c>
      <c r="M203" s="19" t="s">
        <v>1269</v>
      </c>
      <c r="N203" s="36">
        <v>44715</v>
      </c>
      <c r="O203" s="37">
        <v>254545</v>
      </c>
      <c r="P203" s="19">
        <v>1</v>
      </c>
      <c r="Q203" s="40">
        <f t="shared" si="6"/>
        <v>254545</v>
      </c>
      <c r="R203" s="40">
        <v>275000</v>
      </c>
      <c r="S203" s="40">
        <f t="shared" si="5"/>
        <v>275000</v>
      </c>
    </row>
    <row r="204" spans="1:19">
      <c r="A204" s="17"/>
      <c r="B204" s="18">
        <v>328</v>
      </c>
      <c r="C204" s="19" t="s">
        <v>1270</v>
      </c>
      <c r="D204" s="20" t="s">
        <v>1267</v>
      </c>
      <c r="E204" s="21" t="s">
        <v>9</v>
      </c>
      <c r="F204" s="22" t="s">
        <v>1692</v>
      </c>
      <c r="G204" s="23" t="s">
        <v>1693</v>
      </c>
      <c r="H204" s="21" t="s">
        <v>1271</v>
      </c>
      <c r="I204" s="19"/>
      <c r="J204" s="19" t="s">
        <v>1272</v>
      </c>
      <c r="K204" s="19"/>
      <c r="L204" s="24" t="s">
        <v>50</v>
      </c>
      <c r="M204" s="19" t="s">
        <v>1273</v>
      </c>
      <c r="N204" s="36">
        <v>44715</v>
      </c>
      <c r="O204" s="37">
        <v>254545</v>
      </c>
      <c r="P204" s="19">
        <v>3</v>
      </c>
      <c r="Q204" s="40">
        <f t="shared" si="6"/>
        <v>763635</v>
      </c>
      <c r="R204" s="40">
        <v>275000</v>
      </c>
      <c r="S204" s="40">
        <f t="shared" si="5"/>
        <v>825000</v>
      </c>
    </row>
    <row r="205" spans="1:19">
      <c r="A205" s="17"/>
      <c r="B205" s="18">
        <v>330</v>
      </c>
      <c r="C205" s="19" t="s">
        <v>1279</v>
      </c>
      <c r="D205" s="20" t="s">
        <v>1280</v>
      </c>
      <c r="E205" s="21" t="s">
        <v>9</v>
      </c>
      <c r="F205" s="22" t="s">
        <v>1692</v>
      </c>
      <c r="G205" s="23" t="s">
        <v>1693</v>
      </c>
      <c r="H205" s="24" t="s">
        <v>1281</v>
      </c>
      <c r="I205" s="19"/>
      <c r="J205" s="19" t="s">
        <v>1282</v>
      </c>
      <c r="K205" s="19"/>
      <c r="L205" s="24" t="s">
        <v>50</v>
      </c>
      <c r="M205" s="19" t="s">
        <v>1283</v>
      </c>
      <c r="N205" s="36">
        <v>44720</v>
      </c>
      <c r="O205" s="37">
        <v>254545</v>
      </c>
      <c r="P205" s="19">
        <v>3</v>
      </c>
      <c r="Q205" s="40">
        <f t="shared" si="6"/>
        <v>763635</v>
      </c>
      <c r="R205" s="40">
        <v>275000</v>
      </c>
      <c r="S205" s="40">
        <f t="shared" si="5"/>
        <v>825000</v>
      </c>
    </row>
    <row r="206" spans="1:19">
      <c r="A206" s="17"/>
      <c r="B206" s="18">
        <v>331</v>
      </c>
      <c r="C206" s="19" t="s">
        <v>1284</v>
      </c>
      <c r="D206" s="20" t="s">
        <v>1280</v>
      </c>
      <c r="E206" s="21" t="s">
        <v>9</v>
      </c>
      <c r="F206" s="22" t="s">
        <v>1692</v>
      </c>
      <c r="G206" s="23" t="s">
        <v>1693</v>
      </c>
      <c r="H206" s="24" t="s">
        <v>1285</v>
      </c>
      <c r="I206" s="19"/>
      <c r="J206" s="19" t="s">
        <v>1286</v>
      </c>
      <c r="K206" s="19"/>
      <c r="L206" s="24" t="s">
        <v>50</v>
      </c>
      <c r="M206" s="19" t="s">
        <v>1287</v>
      </c>
      <c r="N206" s="36">
        <v>44720</v>
      </c>
      <c r="O206" s="37">
        <v>254545</v>
      </c>
      <c r="P206" s="19">
        <v>1</v>
      </c>
      <c r="Q206" s="40">
        <f t="shared" si="6"/>
        <v>254545</v>
      </c>
      <c r="R206" s="40">
        <v>275000</v>
      </c>
      <c r="S206" s="40">
        <f t="shared" si="5"/>
        <v>275000</v>
      </c>
    </row>
    <row r="207" spans="1:19">
      <c r="A207" s="17"/>
      <c r="B207" s="18">
        <v>334</v>
      </c>
      <c r="C207" s="19" t="s">
        <v>1294</v>
      </c>
      <c r="D207" s="20" t="s">
        <v>1295</v>
      </c>
      <c r="E207" s="21" t="s">
        <v>1296</v>
      </c>
      <c r="F207" s="22" t="s">
        <v>1696</v>
      </c>
      <c r="G207" s="32" t="s">
        <v>1697</v>
      </c>
      <c r="H207" s="24" t="s">
        <v>1297</v>
      </c>
      <c r="I207" s="19"/>
      <c r="J207" s="19" t="s">
        <v>1298</v>
      </c>
      <c r="K207" s="19"/>
      <c r="L207" s="24" t="s">
        <v>85</v>
      </c>
      <c r="M207" s="19" t="s">
        <v>1299</v>
      </c>
      <c r="N207" s="36">
        <v>44739</v>
      </c>
      <c r="O207" s="37">
        <v>222727</v>
      </c>
      <c r="P207" s="19">
        <v>9</v>
      </c>
      <c r="Q207" s="40">
        <f t="shared" si="6"/>
        <v>2004543</v>
      </c>
      <c r="R207" s="40">
        <v>279091</v>
      </c>
      <c r="S207" s="40">
        <f t="shared" si="5"/>
        <v>2511819</v>
      </c>
    </row>
    <row r="208" spans="1:19">
      <c r="A208" s="17"/>
      <c r="B208" s="18">
        <v>335</v>
      </c>
      <c r="C208" s="19" t="s">
        <v>1300</v>
      </c>
      <c r="D208" s="20" t="s">
        <v>1295</v>
      </c>
      <c r="E208" s="21" t="s">
        <v>1296</v>
      </c>
      <c r="F208" s="22" t="s">
        <v>1696</v>
      </c>
      <c r="G208" s="32" t="s">
        <v>1697</v>
      </c>
      <c r="H208" s="24" t="s">
        <v>733</v>
      </c>
      <c r="I208" s="19"/>
      <c r="J208" s="19" t="s">
        <v>1298</v>
      </c>
      <c r="K208" s="19"/>
      <c r="L208" s="24" t="s">
        <v>85</v>
      </c>
      <c r="M208" s="19" t="s">
        <v>1301</v>
      </c>
      <c r="N208" s="36">
        <v>44739</v>
      </c>
      <c r="O208" s="37">
        <v>222727</v>
      </c>
      <c r="P208" s="19">
        <v>6</v>
      </c>
      <c r="Q208" s="40">
        <f t="shared" si="6"/>
        <v>1336362</v>
      </c>
      <c r="R208" s="40">
        <v>279091</v>
      </c>
      <c r="S208" s="40">
        <f t="shared" si="5"/>
        <v>1674546</v>
      </c>
    </row>
    <row r="209" spans="1:19">
      <c r="A209" s="17"/>
      <c r="B209" s="18">
        <v>336</v>
      </c>
      <c r="C209" s="19" t="s">
        <v>1302</v>
      </c>
      <c r="D209" s="20" t="s">
        <v>1303</v>
      </c>
      <c r="E209" s="21" t="s">
        <v>11</v>
      </c>
      <c r="F209" s="22" t="s">
        <v>1696</v>
      </c>
      <c r="G209" s="32" t="s">
        <v>1697</v>
      </c>
      <c r="H209" s="24" t="s">
        <v>320</v>
      </c>
      <c r="I209" s="19"/>
      <c r="J209" s="19" t="s">
        <v>1304</v>
      </c>
      <c r="K209" s="19"/>
      <c r="L209" s="24" t="s">
        <v>50</v>
      </c>
      <c r="M209" s="19" t="s">
        <v>1305</v>
      </c>
      <c r="N209" s="36">
        <v>44736</v>
      </c>
      <c r="O209" s="37">
        <v>444545</v>
      </c>
      <c r="P209" s="19">
        <v>35</v>
      </c>
      <c r="Q209" s="40">
        <f t="shared" si="4"/>
        <v>15559075</v>
      </c>
      <c r="R209" s="40">
        <v>556363.63</v>
      </c>
      <c r="S209" s="40">
        <f t="shared" si="5"/>
        <v>19472727.050000001</v>
      </c>
    </row>
    <row r="210" spans="1:19">
      <c r="A210" s="17"/>
      <c r="B210" s="18">
        <v>337</v>
      </c>
      <c r="C210" s="19" t="s">
        <v>1306</v>
      </c>
      <c r="D210" s="20" t="s">
        <v>1307</v>
      </c>
      <c r="E210" s="21" t="s">
        <v>9</v>
      </c>
      <c r="F210" s="22" t="s">
        <v>1692</v>
      </c>
      <c r="G210" s="23" t="s">
        <v>1693</v>
      </c>
      <c r="H210" s="24" t="s">
        <v>1308</v>
      </c>
      <c r="I210" s="19"/>
      <c r="J210" s="19" t="s">
        <v>1309</v>
      </c>
      <c r="K210" s="19"/>
      <c r="L210" s="24" t="s">
        <v>50</v>
      </c>
      <c r="M210" s="19" t="s">
        <v>1310</v>
      </c>
      <c r="N210" s="36">
        <v>44726</v>
      </c>
      <c r="O210" s="37">
        <v>254545</v>
      </c>
      <c r="P210" s="19">
        <v>1</v>
      </c>
      <c r="Q210" s="40">
        <f t="shared" si="4"/>
        <v>254545</v>
      </c>
      <c r="R210" s="40">
        <v>275000</v>
      </c>
      <c r="S210" s="40">
        <f t="shared" si="5"/>
        <v>275000</v>
      </c>
    </row>
    <row r="211" spans="1:19">
      <c r="A211" s="17"/>
      <c r="B211" s="18">
        <v>338</v>
      </c>
      <c r="C211" s="19" t="s">
        <v>1311</v>
      </c>
      <c r="D211" s="20" t="s">
        <v>1307</v>
      </c>
      <c r="E211" s="21" t="s">
        <v>9</v>
      </c>
      <c r="F211" s="22" t="s">
        <v>1692</v>
      </c>
      <c r="G211" s="23" t="s">
        <v>1693</v>
      </c>
      <c r="H211" s="24" t="s">
        <v>1312</v>
      </c>
      <c r="I211" s="19"/>
      <c r="J211" s="19" t="s">
        <v>1309</v>
      </c>
      <c r="K211" s="19"/>
      <c r="L211" s="24" t="s">
        <v>50</v>
      </c>
      <c r="M211" s="19" t="s">
        <v>1313</v>
      </c>
      <c r="N211" s="36">
        <v>44726</v>
      </c>
      <c r="O211" s="37">
        <v>254545</v>
      </c>
      <c r="P211" s="19">
        <v>2</v>
      </c>
      <c r="Q211" s="40">
        <f t="shared" si="4"/>
        <v>509090</v>
      </c>
      <c r="R211" s="40">
        <v>275000</v>
      </c>
      <c r="S211" s="40">
        <f t="shared" si="5"/>
        <v>550000</v>
      </c>
    </row>
    <row r="212" spans="1:19">
      <c r="A212" s="17"/>
      <c r="B212" s="18">
        <v>339</v>
      </c>
      <c r="C212" s="19" t="s">
        <v>1314</v>
      </c>
      <c r="D212" s="20" t="s">
        <v>1307</v>
      </c>
      <c r="E212" s="21" t="s">
        <v>9</v>
      </c>
      <c r="F212" s="22" t="s">
        <v>1692</v>
      </c>
      <c r="G212" s="23" t="s">
        <v>1693</v>
      </c>
      <c r="H212" s="24" t="s">
        <v>1312</v>
      </c>
      <c r="I212" s="19"/>
      <c r="J212" s="19" t="s">
        <v>1309</v>
      </c>
      <c r="K212" s="19"/>
      <c r="L212" s="24" t="s">
        <v>50</v>
      </c>
      <c r="M212" s="19" t="s">
        <v>1315</v>
      </c>
      <c r="N212" s="36">
        <v>44726</v>
      </c>
      <c r="O212" s="37">
        <v>254545</v>
      </c>
      <c r="P212" s="19">
        <v>1</v>
      </c>
      <c r="Q212" s="40">
        <f t="shared" si="4"/>
        <v>254545</v>
      </c>
      <c r="R212" s="40">
        <v>275000</v>
      </c>
      <c r="S212" s="40">
        <f t="shared" si="5"/>
        <v>275000</v>
      </c>
    </row>
    <row r="213" spans="1:19">
      <c r="A213" s="17"/>
      <c r="B213" s="18">
        <v>340</v>
      </c>
      <c r="C213" s="19" t="s">
        <v>1316</v>
      </c>
      <c r="D213" s="20" t="s">
        <v>1317</v>
      </c>
      <c r="E213" s="21" t="s">
        <v>9</v>
      </c>
      <c r="F213" s="22" t="s">
        <v>1692</v>
      </c>
      <c r="G213" s="23" t="s">
        <v>1693</v>
      </c>
      <c r="H213" s="24" t="s">
        <v>1312</v>
      </c>
      <c r="I213" s="19"/>
      <c r="J213" s="19" t="s">
        <v>1318</v>
      </c>
      <c r="K213" s="19"/>
      <c r="L213" s="24" t="s">
        <v>50</v>
      </c>
      <c r="M213" s="19" t="s">
        <v>1319</v>
      </c>
      <c r="N213" s="36">
        <v>44728</v>
      </c>
      <c r="O213" s="37">
        <v>254545</v>
      </c>
      <c r="P213" s="19">
        <v>5</v>
      </c>
      <c r="Q213" s="40">
        <f t="shared" si="4"/>
        <v>1272725</v>
      </c>
      <c r="R213" s="40">
        <v>275000</v>
      </c>
      <c r="S213" s="40">
        <f t="shared" si="5"/>
        <v>1375000</v>
      </c>
    </row>
    <row r="214" spans="1:19">
      <c r="A214" s="17"/>
      <c r="B214" s="18">
        <v>341</v>
      </c>
      <c r="C214" s="19" t="s">
        <v>1320</v>
      </c>
      <c r="D214" s="20">
        <v>82472</v>
      </c>
      <c r="E214" s="21" t="s">
        <v>17</v>
      </c>
      <c r="F214" s="22" t="s">
        <v>1708</v>
      </c>
      <c r="G214" s="32" t="s">
        <v>1709</v>
      </c>
      <c r="H214" s="24" t="s">
        <v>114</v>
      </c>
      <c r="I214" s="19"/>
      <c r="J214" s="19" t="s">
        <v>1321</v>
      </c>
      <c r="K214" s="19"/>
      <c r="L214" s="24" t="s">
        <v>85</v>
      </c>
      <c r="M214" s="19" t="s">
        <v>311</v>
      </c>
      <c r="N214" s="36">
        <v>44729</v>
      </c>
      <c r="O214" s="37">
        <v>222727</v>
      </c>
      <c r="P214" s="19">
        <v>4</v>
      </c>
      <c r="Q214" s="40">
        <f t="shared" si="4"/>
        <v>890908</v>
      </c>
      <c r="R214" s="40">
        <v>278378.38</v>
      </c>
      <c r="S214" s="40">
        <f t="shared" si="5"/>
        <v>1113513.52</v>
      </c>
    </row>
    <row r="215" spans="1:19">
      <c r="A215" s="17"/>
      <c r="B215" s="18">
        <v>342</v>
      </c>
      <c r="C215" s="19" t="s">
        <v>1322</v>
      </c>
      <c r="D215" s="20">
        <v>82472</v>
      </c>
      <c r="E215" s="21" t="s">
        <v>17</v>
      </c>
      <c r="F215" s="22" t="s">
        <v>1708</v>
      </c>
      <c r="G215" s="32" t="s">
        <v>1709</v>
      </c>
      <c r="H215" s="24" t="s">
        <v>114</v>
      </c>
      <c r="I215" s="19"/>
      <c r="J215" s="19" t="s">
        <v>1321</v>
      </c>
      <c r="K215" s="19"/>
      <c r="L215" s="24" t="s">
        <v>92</v>
      </c>
      <c r="M215" s="19" t="s">
        <v>303</v>
      </c>
      <c r="N215" s="36">
        <v>44729</v>
      </c>
      <c r="O215" s="37">
        <v>46364</v>
      </c>
      <c r="P215" s="19">
        <v>4</v>
      </c>
      <c r="Q215" s="40">
        <f t="shared" si="4"/>
        <v>185456</v>
      </c>
      <c r="R215" s="40">
        <v>57657.66</v>
      </c>
      <c r="S215" s="40">
        <f t="shared" si="5"/>
        <v>230630.64</v>
      </c>
    </row>
    <row r="216" spans="1:19">
      <c r="A216" s="17"/>
      <c r="B216" s="18">
        <v>343</v>
      </c>
      <c r="C216" s="19" t="s">
        <v>1323</v>
      </c>
      <c r="D216" s="20">
        <v>82472</v>
      </c>
      <c r="E216" s="21" t="s">
        <v>17</v>
      </c>
      <c r="F216" s="22" t="s">
        <v>1708</v>
      </c>
      <c r="G216" s="32" t="s">
        <v>1709</v>
      </c>
      <c r="H216" s="24" t="s">
        <v>114</v>
      </c>
      <c r="I216" s="19"/>
      <c r="J216" s="19" t="s">
        <v>1324</v>
      </c>
      <c r="K216" s="19"/>
      <c r="L216" s="24" t="s">
        <v>85</v>
      </c>
      <c r="M216" s="19" t="s">
        <v>386</v>
      </c>
      <c r="N216" s="36">
        <v>44729</v>
      </c>
      <c r="O216" s="37">
        <v>222727</v>
      </c>
      <c r="P216" s="19">
        <v>1</v>
      </c>
      <c r="Q216" s="40">
        <f t="shared" si="4"/>
        <v>222727</v>
      </c>
      <c r="R216" s="40">
        <v>278378.38</v>
      </c>
      <c r="S216" s="40">
        <f t="shared" si="5"/>
        <v>278378.38</v>
      </c>
    </row>
    <row r="217" spans="1:19">
      <c r="A217" s="17"/>
      <c r="B217" s="18">
        <v>344</v>
      </c>
      <c r="C217" s="19" t="s">
        <v>1325</v>
      </c>
      <c r="D217" s="20">
        <v>82472</v>
      </c>
      <c r="E217" s="21" t="s">
        <v>17</v>
      </c>
      <c r="F217" s="22" t="s">
        <v>1708</v>
      </c>
      <c r="G217" s="32" t="s">
        <v>1709</v>
      </c>
      <c r="H217" s="24" t="s">
        <v>114</v>
      </c>
      <c r="I217" s="19"/>
      <c r="J217" s="19" t="s">
        <v>1324</v>
      </c>
      <c r="K217" s="19"/>
      <c r="L217" s="24" t="s">
        <v>92</v>
      </c>
      <c r="M217" s="19" t="s">
        <v>377</v>
      </c>
      <c r="N217" s="36">
        <v>44729</v>
      </c>
      <c r="O217" s="37">
        <v>46364</v>
      </c>
      <c r="P217" s="19">
        <v>1</v>
      </c>
      <c r="Q217" s="40">
        <f t="shared" si="4"/>
        <v>46364</v>
      </c>
      <c r="R217" s="40">
        <v>57657.66</v>
      </c>
      <c r="S217" s="40">
        <f t="shared" si="5"/>
        <v>57657.66</v>
      </c>
    </row>
    <row r="218" spans="1:19">
      <c r="A218" s="17"/>
      <c r="B218" s="18">
        <v>345</v>
      </c>
      <c r="C218" s="19" t="s">
        <v>1326</v>
      </c>
      <c r="D218" s="20">
        <v>82472</v>
      </c>
      <c r="E218" s="21" t="s">
        <v>17</v>
      </c>
      <c r="F218" s="22" t="s">
        <v>1708</v>
      </c>
      <c r="G218" s="32" t="s">
        <v>1709</v>
      </c>
      <c r="H218" s="24" t="s">
        <v>114</v>
      </c>
      <c r="I218" s="19"/>
      <c r="J218" s="19" t="s">
        <v>1327</v>
      </c>
      <c r="K218" s="19"/>
      <c r="L218" s="24" t="s">
        <v>85</v>
      </c>
      <c r="M218" s="19" t="s">
        <v>389</v>
      </c>
      <c r="N218" s="36">
        <v>44729</v>
      </c>
      <c r="O218" s="37">
        <v>222727</v>
      </c>
      <c r="P218" s="19">
        <v>11</v>
      </c>
      <c r="Q218" s="40">
        <f t="shared" si="4"/>
        <v>2449997</v>
      </c>
      <c r="R218" s="40">
        <v>278378.38</v>
      </c>
      <c r="S218" s="40">
        <f t="shared" si="5"/>
        <v>3062162.18</v>
      </c>
    </row>
    <row r="219" spans="1:19">
      <c r="A219" s="17"/>
      <c r="B219" s="18">
        <v>346</v>
      </c>
      <c r="C219" s="19" t="s">
        <v>1328</v>
      </c>
      <c r="D219" s="20">
        <v>82472</v>
      </c>
      <c r="E219" s="21" t="s">
        <v>17</v>
      </c>
      <c r="F219" s="22" t="s">
        <v>1708</v>
      </c>
      <c r="G219" s="32" t="s">
        <v>1709</v>
      </c>
      <c r="H219" s="24" t="s">
        <v>114</v>
      </c>
      <c r="I219" s="19"/>
      <c r="J219" s="19" t="s">
        <v>1327</v>
      </c>
      <c r="K219" s="19"/>
      <c r="L219" s="24" t="s">
        <v>92</v>
      </c>
      <c r="M219" s="19" t="s">
        <v>380</v>
      </c>
      <c r="N219" s="36">
        <v>44729</v>
      </c>
      <c r="O219" s="37">
        <v>46364</v>
      </c>
      <c r="P219" s="19">
        <v>11</v>
      </c>
      <c r="Q219" s="40">
        <f t="shared" si="4"/>
        <v>510004</v>
      </c>
      <c r="R219" s="40">
        <v>57657.66</v>
      </c>
      <c r="S219" s="40">
        <f t="shared" si="5"/>
        <v>634234.26</v>
      </c>
    </row>
    <row r="220" spans="1:19">
      <c r="A220" s="17"/>
      <c r="B220" s="18">
        <v>347</v>
      </c>
      <c r="C220" s="19" t="s">
        <v>1329</v>
      </c>
      <c r="D220" s="20" t="s">
        <v>1330</v>
      </c>
      <c r="E220" s="21" t="s">
        <v>16</v>
      </c>
      <c r="F220" s="22" t="s">
        <v>1706</v>
      </c>
      <c r="G220" s="32" t="s">
        <v>1707</v>
      </c>
      <c r="H220" s="24" t="s">
        <v>165</v>
      </c>
      <c r="I220" s="19"/>
      <c r="J220" s="19" t="s">
        <v>1331</v>
      </c>
      <c r="K220" s="19"/>
      <c r="L220" s="24" t="s">
        <v>85</v>
      </c>
      <c r="M220" s="19" t="s">
        <v>429</v>
      </c>
      <c r="N220" s="36">
        <v>44735</v>
      </c>
      <c r="O220" s="37">
        <v>222727</v>
      </c>
      <c r="P220" s="19">
        <v>310</v>
      </c>
      <c r="Q220" s="40">
        <f t="shared" si="4"/>
        <v>69045370</v>
      </c>
      <c r="R220" s="40">
        <v>279091</v>
      </c>
      <c r="S220" s="40">
        <f t="shared" si="5"/>
        <v>86518210</v>
      </c>
    </row>
    <row r="221" spans="1:19">
      <c r="A221" s="17"/>
      <c r="B221" s="18">
        <v>348</v>
      </c>
      <c r="C221" s="19" t="s">
        <v>1332</v>
      </c>
      <c r="D221" s="20" t="s">
        <v>1333</v>
      </c>
      <c r="E221" s="21" t="s">
        <v>9</v>
      </c>
      <c r="F221" s="22" t="s">
        <v>1692</v>
      </c>
      <c r="G221" s="23" t="s">
        <v>1693</v>
      </c>
      <c r="H221" s="24" t="s">
        <v>1334</v>
      </c>
      <c r="I221" s="19"/>
      <c r="J221" s="19" t="s">
        <v>1268</v>
      </c>
      <c r="K221" s="19"/>
      <c r="L221" s="24" t="s">
        <v>50</v>
      </c>
      <c r="M221" s="19" t="s">
        <v>1335</v>
      </c>
      <c r="N221" s="36">
        <v>44739</v>
      </c>
      <c r="O221" s="37">
        <v>254545</v>
      </c>
      <c r="P221" s="19">
        <v>4</v>
      </c>
      <c r="Q221" s="40">
        <f t="shared" si="4"/>
        <v>1018180</v>
      </c>
      <c r="R221" s="40">
        <v>275000</v>
      </c>
      <c r="S221" s="40">
        <f t="shared" si="5"/>
        <v>1100000</v>
      </c>
    </row>
    <row r="222" spans="1:19">
      <c r="A222" s="17"/>
      <c r="B222" s="18">
        <v>349</v>
      </c>
      <c r="C222" s="19" t="s">
        <v>1336</v>
      </c>
      <c r="D222" s="20" t="s">
        <v>1337</v>
      </c>
      <c r="E222" s="21" t="s">
        <v>6</v>
      </c>
      <c r="F222" s="22" t="s">
        <v>1694</v>
      </c>
      <c r="G222" s="32" t="s">
        <v>1695</v>
      </c>
      <c r="H222" s="24" t="s">
        <v>88</v>
      </c>
      <c r="I222" s="19"/>
      <c r="J222" s="19" t="s">
        <v>1331</v>
      </c>
      <c r="K222" s="19"/>
      <c r="L222" s="24" t="s">
        <v>63</v>
      </c>
      <c r="M222" s="19" t="s">
        <v>1338</v>
      </c>
      <c r="N222" s="36">
        <v>44740</v>
      </c>
      <c r="O222" s="37">
        <v>92727</v>
      </c>
      <c r="P222" s="19">
        <v>7</v>
      </c>
      <c r="Q222" s="40">
        <f t="shared" si="4"/>
        <v>649089</v>
      </c>
      <c r="R222" s="40">
        <v>116216.22</v>
      </c>
      <c r="S222" s="40">
        <f t="shared" si="5"/>
        <v>813513.54</v>
      </c>
    </row>
    <row r="223" spans="1:19">
      <c r="A223" s="17"/>
      <c r="B223" s="18">
        <v>350</v>
      </c>
      <c r="C223" s="19" t="s">
        <v>1339</v>
      </c>
      <c r="D223" s="20" t="s">
        <v>1340</v>
      </c>
      <c r="E223" s="21" t="s">
        <v>16</v>
      </c>
      <c r="F223" s="22" t="s">
        <v>1706</v>
      </c>
      <c r="G223" s="32" t="s">
        <v>1707</v>
      </c>
      <c r="H223" s="24" t="s">
        <v>1276</v>
      </c>
      <c r="I223" s="19"/>
      <c r="J223" s="19" t="s">
        <v>1341</v>
      </c>
      <c r="K223" s="19"/>
      <c r="L223" s="24" t="s">
        <v>85</v>
      </c>
      <c r="M223" s="19" t="s">
        <v>1278</v>
      </c>
      <c r="N223" s="36">
        <v>44742</v>
      </c>
      <c r="O223" s="37">
        <v>222727</v>
      </c>
      <c r="P223" s="19">
        <v>5</v>
      </c>
      <c r="Q223" s="40">
        <f t="shared" ref="Q223:Q232" si="7">O223*P223</f>
        <v>1113635</v>
      </c>
      <c r="R223" s="40">
        <v>279091</v>
      </c>
      <c r="S223" s="40">
        <f t="shared" si="5"/>
        <v>1395455</v>
      </c>
    </row>
    <row r="224" spans="1:19">
      <c r="A224" s="17"/>
      <c r="B224" s="18">
        <v>351</v>
      </c>
      <c r="C224" s="19" t="s">
        <v>1342</v>
      </c>
      <c r="D224" s="20" t="s">
        <v>1343</v>
      </c>
      <c r="E224" s="21" t="s">
        <v>9</v>
      </c>
      <c r="F224" s="22" t="s">
        <v>1692</v>
      </c>
      <c r="G224" s="23" t="s">
        <v>1693</v>
      </c>
      <c r="H224" s="24" t="s">
        <v>1344</v>
      </c>
      <c r="I224" s="19"/>
      <c r="J224" s="19" t="s">
        <v>1345</v>
      </c>
      <c r="K224" s="19"/>
      <c r="L224" s="24" t="s">
        <v>50</v>
      </c>
      <c r="M224" s="19" t="s">
        <v>1346</v>
      </c>
      <c r="N224" s="36">
        <v>44742</v>
      </c>
      <c r="O224" s="37">
        <v>254545</v>
      </c>
      <c r="P224" s="19">
        <v>2</v>
      </c>
      <c r="Q224" s="40">
        <f t="shared" si="7"/>
        <v>509090</v>
      </c>
      <c r="R224" s="40">
        <v>275000</v>
      </c>
      <c r="S224" s="40">
        <f t="shared" si="5"/>
        <v>550000</v>
      </c>
    </row>
    <row r="225" spans="1:19">
      <c r="A225" s="17"/>
      <c r="B225" s="18">
        <v>352</v>
      </c>
      <c r="C225" s="25" t="s">
        <v>1347</v>
      </c>
      <c r="D225" s="26" t="s">
        <v>1348</v>
      </c>
      <c r="E225" s="27" t="s">
        <v>9</v>
      </c>
      <c r="F225" s="28" t="s">
        <v>1692</v>
      </c>
      <c r="G225" s="29" t="s">
        <v>1693</v>
      </c>
      <c r="H225" s="30" t="s">
        <v>1349</v>
      </c>
      <c r="I225" s="25"/>
      <c r="J225" s="25" t="s">
        <v>1350</v>
      </c>
      <c r="K225" s="25"/>
      <c r="L225" s="30" t="s">
        <v>50</v>
      </c>
      <c r="M225" s="25" t="s">
        <v>1351</v>
      </c>
      <c r="N225" s="38">
        <v>44747</v>
      </c>
      <c r="O225" s="39">
        <v>254545</v>
      </c>
      <c r="P225" s="25">
        <v>1</v>
      </c>
      <c r="Q225" s="41">
        <f t="shared" si="7"/>
        <v>254545</v>
      </c>
      <c r="R225" s="41">
        <v>275000</v>
      </c>
      <c r="S225" s="41">
        <f t="shared" si="5"/>
        <v>275000</v>
      </c>
    </row>
    <row r="226" spans="1:19">
      <c r="A226" s="17"/>
      <c r="B226" s="18">
        <v>353</v>
      </c>
      <c r="C226" s="25" t="s">
        <v>1352</v>
      </c>
      <c r="D226" s="26">
        <v>4010013271</v>
      </c>
      <c r="E226" s="27" t="s">
        <v>2</v>
      </c>
      <c r="F226" s="28" t="s">
        <v>1710</v>
      </c>
      <c r="G226" s="31" t="s">
        <v>1711</v>
      </c>
      <c r="H226" s="27" t="s">
        <v>1353</v>
      </c>
      <c r="I226" s="25"/>
      <c r="J226" s="25" t="s">
        <v>1354</v>
      </c>
      <c r="K226" s="25"/>
      <c r="L226" s="30" t="s">
        <v>63</v>
      </c>
      <c r="M226" s="25" t="s">
        <v>424</v>
      </c>
      <c r="N226" s="38">
        <v>44749</v>
      </c>
      <c r="O226" s="39">
        <v>92727</v>
      </c>
      <c r="P226" s="25">
        <v>250</v>
      </c>
      <c r="Q226" s="41">
        <f t="shared" si="7"/>
        <v>23181750</v>
      </c>
      <c r="R226" s="41">
        <f>188700/1.11</f>
        <v>169999.99999999997</v>
      </c>
      <c r="S226" s="41">
        <f t="shared" si="5"/>
        <v>42499999.999999993</v>
      </c>
    </row>
    <row r="227" spans="1:19">
      <c r="A227" s="17"/>
      <c r="B227" s="18">
        <v>354</v>
      </c>
      <c r="C227" s="25" t="s">
        <v>1355</v>
      </c>
      <c r="D227" s="26">
        <v>4010013271</v>
      </c>
      <c r="E227" s="27" t="s">
        <v>2</v>
      </c>
      <c r="F227" s="28" t="s">
        <v>1710</v>
      </c>
      <c r="G227" s="31" t="s">
        <v>1711</v>
      </c>
      <c r="H227" s="27" t="s">
        <v>1353</v>
      </c>
      <c r="I227" s="25"/>
      <c r="J227" s="25" t="s">
        <v>1354</v>
      </c>
      <c r="K227" s="25"/>
      <c r="L227" s="30" t="s">
        <v>85</v>
      </c>
      <c r="M227" s="25" t="s">
        <v>422</v>
      </c>
      <c r="N227" s="38">
        <v>44749</v>
      </c>
      <c r="O227" s="39">
        <v>222727</v>
      </c>
      <c r="P227" s="25">
        <v>50</v>
      </c>
      <c r="Q227" s="41">
        <f t="shared" si="7"/>
        <v>11136350</v>
      </c>
      <c r="R227" s="41">
        <f>354090/1.11</f>
        <v>319000</v>
      </c>
      <c r="S227" s="41">
        <f t="shared" ref="S227:S267" si="8">R227*P227</f>
        <v>15950000</v>
      </c>
    </row>
    <row r="228" spans="1:19">
      <c r="A228" s="17"/>
      <c r="B228" s="18">
        <v>355</v>
      </c>
      <c r="C228" s="25" t="s">
        <v>1356</v>
      </c>
      <c r="D228" s="26" t="s">
        <v>1357</v>
      </c>
      <c r="E228" s="27" t="s">
        <v>6</v>
      </c>
      <c r="F228" s="28" t="s">
        <v>1694</v>
      </c>
      <c r="G228" s="31" t="s">
        <v>1695</v>
      </c>
      <c r="H228" s="30" t="s">
        <v>218</v>
      </c>
      <c r="I228" s="25"/>
      <c r="J228" s="25" t="s">
        <v>1358</v>
      </c>
      <c r="K228" s="25"/>
      <c r="L228" s="30" t="s">
        <v>63</v>
      </c>
      <c r="M228" s="25" t="s">
        <v>1359</v>
      </c>
      <c r="N228" s="38">
        <v>44750</v>
      </c>
      <c r="O228" s="39">
        <v>92727</v>
      </c>
      <c r="P228" s="25">
        <v>4</v>
      </c>
      <c r="Q228" s="41">
        <f t="shared" si="7"/>
        <v>370908</v>
      </c>
      <c r="R228" s="41">
        <v>117273</v>
      </c>
      <c r="S228" s="41">
        <f t="shared" si="8"/>
        <v>469092</v>
      </c>
    </row>
    <row r="229" spans="1:19">
      <c r="A229" s="17"/>
      <c r="B229" s="18">
        <v>356</v>
      </c>
      <c r="C229" s="25" t="s">
        <v>1356</v>
      </c>
      <c r="D229" s="26" t="s">
        <v>1360</v>
      </c>
      <c r="E229" s="27" t="s">
        <v>19</v>
      </c>
      <c r="F229" s="28" t="s">
        <v>1704</v>
      </c>
      <c r="G229" s="31" t="s">
        <v>1705</v>
      </c>
      <c r="H229" s="30" t="s">
        <v>462</v>
      </c>
      <c r="I229" s="25"/>
      <c r="J229" s="25" t="s">
        <v>1361</v>
      </c>
      <c r="K229" s="25"/>
      <c r="L229" s="30" t="s">
        <v>85</v>
      </c>
      <c r="M229" s="25" t="s">
        <v>1362</v>
      </c>
      <c r="N229" s="38">
        <v>44750</v>
      </c>
      <c r="O229" s="39">
        <v>222727</v>
      </c>
      <c r="P229" s="25">
        <v>16</v>
      </c>
      <c r="Q229" s="41">
        <f t="shared" si="7"/>
        <v>3563632</v>
      </c>
      <c r="R229" s="41">
        <v>279091</v>
      </c>
      <c r="S229" s="41">
        <f t="shared" si="8"/>
        <v>4465456</v>
      </c>
    </row>
    <row r="230" spans="1:19">
      <c r="A230" s="17"/>
      <c r="B230" s="18">
        <v>357</v>
      </c>
      <c r="C230" s="25" t="s">
        <v>1363</v>
      </c>
      <c r="D230" s="26" t="s">
        <v>1364</v>
      </c>
      <c r="E230" s="27" t="s">
        <v>9</v>
      </c>
      <c r="F230" s="28" t="s">
        <v>1692</v>
      </c>
      <c r="G230" s="29" t="s">
        <v>1693</v>
      </c>
      <c r="H230" s="30" t="s">
        <v>1365</v>
      </c>
      <c r="I230" s="25"/>
      <c r="J230" s="25" t="s">
        <v>1366</v>
      </c>
      <c r="K230" s="25"/>
      <c r="L230" s="30" t="s">
        <v>50</v>
      </c>
      <c r="M230" s="25" t="s">
        <v>1367</v>
      </c>
      <c r="N230" s="38">
        <v>44757</v>
      </c>
      <c r="O230" s="39">
        <v>254545</v>
      </c>
      <c r="P230" s="25">
        <v>7</v>
      </c>
      <c r="Q230" s="41">
        <f t="shared" si="7"/>
        <v>1781815</v>
      </c>
      <c r="R230" s="41">
        <v>275000</v>
      </c>
      <c r="S230" s="41">
        <f t="shared" si="8"/>
        <v>1925000</v>
      </c>
    </row>
    <row r="231" spans="1:19">
      <c r="A231" s="17"/>
      <c r="B231" s="18">
        <v>358</v>
      </c>
      <c r="C231" s="25" t="s">
        <v>1368</v>
      </c>
      <c r="D231" s="26" t="s">
        <v>1364</v>
      </c>
      <c r="E231" s="27" t="s">
        <v>9</v>
      </c>
      <c r="F231" s="28" t="s">
        <v>1692</v>
      </c>
      <c r="G231" s="29" t="s">
        <v>1693</v>
      </c>
      <c r="H231" s="30" t="s">
        <v>1369</v>
      </c>
      <c r="I231" s="25"/>
      <c r="J231" s="25" t="s">
        <v>1366</v>
      </c>
      <c r="K231" s="25"/>
      <c r="L231" s="30" t="s">
        <v>50</v>
      </c>
      <c r="M231" s="25" t="s">
        <v>1370</v>
      </c>
      <c r="N231" s="38">
        <v>44757</v>
      </c>
      <c r="O231" s="39">
        <v>254545</v>
      </c>
      <c r="P231" s="25">
        <v>3</v>
      </c>
      <c r="Q231" s="41">
        <f t="shared" si="7"/>
        <v>763635</v>
      </c>
      <c r="R231" s="41">
        <v>275000</v>
      </c>
      <c r="S231" s="41">
        <f t="shared" si="8"/>
        <v>825000</v>
      </c>
    </row>
    <row r="232" spans="1:19">
      <c r="A232" s="17"/>
      <c r="B232" s="18">
        <v>359</v>
      </c>
      <c r="C232" s="25" t="s">
        <v>1371</v>
      </c>
      <c r="D232" s="26" t="s">
        <v>1372</v>
      </c>
      <c r="E232" s="27" t="s">
        <v>11</v>
      </c>
      <c r="F232" s="28" t="s">
        <v>1696</v>
      </c>
      <c r="G232" s="31" t="s">
        <v>1697</v>
      </c>
      <c r="H232" s="27" t="s">
        <v>11</v>
      </c>
      <c r="I232" s="25"/>
      <c r="J232" s="25" t="s">
        <v>1373</v>
      </c>
      <c r="K232" s="25"/>
      <c r="L232" s="30" t="s">
        <v>92</v>
      </c>
      <c r="M232" s="25" t="s">
        <v>1374</v>
      </c>
      <c r="N232" s="38">
        <v>44760</v>
      </c>
      <c r="O232" s="39">
        <v>46364</v>
      </c>
      <c r="P232" s="25">
        <v>300</v>
      </c>
      <c r="Q232" s="41">
        <f t="shared" si="7"/>
        <v>13909200</v>
      </c>
      <c r="R232" s="41">
        <v>55273</v>
      </c>
      <c r="S232" s="41">
        <f t="shared" si="8"/>
        <v>16581900</v>
      </c>
    </row>
    <row r="233" spans="1:19">
      <c r="A233" s="17"/>
      <c r="B233" s="18">
        <v>360</v>
      </c>
      <c r="C233" s="25" t="s">
        <v>1375</v>
      </c>
      <c r="D233" s="26" t="s">
        <v>1376</v>
      </c>
      <c r="E233" s="27" t="s">
        <v>11</v>
      </c>
      <c r="F233" s="28" t="s">
        <v>1696</v>
      </c>
      <c r="G233" s="31" t="s">
        <v>1697</v>
      </c>
      <c r="H233" s="30" t="s">
        <v>320</v>
      </c>
      <c r="I233" s="25"/>
      <c r="J233" s="25" t="s">
        <v>1377</v>
      </c>
      <c r="K233" s="25"/>
      <c r="L233" s="30" t="s">
        <v>50</v>
      </c>
      <c r="M233" s="25" t="s">
        <v>1378</v>
      </c>
      <c r="N233" s="38">
        <v>44762</v>
      </c>
      <c r="O233" s="39">
        <v>444545</v>
      </c>
      <c r="P233" s="25">
        <v>28</v>
      </c>
      <c r="Q233" s="41">
        <f t="shared" ref="Q233:Q297" si="9">O233*P233</f>
        <v>12447260</v>
      </c>
      <c r="R233" s="41">
        <v>556363.63</v>
      </c>
      <c r="S233" s="41">
        <f t="shared" si="8"/>
        <v>15578181.640000001</v>
      </c>
    </row>
    <row r="234" spans="1:19">
      <c r="A234" s="17"/>
      <c r="B234" s="18">
        <v>361</v>
      </c>
      <c r="C234" s="25" t="s">
        <v>1379</v>
      </c>
      <c r="D234" s="26" t="s">
        <v>1376</v>
      </c>
      <c r="E234" s="27" t="s">
        <v>11</v>
      </c>
      <c r="F234" s="28" t="s">
        <v>1696</v>
      </c>
      <c r="G234" s="31" t="s">
        <v>1697</v>
      </c>
      <c r="H234" s="30" t="s">
        <v>320</v>
      </c>
      <c r="I234" s="25"/>
      <c r="J234" s="25" t="s">
        <v>1380</v>
      </c>
      <c r="K234" s="25"/>
      <c r="L234" s="30" t="s">
        <v>50</v>
      </c>
      <c r="M234" s="25" t="s">
        <v>1381</v>
      </c>
      <c r="N234" s="38">
        <v>44762</v>
      </c>
      <c r="O234" s="39">
        <v>444545</v>
      </c>
      <c r="P234" s="25">
        <v>3</v>
      </c>
      <c r="Q234" s="41">
        <f t="shared" si="9"/>
        <v>1333635</v>
      </c>
      <c r="R234" s="41">
        <v>556363.63</v>
      </c>
      <c r="S234" s="41">
        <f t="shared" si="8"/>
        <v>1669090.8900000001</v>
      </c>
    </row>
    <row r="235" spans="1:19">
      <c r="A235" s="17"/>
      <c r="B235" s="18">
        <v>362</v>
      </c>
      <c r="C235" s="25" t="s">
        <v>1382</v>
      </c>
      <c r="D235" s="26">
        <v>2500016606</v>
      </c>
      <c r="E235" s="27" t="s">
        <v>10</v>
      </c>
      <c r="F235" s="28" t="s">
        <v>1702</v>
      </c>
      <c r="G235" s="31" t="s">
        <v>1703</v>
      </c>
      <c r="H235" s="30" t="s">
        <v>814</v>
      </c>
      <c r="I235" s="25"/>
      <c r="J235" s="25" t="s">
        <v>1383</v>
      </c>
      <c r="K235" s="25"/>
      <c r="L235" s="30" t="s">
        <v>816</v>
      </c>
      <c r="M235" s="25" t="s">
        <v>1384</v>
      </c>
      <c r="N235" s="38">
        <v>44763</v>
      </c>
      <c r="O235" s="39">
        <v>22727</v>
      </c>
      <c r="P235" s="25">
        <v>5</v>
      </c>
      <c r="Q235" s="41">
        <f t="shared" si="9"/>
        <v>113635</v>
      </c>
      <c r="R235" s="41">
        <v>29091</v>
      </c>
      <c r="S235" s="41">
        <f t="shared" si="8"/>
        <v>145455</v>
      </c>
    </row>
    <row r="236" spans="1:19">
      <c r="A236" s="17"/>
      <c r="B236" s="18">
        <v>363</v>
      </c>
      <c r="C236" s="25" t="s">
        <v>1385</v>
      </c>
      <c r="D236" s="26" t="s">
        <v>1386</v>
      </c>
      <c r="E236" s="27" t="s">
        <v>9</v>
      </c>
      <c r="F236" s="28" t="s">
        <v>1692</v>
      </c>
      <c r="G236" s="29" t="s">
        <v>1693</v>
      </c>
      <c r="H236" s="30" t="s">
        <v>1387</v>
      </c>
      <c r="I236" s="25"/>
      <c r="J236" s="25" t="s">
        <v>1388</v>
      </c>
      <c r="K236" s="25"/>
      <c r="L236" s="30" t="s">
        <v>50</v>
      </c>
      <c r="M236" s="25" t="s">
        <v>1389</v>
      </c>
      <c r="N236" s="38">
        <v>44767</v>
      </c>
      <c r="O236" s="39">
        <v>254545</v>
      </c>
      <c r="P236" s="25">
        <v>6</v>
      </c>
      <c r="Q236" s="41">
        <f t="shared" si="9"/>
        <v>1527270</v>
      </c>
      <c r="R236" s="41">
        <v>275000</v>
      </c>
      <c r="S236" s="41">
        <f t="shared" si="8"/>
        <v>1650000</v>
      </c>
    </row>
    <row r="237" spans="1:19">
      <c r="A237" s="17"/>
      <c r="B237" s="18">
        <v>364</v>
      </c>
      <c r="C237" s="25" t="s">
        <v>1390</v>
      </c>
      <c r="D237" s="26" t="s">
        <v>1386</v>
      </c>
      <c r="E237" s="27" t="s">
        <v>9</v>
      </c>
      <c r="F237" s="28" t="s">
        <v>1692</v>
      </c>
      <c r="G237" s="29" t="s">
        <v>1693</v>
      </c>
      <c r="H237" s="30" t="s">
        <v>1391</v>
      </c>
      <c r="I237" s="25"/>
      <c r="J237" s="25" t="s">
        <v>1388</v>
      </c>
      <c r="K237" s="25"/>
      <c r="L237" s="30" t="s">
        <v>50</v>
      </c>
      <c r="M237" s="25" t="s">
        <v>1392</v>
      </c>
      <c r="N237" s="38">
        <v>44767</v>
      </c>
      <c r="O237" s="39">
        <v>254545</v>
      </c>
      <c r="P237" s="25">
        <v>6</v>
      </c>
      <c r="Q237" s="41">
        <f t="shared" si="9"/>
        <v>1527270</v>
      </c>
      <c r="R237" s="41">
        <v>275000</v>
      </c>
      <c r="S237" s="41">
        <f t="shared" si="8"/>
        <v>1650000</v>
      </c>
    </row>
    <row r="238" spans="1:19">
      <c r="A238" s="17"/>
      <c r="B238" s="18">
        <v>365</v>
      </c>
      <c r="C238" s="25" t="s">
        <v>1393</v>
      </c>
      <c r="D238" s="26" t="s">
        <v>1386</v>
      </c>
      <c r="E238" s="27" t="s">
        <v>9</v>
      </c>
      <c r="F238" s="28" t="s">
        <v>1692</v>
      </c>
      <c r="G238" s="29" t="s">
        <v>1693</v>
      </c>
      <c r="H238" s="30" t="s">
        <v>1394</v>
      </c>
      <c r="I238" s="25"/>
      <c r="J238" s="25" t="s">
        <v>1395</v>
      </c>
      <c r="K238" s="25"/>
      <c r="L238" s="30" t="s">
        <v>50</v>
      </c>
      <c r="M238" s="25" t="s">
        <v>1396</v>
      </c>
      <c r="N238" s="38">
        <v>44767</v>
      </c>
      <c r="O238" s="39">
        <v>254545</v>
      </c>
      <c r="P238" s="25">
        <v>3</v>
      </c>
      <c r="Q238" s="41">
        <f t="shared" si="9"/>
        <v>763635</v>
      </c>
      <c r="R238" s="41">
        <v>275000</v>
      </c>
      <c r="S238" s="41">
        <f t="shared" si="8"/>
        <v>825000</v>
      </c>
    </row>
    <row r="239" spans="1:19">
      <c r="A239" s="17"/>
      <c r="B239" s="18">
        <v>366</v>
      </c>
      <c r="C239" s="25" t="s">
        <v>1397</v>
      </c>
      <c r="D239" s="26" t="s">
        <v>1398</v>
      </c>
      <c r="E239" s="27" t="s">
        <v>11</v>
      </c>
      <c r="F239" s="28" t="s">
        <v>1696</v>
      </c>
      <c r="G239" s="31" t="s">
        <v>1697</v>
      </c>
      <c r="H239" s="30" t="s">
        <v>733</v>
      </c>
      <c r="I239" s="25"/>
      <c r="J239" s="25" t="s">
        <v>1399</v>
      </c>
      <c r="K239" s="25"/>
      <c r="L239" s="30" t="s">
        <v>85</v>
      </c>
      <c r="M239" s="25" t="s">
        <v>1400</v>
      </c>
      <c r="N239" s="38">
        <v>44767</v>
      </c>
      <c r="O239" s="39">
        <v>222727</v>
      </c>
      <c r="P239" s="25">
        <v>1</v>
      </c>
      <c r="Q239" s="41">
        <f t="shared" si="9"/>
        <v>222727</v>
      </c>
      <c r="R239" s="41">
        <v>279091</v>
      </c>
      <c r="S239" s="41">
        <f t="shared" si="8"/>
        <v>279091</v>
      </c>
    </row>
    <row r="240" spans="1:19">
      <c r="A240" s="17"/>
      <c r="B240" s="18">
        <v>367</v>
      </c>
      <c r="C240" s="25" t="s">
        <v>1401</v>
      </c>
      <c r="D240" s="26" t="s">
        <v>1402</v>
      </c>
      <c r="E240" s="27" t="s">
        <v>9</v>
      </c>
      <c r="F240" s="28" t="s">
        <v>1692</v>
      </c>
      <c r="G240" s="29" t="s">
        <v>1693</v>
      </c>
      <c r="H240" s="30" t="s">
        <v>1403</v>
      </c>
      <c r="I240" s="25"/>
      <c r="J240" s="25" t="s">
        <v>1404</v>
      </c>
      <c r="K240" s="25"/>
      <c r="L240" s="30" t="s">
        <v>50</v>
      </c>
      <c r="M240" s="25" t="s">
        <v>1405</v>
      </c>
      <c r="N240" s="38">
        <v>44769</v>
      </c>
      <c r="O240" s="39">
        <v>254545</v>
      </c>
      <c r="P240" s="25">
        <v>1</v>
      </c>
      <c r="Q240" s="41">
        <f t="shared" si="9"/>
        <v>254545</v>
      </c>
      <c r="R240" s="41">
        <v>275000</v>
      </c>
      <c r="S240" s="41">
        <f t="shared" si="8"/>
        <v>275000</v>
      </c>
    </row>
    <row r="241" spans="1:19">
      <c r="A241" s="17"/>
      <c r="B241" s="18">
        <v>368</v>
      </c>
      <c r="C241" s="25" t="s">
        <v>1406</v>
      </c>
      <c r="D241" s="26" t="s">
        <v>1402</v>
      </c>
      <c r="E241" s="27" t="s">
        <v>9</v>
      </c>
      <c r="F241" s="28" t="s">
        <v>1692</v>
      </c>
      <c r="G241" s="29" t="s">
        <v>1693</v>
      </c>
      <c r="H241" s="27" t="s">
        <v>1407</v>
      </c>
      <c r="I241" s="25"/>
      <c r="J241" s="25" t="s">
        <v>1408</v>
      </c>
      <c r="K241" s="25"/>
      <c r="L241" s="30" t="s">
        <v>50</v>
      </c>
      <c r="M241" s="25" t="s">
        <v>1409</v>
      </c>
      <c r="N241" s="38">
        <v>44769</v>
      </c>
      <c r="O241" s="39">
        <v>254545</v>
      </c>
      <c r="P241" s="25">
        <v>1</v>
      </c>
      <c r="Q241" s="41">
        <f t="shared" si="9"/>
        <v>254545</v>
      </c>
      <c r="R241" s="41">
        <v>275000</v>
      </c>
      <c r="S241" s="41">
        <f t="shared" si="8"/>
        <v>275000</v>
      </c>
    </row>
    <row r="242" spans="1:19">
      <c r="A242" s="17"/>
      <c r="B242" s="18">
        <v>369</v>
      </c>
      <c r="C242" s="25" t="s">
        <v>1410</v>
      </c>
      <c r="D242" s="26" t="s">
        <v>1411</v>
      </c>
      <c r="E242" s="27" t="s">
        <v>11</v>
      </c>
      <c r="F242" s="28" t="s">
        <v>1696</v>
      </c>
      <c r="G242" s="31" t="s">
        <v>1697</v>
      </c>
      <c r="H242" s="30" t="s">
        <v>1412</v>
      </c>
      <c r="I242" s="25"/>
      <c r="J242" s="25" t="s">
        <v>1361</v>
      </c>
      <c r="K242" s="25"/>
      <c r="L242" s="30" t="s">
        <v>1413</v>
      </c>
      <c r="M242" s="25" t="s">
        <v>1414</v>
      </c>
      <c r="N242" s="38">
        <v>44770</v>
      </c>
      <c r="O242" s="39">
        <v>106575</v>
      </c>
      <c r="P242" s="25">
        <v>2</v>
      </c>
      <c r="Q242" s="41">
        <f t="shared" si="9"/>
        <v>213150</v>
      </c>
      <c r="R242" s="41">
        <v>116264</v>
      </c>
      <c r="S242" s="41">
        <f t="shared" si="8"/>
        <v>232528</v>
      </c>
    </row>
    <row r="243" spans="1:19">
      <c r="A243" s="17"/>
      <c r="B243" s="18">
        <v>370</v>
      </c>
      <c r="C243" s="19" t="s">
        <v>1415</v>
      </c>
      <c r="D243" s="20" t="s">
        <v>1416</v>
      </c>
      <c r="E243" s="21" t="s">
        <v>9</v>
      </c>
      <c r="F243" s="22" t="s">
        <v>1692</v>
      </c>
      <c r="G243" s="23" t="s">
        <v>1693</v>
      </c>
      <c r="H243" s="21" t="s">
        <v>1417</v>
      </c>
      <c r="I243" s="19"/>
      <c r="J243" s="19" t="s">
        <v>1418</v>
      </c>
      <c r="K243" s="19"/>
      <c r="L243" s="24" t="s">
        <v>50</v>
      </c>
      <c r="M243" s="19" t="s">
        <v>1419</v>
      </c>
      <c r="N243" s="36">
        <v>44776</v>
      </c>
      <c r="O243" s="37">
        <v>254545</v>
      </c>
      <c r="P243" s="19">
        <v>3</v>
      </c>
      <c r="Q243" s="40">
        <f t="shared" si="9"/>
        <v>763635</v>
      </c>
      <c r="R243" s="40">
        <v>275000</v>
      </c>
      <c r="S243" s="40">
        <f t="shared" si="8"/>
        <v>825000</v>
      </c>
    </row>
    <row r="244" spans="1:19">
      <c r="A244" s="17"/>
      <c r="B244" s="18">
        <v>371</v>
      </c>
      <c r="C244" s="19" t="s">
        <v>1420</v>
      </c>
      <c r="D244" s="20" t="s">
        <v>1421</v>
      </c>
      <c r="E244" s="21" t="s">
        <v>2</v>
      </c>
      <c r="F244" s="22" t="s">
        <v>1712</v>
      </c>
      <c r="G244" s="32" t="s">
        <v>1713</v>
      </c>
      <c r="H244" s="21" t="s">
        <v>462</v>
      </c>
      <c r="I244" s="19"/>
      <c r="J244" s="19" t="s">
        <v>1422</v>
      </c>
      <c r="K244" s="19"/>
      <c r="L244" s="24" t="s">
        <v>85</v>
      </c>
      <c r="M244" s="19" t="s">
        <v>1423</v>
      </c>
      <c r="N244" s="36">
        <v>44789</v>
      </c>
      <c r="O244" s="37">
        <v>222727</v>
      </c>
      <c r="P244" s="19">
        <v>53</v>
      </c>
      <c r="Q244" s="40">
        <f t="shared" si="9"/>
        <v>11804531</v>
      </c>
      <c r="R244" s="40">
        <f>410000/1.11</f>
        <v>369369.36936936935</v>
      </c>
      <c r="S244" s="40">
        <f t="shared" si="8"/>
        <v>19576576.576576576</v>
      </c>
    </row>
    <row r="245" spans="1:19">
      <c r="A245" s="17"/>
      <c r="B245" s="18">
        <v>372</v>
      </c>
      <c r="C245" s="19" t="s">
        <v>1424</v>
      </c>
      <c r="D245" s="20" t="s">
        <v>1425</v>
      </c>
      <c r="E245" s="21" t="s">
        <v>2</v>
      </c>
      <c r="F245" s="22" t="s">
        <v>1714</v>
      </c>
      <c r="G245" s="32" t="s">
        <v>1715</v>
      </c>
      <c r="H245" s="21" t="s">
        <v>556</v>
      </c>
      <c r="I245" s="19"/>
      <c r="J245" s="19" t="s">
        <v>1426</v>
      </c>
      <c r="K245" s="19"/>
      <c r="L245" s="24" t="s">
        <v>85</v>
      </c>
      <c r="M245" s="19" t="s">
        <v>1427</v>
      </c>
      <c r="N245" s="36">
        <v>44792</v>
      </c>
      <c r="O245" s="37">
        <v>222727</v>
      </c>
      <c r="P245" s="19">
        <v>350</v>
      </c>
      <c r="Q245" s="40">
        <f t="shared" si="9"/>
        <v>77954450</v>
      </c>
      <c r="R245" s="40">
        <v>357000</v>
      </c>
      <c r="S245" s="40">
        <f t="shared" si="8"/>
        <v>124950000</v>
      </c>
    </row>
    <row r="246" spans="1:19">
      <c r="A246" s="17"/>
      <c r="B246" s="18">
        <v>373</v>
      </c>
      <c r="C246" s="19" t="s">
        <v>1428</v>
      </c>
      <c r="D246" s="20" t="s">
        <v>1429</v>
      </c>
      <c r="E246" s="21" t="s">
        <v>11</v>
      </c>
      <c r="F246" s="22" t="s">
        <v>1696</v>
      </c>
      <c r="G246" s="32" t="s">
        <v>1697</v>
      </c>
      <c r="H246" s="24" t="s">
        <v>1188</v>
      </c>
      <c r="I246" s="19"/>
      <c r="J246" s="19" t="s">
        <v>1422</v>
      </c>
      <c r="K246" s="19"/>
      <c r="L246" s="24" t="s">
        <v>50</v>
      </c>
      <c r="M246" s="19" t="s">
        <v>1430</v>
      </c>
      <c r="N246" s="36">
        <v>44795</v>
      </c>
      <c r="O246" s="37">
        <v>444545</v>
      </c>
      <c r="P246" s="19">
        <v>1</v>
      </c>
      <c r="Q246" s="40">
        <f t="shared" si="9"/>
        <v>444545</v>
      </c>
      <c r="R246" s="40">
        <v>556363.63</v>
      </c>
      <c r="S246" s="40">
        <f t="shared" si="8"/>
        <v>556363.63</v>
      </c>
    </row>
    <row r="247" spans="1:19">
      <c r="A247" s="17"/>
      <c r="B247" s="18">
        <v>374</v>
      </c>
      <c r="C247" s="19" t="s">
        <v>1431</v>
      </c>
      <c r="D247" s="20" t="s">
        <v>1432</v>
      </c>
      <c r="E247" s="21" t="s">
        <v>1296</v>
      </c>
      <c r="F247" s="22" t="s">
        <v>1696</v>
      </c>
      <c r="G247" s="32" t="s">
        <v>1697</v>
      </c>
      <c r="H247" s="24" t="s">
        <v>733</v>
      </c>
      <c r="I247" s="19"/>
      <c r="J247" s="19" t="s">
        <v>1433</v>
      </c>
      <c r="K247" s="19"/>
      <c r="L247" s="24" t="s">
        <v>85</v>
      </c>
      <c r="M247" s="19" t="s">
        <v>1434</v>
      </c>
      <c r="N247" s="36">
        <v>44799</v>
      </c>
      <c r="O247" s="37">
        <v>222727</v>
      </c>
      <c r="P247" s="19">
        <v>1</v>
      </c>
      <c r="Q247" s="40">
        <f t="shared" si="9"/>
        <v>222727</v>
      </c>
      <c r="R247" s="40">
        <v>279091</v>
      </c>
      <c r="S247" s="40">
        <f t="shared" si="8"/>
        <v>279091</v>
      </c>
    </row>
    <row r="248" spans="1:19">
      <c r="A248" s="17"/>
      <c r="B248" s="18">
        <v>375</v>
      </c>
      <c r="C248" s="19" t="s">
        <v>1435</v>
      </c>
      <c r="D248" s="20" t="s">
        <v>1436</v>
      </c>
      <c r="E248" s="21" t="s">
        <v>1437</v>
      </c>
      <c r="F248" s="22" t="s">
        <v>1716</v>
      </c>
      <c r="G248" s="32" t="s">
        <v>1717</v>
      </c>
      <c r="H248" s="24" t="s">
        <v>1438</v>
      </c>
      <c r="I248" s="19"/>
      <c r="J248" s="19" t="s">
        <v>1439</v>
      </c>
      <c r="K248" s="19"/>
      <c r="L248" s="24" t="s">
        <v>63</v>
      </c>
      <c r="M248" s="19" t="s">
        <v>1440</v>
      </c>
      <c r="N248" s="36">
        <v>44804</v>
      </c>
      <c r="O248" s="37">
        <v>74181.600000000006</v>
      </c>
      <c r="P248" s="19">
        <v>150</v>
      </c>
      <c r="Q248" s="40">
        <f t="shared" si="9"/>
        <v>11127240</v>
      </c>
      <c r="R248" s="40">
        <f>145815/1.11</f>
        <v>131364.86486486485</v>
      </c>
      <c r="S248" s="40">
        <f t="shared" si="8"/>
        <v>19704729.729729727</v>
      </c>
    </row>
    <row r="249" spans="1:19">
      <c r="A249" s="17"/>
      <c r="B249" s="18">
        <v>376</v>
      </c>
      <c r="C249" s="19" t="s">
        <v>1441</v>
      </c>
      <c r="D249" s="20">
        <v>2500018879</v>
      </c>
      <c r="E249" s="21" t="s">
        <v>10</v>
      </c>
      <c r="F249" s="22" t="s">
        <v>1702</v>
      </c>
      <c r="G249" s="32" t="s">
        <v>1703</v>
      </c>
      <c r="H249" s="24" t="s">
        <v>814</v>
      </c>
      <c r="I249" s="19"/>
      <c r="J249" s="19" t="s">
        <v>1442</v>
      </c>
      <c r="K249" s="19"/>
      <c r="L249" s="24" t="s">
        <v>816</v>
      </c>
      <c r="M249" s="19" t="s">
        <v>1384</v>
      </c>
      <c r="N249" s="36">
        <v>44783</v>
      </c>
      <c r="O249" s="37">
        <v>22727</v>
      </c>
      <c r="P249" s="19">
        <v>5</v>
      </c>
      <c r="Q249" s="40">
        <f t="shared" si="9"/>
        <v>113635</v>
      </c>
      <c r="R249" s="40">
        <v>29091</v>
      </c>
      <c r="S249" s="40">
        <f t="shared" si="8"/>
        <v>145455</v>
      </c>
    </row>
    <row r="250" spans="1:19">
      <c r="A250" s="17"/>
      <c r="B250" s="18">
        <v>377</v>
      </c>
      <c r="C250" s="25" t="s">
        <v>1443</v>
      </c>
      <c r="D250" s="26" t="s">
        <v>1444</v>
      </c>
      <c r="E250" s="27" t="s">
        <v>82</v>
      </c>
      <c r="F250" s="28" t="s">
        <v>1698</v>
      </c>
      <c r="G250" s="31" t="s">
        <v>1699</v>
      </c>
      <c r="H250" s="30" t="s">
        <v>83</v>
      </c>
      <c r="I250" s="25"/>
      <c r="J250" s="25" t="s">
        <v>1445</v>
      </c>
      <c r="K250" s="25"/>
      <c r="L250" s="30" t="s">
        <v>85</v>
      </c>
      <c r="M250" s="25" t="s">
        <v>1446</v>
      </c>
      <c r="N250" s="38">
        <v>44809</v>
      </c>
      <c r="O250" s="39">
        <v>222727</v>
      </c>
      <c r="P250" s="25">
        <v>84</v>
      </c>
      <c r="Q250" s="41">
        <f t="shared" si="9"/>
        <v>18709068</v>
      </c>
      <c r="R250" s="41">
        <v>279090.90999999997</v>
      </c>
      <c r="S250" s="41">
        <f t="shared" si="8"/>
        <v>23443636.439999998</v>
      </c>
    </row>
    <row r="251" spans="1:19">
      <c r="A251" s="17"/>
      <c r="B251" s="18">
        <v>378</v>
      </c>
      <c r="C251" s="25" t="s">
        <v>1447</v>
      </c>
      <c r="D251" s="26">
        <v>83338</v>
      </c>
      <c r="E251" s="27" t="s">
        <v>17</v>
      </c>
      <c r="F251" s="28" t="s">
        <v>1708</v>
      </c>
      <c r="G251" s="31" t="s">
        <v>1709</v>
      </c>
      <c r="H251" s="27" t="s">
        <v>88</v>
      </c>
      <c r="I251" s="25"/>
      <c r="J251" s="25" t="s">
        <v>1448</v>
      </c>
      <c r="K251" s="25"/>
      <c r="L251" s="30" t="s">
        <v>85</v>
      </c>
      <c r="M251" s="25" t="s">
        <v>1449</v>
      </c>
      <c r="N251" s="38">
        <v>44811</v>
      </c>
      <c r="O251" s="39">
        <v>222727</v>
      </c>
      <c r="P251" s="25">
        <v>5</v>
      </c>
      <c r="Q251" s="41">
        <f t="shared" si="9"/>
        <v>1113635</v>
      </c>
      <c r="R251" s="41">
        <v>275000</v>
      </c>
      <c r="S251" s="41">
        <f t="shared" si="8"/>
        <v>1375000</v>
      </c>
    </row>
    <row r="252" spans="1:19">
      <c r="A252" s="17"/>
      <c r="B252" s="18">
        <v>379</v>
      </c>
      <c r="C252" s="25" t="s">
        <v>1450</v>
      </c>
      <c r="D252" s="26">
        <v>83338</v>
      </c>
      <c r="E252" s="27" t="s">
        <v>17</v>
      </c>
      <c r="F252" s="28" t="s">
        <v>1708</v>
      </c>
      <c r="G252" s="31" t="s">
        <v>1709</v>
      </c>
      <c r="H252" s="27" t="s">
        <v>88</v>
      </c>
      <c r="I252" s="25"/>
      <c r="J252" s="25" t="s">
        <v>1451</v>
      </c>
      <c r="K252" s="25"/>
      <c r="L252" s="30" t="s">
        <v>85</v>
      </c>
      <c r="M252" s="25" t="s">
        <v>90</v>
      </c>
      <c r="N252" s="38">
        <v>44811</v>
      </c>
      <c r="O252" s="39">
        <v>222727</v>
      </c>
      <c r="P252" s="25">
        <v>24</v>
      </c>
      <c r="Q252" s="41">
        <f t="shared" si="9"/>
        <v>5345448</v>
      </c>
      <c r="R252" s="41">
        <v>275000</v>
      </c>
      <c r="S252" s="41">
        <f t="shared" si="8"/>
        <v>6600000</v>
      </c>
    </row>
    <row r="253" spans="1:19">
      <c r="A253" s="17"/>
      <c r="B253" s="18">
        <v>380</v>
      </c>
      <c r="C253" s="25" t="s">
        <v>1452</v>
      </c>
      <c r="D253" s="26">
        <v>83338</v>
      </c>
      <c r="E253" s="27" t="s">
        <v>17</v>
      </c>
      <c r="F253" s="28" t="s">
        <v>1708</v>
      </c>
      <c r="G253" s="31" t="s">
        <v>1709</v>
      </c>
      <c r="H253" s="27" t="s">
        <v>88</v>
      </c>
      <c r="I253" s="25"/>
      <c r="J253" s="25" t="s">
        <v>1448</v>
      </c>
      <c r="K253" s="25"/>
      <c r="L253" s="30" t="s">
        <v>92</v>
      </c>
      <c r="M253" s="25" t="s">
        <v>1453</v>
      </c>
      <c r="N253" s="38">
        <v>44811</v>
      </c>
      <c r="O253" s="39">
        <v>46364</v>
      </c>
      <c r="P253" s="25">
        <v>5</v>
      </c>
      <c r="Q253" s="41">
        <f t="shared" si="9"/>
        <v>231820</v>
      </c>
      <c r="R253" s="41">
        <v>57000</v>
      </c>
      <c r="S253" s="41">
        <f t="shared" si="8"/>
        <v>285000</v>
      </c>
    </row>
    <row r="254" spans="1:19">
      <c r="A254" s="17"/>
      <c r="B254" s="18">
        <v>381</v>
      </c>
      <c r="C254" s="25" t="s">
        <v>1454</v>
      </c>
      <c r="D254" s="26">
        <v>83338</v>
      </c>
      <c r="E254" s="27" t="s">
        <v>17</v>
      </c>
      <c r="F254" s="28" t="s">
        <v>1708</v>
      </c>
      <c r="G254" s="31" t="s">
        <v>1709</v>
      </c>
      <c r="H254" s="27" t="s">
        <v>88</v>
      </c>
      <c r="I254" s="25"/>
      <c r="J254" s="25" t="s">
        <v>1451</v>
      </c>
      <c r="K254" s="25"/>
      <c r="L254" s="30" t="s">
        <v>92</v>
      </c>
      <c r="M254" s="25" t="s">
        <v>93</v>
      </c>
      <c r="N254" s="38">
        <v>44811</v>
      </c>
      <c r="O254" s="39">
        <v>46364</v>
      </c>
      <c r="P254" s="25">
        <v>24</v>
      </c>
      <c r="Q254" s="41">
        <f t="shared" si="9"/>
        <v>1112736</v>
      </c>
      <c r="R254" s="41">
        <v>57000</v>
      </c>
      <c r="S254" s="41">
        <f t="shared" si="8"/>
        <v>1368000</v>
      </c>
    </row>
    <row r="255" spans="1:19">
      <c r="A255" s="17"/>
      <c r="B255" s="18">
        <v>382</v>
      </c>
      <c r="C255" s="25" t="s">
        <v>1455</v>
      </c>
      <c r="D255" s="26">
        <v>83338</v>
      </c>
      <c r="E255" s="27" t="s">
        <v>17</v>
      </c>
      <c r="F255" s="28" t="s">
        <v>1708</v>
      </c>
      <c r="G255" s="31" t="s">
        <v>1709</v>
      </c>
      <c r="H255" s="27" t="s">
        <v>88</v>
      </c>
      <c r="I255" s="25"/>
      <c r="J255" s="25" t="s">
        <v>1456</v>
      </c>
      <c r="K255" s="25"/>
      <c r="L255" s="30" t="s">
        <v>1457</v>
      </c>
      <c r="M255" s="25" t="s">
        <v>1458</v>
      </c>
      <c r="N255" s="38">
        <v>44811</v>
      </c>
      <c r="O255" s="39">
        <v>216480.5</v>
      </c>
      <c r="P255" s="25">
        <v>3</v>
      </c>
      <c r="Q255" s="41">
        <f t="shared" si="9"/>
        <v>649441.5</v>
      </c>
      <c r="R255" s="41">
        <v>533408</v>
      </c>
      <c r="S255" s="41">
        <f t="shared" si="8"/>
        <v>1600224</v>
      </c>
    </row>
    <row r="256" spans="1:19">
      <c r="A256" s="17"/>
      <c r="B256" s="18">
        <v>383</v>
      </c>
      <c r="C256" s="25" t="s">
        <v>1459</v>
      </c>
      <c r="D256" s="26">
        <v>4800465039</v>
      </c>
      <c r="E256" s="27" t="s">
        <v>12</v>
      </c>
      <c r="F256" s="28" t="s">
        <v>1700</v>
      </c>
      <c r="G256" s="31" t="s">
        <v>1701</v>
      </c>
      <c r="H256" s="27" t="s">
        <v>742</v>
      </c>
      <c r="I256" s="25"/>
      <c r="J256" s="25" t="s">
        <v>1460</v>
      </c>
      <c r="K256" s="25"/>
      <c r="L256" s="30" t="s">
        <v>92</v>
      </c>
      <c r="M256" s="25" t="s">
        <v>1461</v>
      </c>
      <c r="N256" s="38">
        <v>44812</v>
      </c>
      <c r="O256" s="39">
        <v>32273</v>
      </c>
      <c r="P256" s="25">
        <v>906</v>
      </c>
      <c r="Q256" s="41">
        <f t="shared" si="9"/>
        <v>29239338</v>
      </c>
      <c r="R256" s="41">
        <v>35500</v>
      </c>
      <c r="S256" s="41">
        <f t="shared" si="8"/>
        <v>32163000</v>
      </c>
    </row>
    <row r="257" spans="1:19">
      <c r="A257" s="17"/>
      <c r="B257" s="18">
        <v>384</v>
      </c>
      <c r="C257" s="25" t="s">
        <v>1462</v>
      </c>
      <c r="D257" s="26" t="s">
        <v>1463</v>
      </c>
      <c r="E257" s="27" t="s">
        <v>11</v>
      </c>
      <c r="F257" s="28" t="s">
        <v>1696</v>
      </c>
      <c r="G257" s="31" t="s">
        <v>1697</v>
      </c>
      <c r="H257" s="27" t="s">
        <v>1412</v>
      </c>
      <c r="I257" s="25"/>
      <c r="J257" s="25" t="s">
        <v>1464</v>
      </c>
      <c r="K257" s="25"/>
      <c r="L257" s="30" t="s">
        <v>1413</v>
      </c>
      <c r="M257" s="25" t="s">
        <v>1465</v>
      </c>
      <c r="N257" s="38">
        <v>44812</v>
      </c>
      <c r="O257" s="39">
        <v>106575</v>
      </c>
      <c r="P257" s="25">
        <v>1</v>
      </c>
      <c r="Q257" s="41">
        <f t="shared" si="9"/>
        <v>106575</v>
      </c>
      <c r="R257" s="41">
        <v>116264</v>
      </c>
      <c r="S257" s="41">
        <f t="shared" si="8"/>
        <v>116264</v>
      </c>
    </row>
    <row r="258" spans="1:19">
      <c r="A258" s="17"/>
      <c r="B258" s="18">
        <v>385</v>
      </c>
      <c r="C258" s="25" t="s">
        <v>1466</v>
      </c>
      <c r="D258" s="26" t="s">
        <v>1467</v>
      </c>
      <c r="E258" s="27" t="s">
        <v>1468</v>
      </c>
      <c r="F258" s="28" t="s">
        <v>1706</v>
      </c>
      <c r="G258" s="31" t="s">
        <v>1707</v>
      </c>
      <c r="H258" s="30" t="s">
        <v>1276</v>
      </c>
      <c r="I258" s="25"/>
      <c r="J258" s="25" t="s">
        <v>1469</v>
      </c>
      <c r="K258" s="25"/>
      <c r="L258" s="30" t="s">
        <v>85</v>
      </c>
      <c r="M258" s="25" t="s">
        <v>1470</v>
      </c>
      <c r="N258" s="38">
        <v>44812</v>
      </c>
      <c r="O258" s="39">
        <v>222727</v>
      </c>
      <c r="P258" s="25">
        <v>60</v>
      </c>
      <c r="Q258" s="41">
        <f t="shared" si="9"/>
        <v>13363620</v>
      </c>
      <c r="R258" s="41">
        <v>367702</v>
      </c>
      <c r="S258" s="41">
        <f t="shared" si="8"/>
        <v>22062120</v>
      </c>
    </row>
    <row r="259" spans="1:19">
      <c r="A259" s="17"/>
      <c r="B259" s="18">
        <v>386</v>
      </c>
      <c r="C259" s="25" t="s">
        <v>1471</v>
      </c>
      <c r="D259" s="26" t="s">
        <v>2</v>
      </c>
      <c r="E259" s="27" t="s">
        <v>1472</v>
      </c>
      <c r="F259" s="28" t="s">
        <v>1718</v>
      </c>
      <c r="G259" s="31" t="s">
        <v>1719</v>
      </c>
      <c r="H259" s="30" t="s">
        <v>131</v>
      </c>
      <c r="I259" s="25"/>
      <c r="J259" s="25" t="s">
        <v>1473</v>
      </c>
      <c r="K259" s="25"/>
      <c r="L259" s="30" t="s">
        <v>50</v>
      </c>
      <c r="M259" s="25" t="s">
        <v>1474</v>
      </c>
      <c r="N259" s="38">
        <v>44824</v>
      </c>
      <c r="O259" s="39">
        <v>351191</v>
      </c>
      <c r="P259" s="25">
        <v>305</v>
      </c>
      <c r="Q259" s="41">
        <f t="shared" si="9"/>
        <v>107113255</v>
      </c>
      <c r="R259" s="41">
        <v>449549</v>
      </c>
      <c r="S259" s="41">
        <f t="shared" si="8"/>
        <v>137112445</v>
      </c>
    </row>
    <row r="260" spans="1:19">
      <c r="A260" s="17"/>
      <c r="B260" s="18">
        <v>387</v>
      </c>
      <c r="C260" s="25" t="s">
        <v>1475</v>
      </c>
      <c r="D260" s="26" t="s">
        <v>1476</v>
      </c>
      <c r="E260" s="27" t="s">
        <v>9</v>
      </c>
      <c r="F260" s="28" t="s">
        <v>1692</v>
      </c>
      <c r="G260" s="29" t="s">
        <v>1693</v>
      </c>
      <c r="H260" s="30" t="s">
        <v>1365</v>
      </c>
      <c r="I260" s="25"/>
      <c r="J260" s="25" t="s">
        <v>1477</v>
      </c>
      <c r="K260" s="25"/>
      <c r="L260" s="30" t="s">
        <v>50</v>
      </c>
      <c r="M260" s="25" t="s">
        <v>1478</v>
      </c>
      <c r="N260" s="38">
        <v>44831</v>
      </c>
      <c r="O260" s="39">
        <v>254545</v>
      </c>
      <c r="P260" s="25">
        <v>2</v>
      </c>
      <c r="Q260" s="41">
        <f t="shared" si="9"/>
        <v>509090</v>
      </c>
      <c r="R260" s="41">
        <v>275000</v>
      </c>
      <c r="S260" s="41">
        <f t="shared" si="8"/>
        <v>550000</v>
      </c>
    </row>
    <row r="261" spans="1:19">
      <c r="A261" s="17"/>
      <c r="B261" s="18">
        <v>388</v>
      </c>
      <c r="C261" s="25" t="s">
        <v>1479</v>
      </c>
      <c r="D261" s="26" t="s">
        <v>1480</v>
      </c>
      <c r="E261" s="27" t="s">
        <v>82</v>
      </c>
      <c r="F261" s="28" t="s">
        <v>1698</v>
      </c>
      <c r="G261" s="31" t="s">
        <v>1699</v>
      </c>
      <c r="H261" s="27" t="s">
        <v>83</v>
      </c>
      <c r="I261" s="25"/>
      <c r="J261" s="25" t="s">
        <v>1481</v>
      </c>
      <c r="K261" s="25"/>
      <c r="L261" s="30" t="s">
        <v>85</v>
      </c>
      <c r="M261" s="25" t="s">
        <v>1482</v>
      </c>
      <c r="N261" s="38">
        <v>44832</v>
      </c>
      <c r="O261" s="39">
        <v>222727</v>
      </c>
      <c r="P261" s="25">
        <v>165</v>
      </c>
      <c r="Q261" s="41">
        <f t="shared" si="9"/>
        <v>36749955</v>
      </c>
      <c r="R261" s="41">
        <v>279090.90999999997</v>
      </c>
      <c r="S261" s="41">
        <f t="shared" si="8"/>
        <v>46050000.149999999</v>
      </c>
    </row>
    <row r="262" spans="1:19">
      <c r="A262" s="17"/>
      <c r="B262" s="18">
        <v>389</v>
      </c>
      <c r="C262" s="25" t="s">
        <v>1483</v>
      </c>
      <c r="D262" s="26">
        <v>2500024113</v>
      </c>
      <c r="E262" s="27" t="s">
        <v>10</v>
      </c>
      <c r="F262" s="28" t="s">
        <v>1702</v>
      </c>
      <c r="G262" s="31" t="s">
        <v>1703</v>
      </c>
      <c r="H262" s="27" t="s">
        <v>814</v>
      </c>
      <c r="I262" s="25"/>
      <c r="J262" s="25" t="s">
        <v>1484</v>
      </c>
      <c r="K262" s="25"/>
      <c r="L262" s="30" t="s">
        <v>816</v>
      </c>
      <c r="M262" s="25" t="s">
        <v>1384</v>
      </c>
      <c r="N262" s="38">
        <v>44783</v>
      </c>
      <c r="O262" s="39">
        <v>22727</v>
      </c>
      <c r="P262" s="25">
        <v>5</v>
      </c>
      <c r="Q262" s="41">
        <f t="shared" si="9"/>
        <v>113635</v>
      </c>
      <c r="R262" s="41">
        <v>29091</v>
      </c>
      <c r="S262" s="41">
        <f t="shared" si="8"/>
        <v>145455</v>
      </c>
    </row>
    <row r="263" spans="1:19">
      <c r="A263" s="17"/>
      <c r="B263" s="18">
        <v>390</v>
      </c>
      <c r="C263" s="19" t="s">
        <v>1485</v>
      </c>
      <c r="D263" s="20">
        <v>4800470092</v>
      </c>
      <c r="E263" s="21" t="s">
        <v>12</v>
      </c>
      <c r="F263" s="22" t="s">
        <v>1700</v>
      </c>
      <c r="G263" s="32" t="s">
        <v>1701</v>
      </c>
      <c r="H263" s="21" t="s">
        <v>466</v>
      </c>
      <c r="I263" s="19"/>
      <c r="J263" s="19" t="s">
        <v>1486</v>
      </c>
      <c r="K263" s="19"/>
      <c r="L263" s="24" t="s">
        <v>85</v>
      </c>
      <c r="M263" s="19" t="s">
        <v>1487</v>
      </c>
      <c r="N263" s="36">
        <v>44859</v>
      </c>
      <c r="O263" s="37">
        <v>222727</v>
      </c>
      <c r="P263" s="19">
        <v>95</v>
      </c>
      <c r="Q263" s="40">
        <f t="shared" si="9"/>
        <v>21159065</v>
      </c>
      <c r="R263" s="40">
        <v>257182</v>
      </c>
      <c r="S263" s="40">
        <f t="shared" si="8"/>
        <v>24432290</v>
      </c>
    </row>
    <row r="264" spans="1:19" s="1" customFormat="1" ht="12.75">
      <c r="A264" s="17"/>
      <c r="B264" s="18">
        <v>391</v>
      </c>
      <c r="C264" s="19" t="s">
        <v>1488</v>
      </c>
      <c r="D264" s="20">
        <v>2500026864</v>
      </c>
      <c r="E264" s="21" t="s">
        <v>11</v>
      </c>
      <c r="F264" s="22" t="s">
        <v>1696</v>
      </c>
      <c r="G264" s="32" t="s">
        <v>1697</v>
      </c>
      <c r="H264" s="24" t="s">
        <v>814</v>
      </c>
      <c r="I264" s="19"/>
      <c r="J264" s="19" t="s">
        <v>1489</v>
      </c>
      <c r="K264" s="19"/>
      <c r="L264" s="24" t="s">
        <v>816</v>
      </c>
      <c r="M264" s="19" t="s">
        <v>1384</v>
      </c>
      <c r="N264" s="36">
        <v>44848</v>
      </c>
      <c r="O264" s="37">
        <v>22727</v>
      </c>
      <c r="P264" s="19">
        <v>5</v>
      </c>
      <c r="Q264" s="40">
        <f t="shared" si="9"/>
        <v>113635</v>
      </c>
      <c r="R264" s="40">
        <v>29091</v>
      </c>
      <c r="S264" s="40">
        <f t="shared" si="8"/>
        <v>145455</v>
      </c>
    </row>
    <row r="265" spans="1:19" s="1" customFormat="1" ht="12.75">
      <c r="A265" s="17"/>
      <c r="B265" s="18">
        <v>392</v>
      </c>
      <c r="C265" s="19" t="s">
        <v>1490</v>
      </c>
      <c r="D265" s="20">
        <v>2500026864</v>
      </c>
      <c r="E265" s="21" t="s">
        <v>11</v>
      </c>
      <c r="F265" s="22" t="s">
        <v>1696</v>
      </c>
      <c r="G265" s="32" t="s">
        <v>1697</v>
      </c>
      <c r="H265" s="24" t="s">
        <v>814</v>
      </c>
      <c r="I265" s="19"/>
      <c r="J265" s="19" t="s">
        <v>1491</v>
      </c>
      <c r="K265" s="19"/>
      <c r="L265" s="24" t="s">
        <v>816</v>
      </c>
      <c r="M265" s="19" t="s">
        <v>1492</v>
      </c>
      <c r="N265" s="36">
        <v>44848</v>
      </c>
      <c r="O265" s="37">
        <v>22727</v>
      </c>
      <c r="P265" s="19">
        <v>10</v>
      </c>
      <c r="Q265" s="40">
        <f t="shared" si="9"/>
        <v>227270</v>
      </c>
      <c r="R265" s="40">
        <v>29091</v>
      </c>
      <c r="S265" s="40">
        <f t="shared" si="8"/>
        <v>290910</v>
      </c>
    </row>
    <row r="266" spans="1:19">
      <c r="A266" s="17"/>
      <c r="B266" s="18">
        <v>393</v>
      </c>
      <c r="C266" s="25" t="s">
        <v>1493</v>
      </c>
      <c r="D266" s="26" t="s">
        <v>1494</v>
      </c>
      <c r="E266" s="27" t="s">
        <v>1495</v>
      </c>
      <c r="F266" s="28" t="s">
        <v>1716</v>
      </c>
      <c r="G266" s="31" t="s">
        <v>1717</v>
      </c>
      <c r="H266" s="30" t="s">
        <v>1438</v>
      </c>
      <c r="I266" s="25"/>
      <c r="J266" s="25" t="s">
        <v>1496</v>
      </c>
      <c r="K266" s="25"/>
      <c r="L266" s="30" t="s">
        <v>63</v>
      </c>
      <c r="M266" s="25" t="s">
        <v>1497</v>
      </c>
      <c r="N266" s="38">
        <v>44881</v>
      </c>
      <c r="O266" s="39">
        <v>74181.600000000006</v>
      </c>
      <c r="P266" s="25">
        <v>113</v>
      </c>
      <c r="Q266" s="41">
        <f t="shared" si="9"/>
        <v>8382520.8000000007</v>
      </c>
      <c r="R266" s="41">
        <f>149000/1.11</f>
        <v>134234.23423423423</v>
      </c>
      <c r="S266" s="41">
        <f t="shared" si="8"/>
        <v>15168468.468468469</v>
      </c>
    </row>
    <row r="267" spans="1:19">
      <c r="A267" s="17"/>
      <c r="B267" s="18">
        <v>394</v>
      </c>
      <c r="C267" s="25" t="s">
        <v>1498</v>
      </c>
      <c r="D267" s="26" t="s">
        <v>1499</v>
      </c>
      <c r="E267" s="27" t="s">
        <v>7</v>
      </c>
      <c r="F267" s="28" t="s">
        <v>1698</v>
      </c>
      <c r="G267" s="31" t="s">
        <v>1699</v>
      </c>
      <c r="H267" s="27" t="s">
        <v>83</v>
      </c>
      <c r="I267" s="25"/>
      <c r="J267" s="25" t="s">
        <v>1500</v>
      </c>
      <c r="K267" s="25"/>
      <c r="L267" s="30" t="s">
        <v>85</v>
      </c>
      <c r="M267" s="25" t="s">
        <v>1501</v>
      </c>
      <c r="N267" s="38">
        <v>44886</v>
      </c>
      <c r="O267" s="39">
        <v>222727</v>
      </c>
      <c r="P267" s="25">
        <v>154</v>
      </c>
      <c r="Q267" s="41">
        <f t="shared" si="9"/>
        <v>34299958</v>
      </c>
      <c r="R267" s="41">
        <v>279090.90999999997</v>
      </c>
      <c r="S267" s="41">
        <f t="shared" si="8"/>
        <v>42980000.139999993</v>
      </c>
    </row>
    <row r="268" spans="1:19">
      <c r="A268" s="17"/>
      <c r="B268" s="18">
        <v>395</v>
      </c>
      <c r="C268" s="25" t="s">
        <v>1502</v>
      </c>
      <c r="D268" s="26">
        <v>2500030158</v>
      </c>
      <c r="E268" s="27" t="s">
        <v>10</v>
      </c>
      <c r="F268" s="28" t="s">
        <v>1702</v>
      </c>
      <c r="G268" s="31" t="s">
        <v>1703</v>
      </c>
      <c r="H268" s="27" t="s">
        <v>1503</v>
      </c>
      <c r="I268" s="25"/>
      <c r="J268" s="25" t="s">
        <v>1504</v>
      </c>
      <c r="K268" s="25"/>
      <c r="L268" s="30" t="s">
        <v>816</v>
      </c>
      <c r="M268" s="25" t="s">
        <v>1505</v>
      </c>
      <c r="N268" s="38">
        <v>44874</v>
      </c>
      <c r="O268" s="39">
        <v>22727</v>
      </c>
      <c r="P268" s="25">
        <v>15</v>
      </c>
      <c r="Q268" s="41">
        <f t="shared" si="9"/>
        <v>340905</v>
      </c>
      <c r="R268" s="41">
        <v>29091</v>
      </c>
      <c r="S268" s="41">
        <f t="shared" ref="S268:S331" si="10">R268*P268</f>
        <v>436365</v>
      </c>
    </row>
    <row r="269" spans="1:19">
      <c r="A269" s="17"/>
      <c r="B269" s="18">
        <v>396</v>
      </c>
      <c r="C269" s="25" t="s">
        <v>1506</v>
      </c>
      <c r="D269" s="26" t="s">
        <v>1507</v>
      </c>
      <c r="E269" s="27" t="s">
        <v>11</v>
      </c>
      <c r="F269" s="28" t="s">
        <v>1696</v>
      </c>
      <c r="G269" s="31" t="s">
        <v>1697</v>
      </c>
      <c r="H269" s="27" t="s">
        <v>1188</v>
      </c>
      <c r="I269" s="25"/>
      <c r="J269" s="25" t="s">
        <v>1508</v>
      </c>
      <c r="K269" s="25"/>
      <c r="L269" s="30" t="s">
        <v>50</v>
      </c>
      <c r="M269" s="25" t="s">
        <v>1509</v>
      </c>
      <c r="N269" s="38">
        <v>44888</v>
      </c>
      <c r="O269" s="39">
        <v>444545</v>
      </c>
      <c r="P269" s="25">
        <v>28</v>
      </c>
      <c r="Q269" s="41">
        <f t="shared" si="9"/>
        <v>12447260</v>
      </c>
      <c r="R269" s="41">
        <v>556364</v>
      </c>
      <c r="S269" s="41">
        <f t="shared" si="10"/>
        <v>15578192</v>
      </c>
    </row>
    <row r="270" spans="1:19">
      <c r="A270" s="17"/>
      <c r="B270" s="18">
        <v>397</v>
      </c>
      <c r="C270" s="25" t="s">
        <v>1510</v>
      </c>
      <c r="D270" s="26" t="s">
        <v>1511</v>
      </c>
      <c r="E270" s="27" t="s">
        <v>1437</v>
      </c>
      <c r="F270" s="28" t="s">
        <v>1716</v>
      </c>
      <c r="G270" s="31" t="s">
        <v>1717</v>
      </c>
      <c r="H270" s="27" t="s">
        <v>1512</v>
      </c>
      <c r="I270" s="25"/>
      <c r="J270" s="25" t="s">
        <v>1513</v>
      </c>
      <c r="K270" s="25"/>
      <c r="L270" s="30" t="s">
        <v>85</v>
      </c>
      <c r="M270" s="25" t="s">
        <v>1514</v>
      </c>
      <c r="N270" s="38">
        <v>44888</v>
      </c>
      <c r="O270" s="39">
        <v>222727</v>
      </c>
      <c r="P270" s="25">
        <v>11</v>
      </c>
      <c r="Q270" s="41">
        <f t="shared" si="9"/>
        <v>2449997</v>
      </c>
      <c r="R270" s="41">
        <v>281184</v>
      </c>
      <c r="S270" s="41">
        <f t="shared" si="10"/>
        <v>3093024</v>
      </c>
    </row>
    <row r="271" spans="1:19">
      <c r="A271" s="17"/>
      <c r="B271" s="18">
        <v>398</v>
      </c>
      <c r="C271" s="19" t="s">
        <v>1515</v>
      </c>
      <c r="D271" s="20" t="s">
        <v>1516</v>
      </c>
      <c r="E271" s="21" t="s">
        <v>11</v>
      </c>
      <c r="F271" s="22" t="s">
        <v>1696</v>
      </c>
      <c r="G271" s="32" t="s">
        <v>1697</v>
      </c>
      <c r="H271" s="21" t="s">
        <v>1517</v>
      </c>
      <c r="I271" s="19"/>
      <c r="J271" s="19" t="s">
        <v>1518</v>
      </c>
      <c r="K271" s="19"/>
      <c r="L271" s="24" t="s">
        <v>1519</v>
      </c>
      <c r="M271" s="19" t="s">
        <v>1520</v>
      </c>
      <c r="N271" s="36">
        <v>44896</v>
      </c>
      <c r="O271" s="37">
        <v>43636</v>
      </c>
      <c r="P271" s="19">
        <v>40</v>
      </c>
      <c r="Q271" s="40">
        <f t="shared" si="9"/>
        <v>1745440</v>
      </c>
      <c r="R271" s="40">
        <v>57300</v>
      </c>
      <c r="S271" s="40">
        <f t="shared" si="10"/>
        <v>2292000</v>
      </c>
    </row>
    <row r="272" spans="1:19">
      <c r="A272" s="17"/>
      <c r="B272" s="18">
        <v>399</v>
      </c>
      <c r="C272" s="19" t="s">
        <v>1521</v>
      </c>
      <c r="D272" s="20" t="s">
        <v>1522</v>
      </c>
      <c r="E272" s="21" t="s">
        <v>11</v>
      </c>
      <c r="F272" s="22" t="s">
        <v>1696</v>
      </c>
      <c r="G272" s="32" t="s">
        <v>1697</v>
      </c>
      <c r="H272" s="21" t="s">
        <v>1517</v>
      </c>
      <c r="I272" s="19"/>
      <c r="J272" s="19" t="s">
        <v>1523</v>
      </c>
      <c r="K272" s="19"/>
      <c r="L272" s="24" t="s">
        <v>1519</v>
      </c>
      <c r="M272" s="19" t="s">
        <v>1524</v>
      </c>
      <c r="N272" s="36">
        <v>44900</v>
      </c>
      <c r="O272" s="37">
        <v>43636</v>
      </c>
      <c r="P272" s="19">
        <v>60</v>
      </c>
      <c r="Q272" s="40">
        <f t="shared" si="9"/>
        <v>2618160</v>
      </c>
      <c r="R272" s="40">
        <v>57300</v>
      </c>
      <c r="S272" s="40">
        <f t="shared" si="10"/>
        <v>3438000</v>
      </c>
    </row>
    <row r="273" spans="1:19" s="1" customFormat="1" ht="12.75">
      <c r="A273" s="17"/>
      <c r="B273" s="18">
        <v>400</v>
      </c>
      <c r="C273" s="19" t="s">
        <v>1525</v>
      </c>
      <c r="D273" s="20" t="s">
        <v>2</v>
      </c>
      <c r="E273" s="21" t="s">
        <v>2</v>
      </c>
      <c r="F273" s="21"/>
      <c r="G273" s="43"/>
      <c r="H273" s="24" t="s">
        <v>1526</v>
      </c>
      <c r="I273" s="19"/>
      <c r="J273" s="19" t="s">
        <v>1527</v>
      </c>
      <c r="K273" s="19"/>
      <c r="L273" s="24" t="s">
        <v>1528</v>
      </c>
      <c r="M273" s="19" t="s">
        <v>1529</v>
      </c>
      <c r="N273" s="36">
        <v>44903</v>
      </c>
      <c r="O273" s="37">
        <v>36081</v>
      </c>
      <c r="P273" s="19">
        <v>3</v>
      </c>
      <c r="Q273" s="40">
        <f t="shared" si="9"/>
        <v>108243</v>
      </c>
      <c r="R273" s="40">
        <f>49950/1.11</f>
        <v>44999.999999999993</v>
      </c>
      <c r="S273" s="40">
        <f t="shared" si="10"/>
        <v>134999.99999999997</v>
      </c>
    </row>
    <row r="274" spans="1:19" s="1" customFormat="1" ht="12.75">
      <c r="A274" s="17"/>
      <c r="B274" s="18">
        <v>401</v>
      </c>
      <c r="C274" s="19" t="s">
        <v>1530</v>
      </c>
      <c r="D274" s="20" t="s">
        <v>2</v>
      </c>
      <c r="E274" s="21" t="s">
        <v>2</v>
      </c>
      <c r="F274" s="21"/>
      <c r="G274" s="43"/>
      <c r="H274" s="24" t="s">
        <v>1526</v>
      </c>
      <c r="I274" s="19"/>
      <c r="J274" s="19" t="s">
        <v>1527</v>
      </c>
      <c r="K274" s="19"/>
      <c r="L274" s="24" t="s">
        <v>1528</v>
      </c>
      <c r="M274" s="19" t="s">
        <v>1531</v>
      </c>
      <c r="N274" s="36">
        <v>44903</v>
      </c>
      <c r="O274" s="37">
        <v>36081</v>
      </c>
      <c r="P274" s="19">
        <v>3</v>
      </c>
      <c r="Q274" s="40">
        <f t="shared" si="9"/>
        <v>108243</v>
      </c>
      <c r="R274" s="40">
        <f>49950/1.11</f>
        <v>44999.999999999993</v>
      </c>
      <c r="S274" s="40">
        <f t="shared" si="10"/>
        <v>134999.99999999997</v>
      </c>
    </row>
    <row r="275" spans="1:19">
      <c r="A275" s="17"/>
      <c r="B275" s="18">
        <v>402</v>
      </c>
      <c r="C275" s="19" t="s">
        <v>1532</v>
      </c>
      <c r="D275" s="20" t="s">
        <v>1533</v>
      </c>
      <c r="E275" s="21" t="s">
        <v>11</v>
      </c>
      <c r="F275" s="22" t="s">
        <v>1696</v>
      </c>
      <c r="G275" s="32" t="s">
        <v>1697</v>
      </c>
      <c r="H275" s="21" t="s">
        <v>1517</v>
      </c>
      <c r="I275" s="19"/>
      <c r="J275" s="19" t="s">
        <v>1534</v>
      </c>
      <c r="K275" s="19"/>
      <c r="L275" s="24" t="s">
        <v>1519</v>
      </c>
      <c r="M275" s="19" t="s">
        <v>1535</v>
      </c>
      <c r="N275" s="36">
        <v>44905</v>
      </c>
      <c r="O275" s="37">
        <v>43636</v>
      </c>
      <c r="P275" s="19">
        <v>700</v>
      </c>
      <c r="Q275" s="40">
        <f t="shared" si="9"/>
        <v>30545200</v>
      </c>
      <c r="R275" s="40">
        <v>57300</v>
      </c>
      <c r="S275" s="40">
        <f t="shared" si="10"/>
        <v>40110000</v>
      </c>
    </row>
    <row r="276" spans="1:19" s="1" customFormat="1" ht="12.75">
      <c r="A276" s="17"/>
      <c r="B276" s="18">
        <v>403</v>
      </c>
      <c r="C276" s="19" t="s">
        <v>1536</v>
      </c>
      <c r="D276" s="20">
        <v>84404</v>
      </c>
      <c r="E276" s="21" t="s">
        <v>17</v>
      </c>
      <c r="F276" s="22" t="s">
        <v>1708</v>
      </c>
      <c r="G276" s="32" t="s">
        <v>1709</v>
      </c>
      <c r="H276" s="24" t="s">
        <v>114</v>
      </c>
      <c r="I276" s="19"/>
      <c r="J276" s="19" t="s">
        <v>1537</v>
      </c>
      <c r="K276" s="19"/>
      <c r="L276" s="24" t="s">
        <v>85</v>
      </c>
      <c r="M276" s="19" t="s">
        <v>1538</v>
      </c>
      <c r="N276" s="36">
        <v>44907</v>
      </c>
      <c r="O276" s="37">
        <v>222727</v>
      </c>
      <c r="P276" s="19">
        <v>49</v>
      </c>
      <c r="Q276" s="40">
        <f t="shared" si="9"/>
        <v>10913623</v>
      </c>
      <c r="R276" s="40">
        <v>279091</v>
      </c>
      <c r="S276" s="40">
        <f t="shared" si="10"/>
        <v>13675459</v>
      </c>
    </row>
    <row r="277" spans="1:19">
      <c r="A277" s="17"/>
      <c r="B277" s="18">
        <v>404</v>
      </c>
      <c r="C277" s="19" t="s">
        <v>1539</v>
      </c>
      <c r="D277" s="20">
        <v>84404</v>
      </c>
      <c r="E277" s="21" t="s">
        <v>17</v>
      </c>
      <c r="F277" s="22" t="s">
        <v>1708</v>
      </c>
      <c r="G277" s="32" t="s">
        <v>1709</v>
      </c>
      <c r="H277" s="24" t="s">
        <v>114</v>
      </c>
      <c r="I277" s="19"/>
      <c r="J277" s="19" t="s">
        <v>1537</v>
      </c>
      <c r="K277" s="19"/>
      <c r="L277" s="24" t="s">
        <v>92</v>
      </c>
      <c r="M277" s="19" t="s">
        <v>116</v>
      </c>
      <c r="N277" s="36">
        <v>44907</v>
      </c>
      <c r="O277" s="37">
        <v>46364</v>
      </c>
      <c r="P277" s="19">
        <v>49</v>
      </c>
      <c r="Q277" s="40">
        <f t="shared" si="9"/>
        <v>2271836</v>
      </c>
      <c r="R277" s="40">
        <v>58182</v>
      </c>
      <c r="S277" s="40">
        <f t="shared" si="10"/>
        <v>2850918</v>
      </c>
    </row>
    <row r="278" spans="1:19" s="1" customFormat="1" ht="12.75">
      <c r="A278" s="17"/>
      <c r="B278" s="18">
        <v>405</v>
      </c>
      <c r="C278" s="19" t="s">
        <v>1540</v>
      </c>
      <c r="D278" s="20">
        <v>84404</v>
      </c>
      <c r="E278" s="21" t="s">
        <v>17</v>
      </c>
      <c r="F278" s="22" t="s">
        <v>1708</v>
      </c>
      <c r="G278" s="32" t="s">
        <v>1709</v>
      </c>
      <c r="H278" s="24" t="s">
        <v>114</v>
      </c>
      <c r="I278" s="19"/>
      <c r="J278" s="19" t="s">
        <v>1541</v>
      </c>
      <c r="K278" s="19"/>
      <c r="L278" s="24" t="s">
        <v>85</v>
      </c>
      <c r="M278" s="19" t="s">
        <v>1542</v>
      </c>
      <c r="N278" s="36">
        <v>44907</v>
      </c>
      <c r="O278" s="37">
        <v>171818</v>
      </c>
      <c r="P278" s="19">
        <v>20</v>
      </c>
      <c r="Q278" s="40">
        <f t="shared" si="9"/>
        <v>3436360</v>
      </c>
      <c r="R278" s="40">
        <v>279091</v>
      </c>
      <c r="S278" s="40">
        <f t="shared" si="10"/>
        <v>5581820</v>
      </c>
    </row>
    <row r="279" spans="1:19" s="1" customFormat="1" ht="12.75">
      <c r="A279" s="17"/>
      <c r="B279" s="18">
        <v>406</v>
      </c>
      <c r="C279" s="19" t="s">
        <v>1543</v>
      </c>
      <c r="D279" s="20">
        <v>84404</v>
      </c>
      <c r="E279" s="21" t="s">
        <v>17</v>
      </c>
      <c r="F279" s="22" t="s">
        <v>1708</v>
      </c>
      <c r="G279" s="32" t="s">
        <v>1709</v>
      </c>
      <c r="H279" s="24" t="s">
        <v>114</v>
      </c>
      <c r="I279" s="19"/>
      <c r="J279" s="19" t="s">
        <v>1541</v>
      </c>
      <c r="K279" s="19"/>
      <c r="L279" s="24" t="s">
        <v>92</v>
      </c>
      <c r="M279" s="19" t="s">
        <v>118</v>
      </c>
      <c r="N279" s="36">
        <v>44907</v>
      </c>
      <c r="O279" s="37">
        <v>40909</v>
      </c>
      <c r="P279" s="19">
        <v>20</v>
      </c>
      <c r="Q279" s="40">
        <f t="shared" si="9"/>
        <v>818180</v>
      </c>
      <c r="R279" s="40">
        <v>58182</v>
      </c>
      <c r="S279" s="40">
        <f t="shared" si="10"/>
        <v>1163640</v>
      </c>
    </row>
    <row r="280" spans="1:19" s="1" customFormat="1" ht="12.75">
      <c r="A280" s="17"/>
      <c r="B280" s="18">
        <v>407</v>
      </c>
      <c r="C280" s="19" t="s">
        <v>1544</v>
      </c>
      <c r="D280" s="20">
        <v>84404</v>
      </c>
      <c r="E280" s="21" t="s">
        <v>17</v>
      </c>
      <c r="F280" s="22" t="s">
        <v>1708</v>
      </c>
      <c r="G280" s="32" t="s">
        <v>1709</v>
      </c>
      <c r="H280" s="24" t="s">
        <v>114</v>
      </c>
      <c r="I280" s="19"/>
      <c r="J280" s="19" t="s">
        <v>1545</v>
      </c>
      <c r="K280" s="19"/>
      <c r="L280" s="24" t="s">
        <v>1457</v>
      </c>
      <c r="M280" s="19" t="s">
        <v>1546</v>
      </c>
      <c r="N280" s="36">
        <v>44907</v>
      </c>
      <c r="O280" s="37">
        <v>216480.5</v>
      </c>
      <c r="P280" s="19">
        <v>1</v>
      </c>
      <c r="Q280" s="40">
        <f t="shared" si="9"/>
        <v>216480.5</v>
      </c>
      <c r="R280" s="40">
        <v>533408</v>
      </c>
      <c r="S280" s="40">
        <f t="shared" si="10"/>
        <v>533408</v>
      </c>
    </row>
    <row r="281" spans="1:19">
      <c r="A281" s="17"/>
      <c r="B281" s="18">
        <v>408</v>
      </c>
      <c r="C281" s="19" t="s">
        <v>1547</v>
      </c>
      <c r="D281" s="20" t="s">
        <v>1548</v>
      </c>
      <c r="E281" s="21" t="s">
        <v>11</v>
      </c>
      <c r="F281" s="22" t="s">
        <v>1696</v>
      </c>
      <c r="G281" s="32" t="s">
        <v>1697</v>
      </c>
      <c r="H281" s="21" t="s">
        <v>1517</v>
      </c>
      <c r="I281" s="19"/>
      <c r="J281" s="19" t="s">
        <v>1549</v>
      </c>
      <c r="K281" s="19"/>
      <c r="L281" s="24" t="s">
        <v>1519</v>
      </c>
      <c r="M281" s="19" t="s">
        <v>1550</v>
      </c>
      <c r="N281" s="36">
        <v>44907</v>
      </c>
      <c r="O281" s="37">
        <v>43636</v>
      </c>
      <c r="P281" s="19">
        <v>300</v>
      </c>
      <c r="Q281" s="40">
        <f t="shared" si="9"/>
        <v>13090800</v>
      </c>
      <c r="R281" s="40">
        <v>57300</v>
      </c>
      <c r="S281" s="40">
        <f t="shared" si="10"/>
        <v>17190000</v>
      </c>
    </row>
    <row r="282" spans="1:19">
      <c r="A282" s="17"/>
      <c r="B282" s="18">
        <v>409</v>
      </c>
      <c r="C282" s="19" t="s">
        <v>1551</v>
      </c>
      <c r="D282" s="20" t="s">
        <v>1552</v>
      </c>
      <c r="E282" s="21" t="s">
        <v>11</v>
      </c>
      <c r="F282" s="22" t="s">
        <v>1696</v>
      </c>
      <c r="G282" s="32" t="s">
        <v>1697</v>
      </c>
      <c r="H282" s="24" t="s">
        <v>733</v>
      </c>
      <c r="I282" s="19"/>
      <c r="J282" s="19" t="s">
        <v>1553</v>
      </c>
      <c r="K282" s="19"/>
      <c r="L282" s="24" t="s">
        <v>85</v>
      </c>
      <c r="M282" s="19" t="s">
        <v>1554</v>
      </c>
      <c r="N282" s="36">
        <v>44910</v>
      </c>
      <c r="O282" s="37">
        <v>222727</v>
      </c>
      <c r="P282" s="19">
        <v>105</v>
      </c>
      <c r="Q282" s="40">
        <f t="shared" si="9"/>
        <v>23386335</v>
      </c>
      <c r="R282" s="40">
        <v>279091</v>
      </c>
      <c r="S282" s="40">
        <f t="shared" si="10"/>
        <v>29304555</v>
      </c>
    </row>
    <row r="283" spans="1:19" s="1" customFormat="1" ht="12.75">
      <c r="A283" s="17"/>
      <c r="B283" s="18">
        <v>410</v>
      </c>
      <c r="C283" s="19" t="s">
        <v>1555</v>
      </c>
      <c r="D283" s="20" t="s">
        <v>2</v>
      </c>
      <c r="E283" s="21" t="s">
        <v>2</v>
      </c>
      <c r="F283" s="21"/>
      <c r="G283" s="43"/>
      <c r="H283" s="24" t="s">
        <v>1526</v>
      </c>
      <c r="I283" s="19"/>
      <c r="J283" s="19" t="s">
        <v>1556</v>
      </c>
      <c r="K283" s="19"/>
      <c r="L283" s="24" t="s">
        <v>1457</v>
      </c>
      <c r="M283" s="19" t="s">
        <v>1557</v>
      </c>
      <c r="N283" s="36">
        <v>44911</v>
      </c>
      <c r="O283" s="37">
        <v>432961</v>
      </c>
      <c r="P283" s="19">
        <v>1</v>
      </c>
      <c r="Q283" s="40">
        <f t="shared" si="9"/>
        <v>432961</v>
      </c>
      <c r="R283" s="40">
        <f>592083/1.11</f>
        <v>533408.10810810805</v>
      </c>
      <c r="S283" s="40">
        <f t="shared" si="10"/>
        <v>533408.10810810805</v>
      </c>
    </row>
    <row r="284" spans="1:19" s="1" customFormat="1" ht="12.75">
      <c r="A284" s="17"/>
      <c r="B284" s="44">
        <v>411</v>
      </c>
      <c r="C284" s="45" t="s">
        <v>1558</v>
      </c>
      <c r="D284" s="46" t="s">
        <v>2</v>
      </c>
      <c r="E284" s="47" t="s">
        <v>2</v>
      </c>
      <c r="F284" s="47"/>
      <c r="G284" s="48"/>
      <c r="H284" s="49" t="s">
        <v>1526</v>
      </c>
      <c r="I284" s="45"/>
      <c r="J284" s="45" t="s">
        <v>1556</v>
      </c>
      <c r="K284" s="45"/>
      <c r="L284" s="49" t="s">
        <v>1457</v>
      </c>
      <c r="M284" s="45" t="s">
        <v>1559</v>
      </c>
      <c r="N284" s="102">
        <v>44911</v>
      </c>
      <c r="O284" s="103">
        <v>432961</v>
      </c>
      <c r="P284" s="45">
        <v>2</v>
      </c>
      <c r="Q284" s="120">
        <f t="shared" si="9"/>
        <v>865922</v>
      </c>
      <c r="R284" s="120">
        <f>592083/1.11</f>
        <v>533408.10810810805</v>
      </c>
      <c r="S284" s="40">
        <f t="shared" si="10"/>
        <v>1066816.2162162161</v>
      </c>
    </row>
    <row r="285" spans="1:19" s="1" customFormat="1" ht="12.75">
      <c r="A285" s="17"/>
      <c r="B285" s="44">
        <v>412</v>
      </c>
      <c r="C285" s="45" t="s">
        <v>1560</v>
      </c>
      <c r="D285" s="46" t="s">
        <v>1561</v>
      </c>
      <c r="E285" s="47" t="s">
        <v>9</v>
      </c>
      <c r="F285" s="50" t="s">
        <v>1692</v>
      </c>
      <c r="G285" s="51" t="s">
        <v>1693</v>
      </c>
      <c r="H285" s="49" t="s">
        <v>1562</v>
      </c>
      <c r="I285" s="45"/>
      <c r="J285" s="45" t="s">
        <v>1563</v>
      </c>
      <c r="K285" s="45"/>
      <c r="L285" s="49" t="s">
        <v>50</v>
      </c>
      <c r="M285" s="45" t="s">
        <v>1564</v>
      </c>
      <c r="N285" s="102">
        <v>44915</v>
      </c>
      <c r="O285" s="103">
        <v>254545</v>
      </c>
      <c r="P285" s="45">
        <v>5</v>
      </c>
      <c r="Q285" s="120">
        <f t="shared" si="9"/>
        <v>1272725</v>
      </c>
      <c r="R285" s="120">
        <v>275000</v>
      </c>
      <c r="S285" s="40">
        <f t="shared" si="10"/>
        <v>1375000</v>
      </c>
    </row>
    <row r="286" spans="1:19" s="1" customFormat="1" ht="12.75">
      <c r="A286" s="17"/>
      <c r="B286" s="52">
        <v>413</v>
      </c>
      <c r="C286" s="45" t="s">
        <v>1565</v>
      </c>
      <c r="D286" s="46" t="s">
        <v>1515</v>
      </c>
      <c r="E286" s="47" t="s">
        <v>1468</v>
      </c>
      <c r="F286" s="50" t="s">
        <v>1720</v>
      </c>
      <c r="G286" s="53" t="s">
        <v>1721</v>
      </c>
      <c r="H286" s="49" t="s">
        <v>1566</v>
      </c>
      <c r="I286" s="45"/>
      <c r="J286" s="45" t="s">
        <v>1567</v>
      </c>
      <c r="K286" s="45"/>
      <c r="L286" s="49" t="s">
        <v>85</v>
      </c>
      <c r="M286" s="45" t="s">
        <v>1568</v>
      </c>
      <c r="N286" s="102">
        <v>44916</v>
      </c>
      <c r="O286" s="103">
        <v>222727</v>
      </c>
      <c r="P286" s="45">
        <v>105</v>
      </c>
      <c r="Q286" s="120">
        <f t="shared" si="9"/>
        <v>23386335</v>
      </c>
      <c r="R286" s="120">
        <v>273292</v>
      </c>
      <c r="S286" s="40">
        <f t="shared" si="10"/>
        <v>28695660</v>
      </c>
    </row>
    <row r="287" spans="1:19">
      <c r="A287" s="17"/>
      <c r="B287" s="44">
        <v>414</v>
      </c>
      <c r="C287" s="54" t="s">
        <v>1569</v>
      </c>
      <c r="D287" s="55" t="s">
        <v>1570</v>
      </c>
      <c r="E287" s="56" t="s">
        <v>10</v>
      </c>
      <c r="F287" s="57" t="s">
        <v>1702</v>
      </c>
      <c r="G287" s="58" t="s">
        <v>1703</v>
      </c>
      <c r="H287" s="59" t="s">
        <v>814</v>
      </c>
      <c r="I287" s="55"/>
      <c r="J287" s="104" t="s">
        <v>1571</v>
      </c>
      <c r="K287" s="55"/>
      <c r="L287" s="105" t="s">
        <v>816</v>
      </c>
      <c r="M287" s="106" t="s">
        <v>1572</v>
      </c>
      <c r="N287" s="107">
        <v>44931</v>
      </c>
      <c r="O287" s="108">
        <v>22727</v>
      </c>
      <c r="P287" s="70">
        <v>2</v>
      </c>
      <c r="Q287" s="121">
        <f t="shared" si="9"/>
        <v>45454</v>
      </c>
      <c r="R287" s="121">
        <v>29091</v>
      </c>
      <c r="S287" s="121">
        <f t="shared" si="10"/>
        <v>58182</v>
      </c>
    </row>
    <row r="288" spans="1:19" ht="15.75" customHeight="1">
      <c r="A288" s="17"/>
      <c r="B288" s="44">
        <v>415</v>
      </c>
      <c r="C288" s="60" t="s">
        <v>1573</v>
      </c>
      <c r="D288" s="61" t="s">
        <v>1574</v>
      </c>
      <c r="E288" s="62" t="s">
        <v>10</v>
      </c>
      <c r="F288" s="57" t="s">
        <v>1702</v>
      </c>
      <c r="G288" s="58" t="s">
        <v>1703</v>
      </c>
      <c r="H288" s="63" t="s">
        <v>814</v>
      </c>
      <c r="I288" s="61"/>
      <c r="J288" s="109" t="s">
        <v>1575</v>
      </c>
      <c r="K288" s="110"/>
      <c r="L288" s="105" t="s">
        <v>816</v>
      </c>
      <c r="M288" s="70" t="s">
        <v>1576</v>
      </c>
      <c r="N288" s="111">
        <v>44936</v>
      </c>
      <c r="O288" s="108">
        <v>22727</v>
      </c>
      <c r="P288" s="70">
        <v>4</v>
      </c>
      <c r="Q288" s="121">
        <f t="shared" si="9"/>
        <v>90908</v>
      </c>
      <c r="R288" s="121">
        <v>29091</v>
      </c>
      <c r="S288" s="121">
        <f t="shared" si="10"/>
        <v>116364</v>
      </c>
    </row>
    <row r="289" spans="1:19">
      <c r="A289" s="17"/>
      <c r="B289" s="52">
        <v>416</v>
      </c>
      <c r="C289" s="64" t="s">
        <v>1577</v>
      </c>
      <c r="D289" s="65" t="s">
        <v>1574</v>
      </c>
      <c r="E289" s="56" t="s">
        <v>10</v>
      </c>
      <c r="F289" s="57" t="s">
        <v>1702</v>
      </c>
      <c r="G289" s="58" t="s">
        <v>1703</v>
      </c>
      <c r="H289" s="59" t="s">
        <v>814</v>
      </c>
      <c r="I289" s="61"/>
      <c r="J289" s="109" t="s">
        <v>1578</v>
      </c>
      <c r="K289" s="109"/>
      <c r="L289" s="105" t="s">
        <v>816</v>
      </c>
      <c r="M289" s="70" t="s">
        <v>1505</v>
      </c>
      <c r="N289" s="111">
        <v>44936</v>
      </c>
      <c r="O289" s="108">
        <v>22727</v>
      </c>
      <c r="P289" s="70">
        <v>15</v>
      </c>
      <c r="Q289" s="121">
        <f t="shared" si="9"/>
        <v>340905</v>
      </c>
      <c r="R289" s="121">
        <v>29091</v>
      </c>
      <c r="S289" s="121">
        <f t="shared" si="10"/>
        <v>436365</v>
      </c>
    </row>
    <row r="290" spans="1:19">
      <c r="A290" s="17"/>
      <c r="B290" s="44">
        <v>417</v>
      </c>
      <c r="C290" s="60" t="s">
        <v>1579</v>
      </c>
      <c r="D290" s="66" t="s">
        <v>1580</v>
      </c>
      <c r="E290" s="62" t="s">
        <v>11</v>
      </c>
      <c r="F290" s="28" t="s">
        <v>1696</v>
      </c>
      <c r="G290" s="31" t="s">
        <v>1697</v>
      </c>
      <c r="H290" s="63" t="s">
        <v>1581</v>
      </c>
      <c r="I290" s="61"/>
      <c r="J290" s="61" t="s">
        <v>1582</v>
      </c>
      <c r="K290" s="110"/>
      <c r="L290" s="105" t="s">
        <v>85</v>
      </c>
      <c r="M290" s="70" t="s">
        <v>1583</v>
      </c>
      <c r="N290" s="111">
        <v>44929</v>
      </c>
      <c r="O290" s="108">
        <v>222727</v>
      </c>
      <c r="P290" s="70">
        <v>2</v>
      </c>
      <c r="Q290" s="121">
        <f t="shared" si="9"/>
        <v>445454</v>
      </c>
      <c r="R290" s="121">
        <v>279091</v>
      </c>
      <c r="S290" s="121">
        <f t="shared" si="10"/>
        <v>558182</v>
      </c>
    </row>
    <row r="291" spans="1:19">
      <c r="A291" s="17"/>
      <c r="B291" s="44">
        <v>418</v>
      </c>
      <c r="C291" s="60" t="s">
        <v>1584</v>
      </c>
      <c r="D291" s="66" t="s">
        <v>1585</v>
      </c>
      <c r="E291" s="62" t="s">
        <v>11</v>
      </c>
      <c r="F291" s="28" t="s">
        <v>1696</v>
      </c>
      <c r="G291" s="31" t="s">
        <v>1697</v>
      </c>
      <c r="H291" s="67" t="s">
        <v>1586</v>
      </c>
      <c r="I291" s="61"/>
      <c r="J291" s="61" t="s">
        <v>1587</v>
      </c>
      <c r="K291" s="66"/>
      <c r="L291" s="67" t="s">
        <v>1588</v>
      </c>
      <c r="M291" s="70" t="s">
        <v>1589</v>
      </c>
      <c r="N291" s="107">
        <v>44932</v>
      </c>
      <c r="O291" s="108">
        <v>231750</v>
      </c>
      <c r="P291" s="70">
        <v>86</v>
      </c>
      <c r="Q291" s="121">
        <f t="shared" si="9"/>
        <v>19930500</v>
      </c>
      <c r="R291" s="121">
        <v>245000</v>
      </c>
      <c r="S291" s="121">
        <f t="shared" si="10"/>
        <v>21070000</v>
      </c>
    </row>
    <row r="292" spans="1:19">
      <c r="A292" s="17"/>
      <c r="B292" s="52">
        <v>419</v>
      </c>
      <c r="C292" s="60" t="s">
        <v>1590</v>
      </c>
      <c r="D292" s="66" t="s">
        <v>1591</v>
      </c>
      <c r="E292" s="67" t="s">
        <v>1592</v>
      </c>
      <c r="F292" s="68" t="s">
        <v>1722</v>
      </c>
      <c r="G292" s="69" t="s">
        <v>1723</v>
      </c>
      <c r="H292" s="67" t="s">
        <v>1593</v>
      </c>
      <c r="I292" s="61"/>
      <c r="J292" s="61" t="s">
        <v>1594</v>
      </c>
      <c r="K292" s="66"/>
      <c r="L292" s="105" t="s">
        <v>85</v>
      </c>
      <c r="M292" s="70" t="s">
        <v>1595</v>
      </c>
      <c r="N292" s="107">
        <v>44935</v>
      </c>
      <c r="O292" s="108">
        <v>222727</v>
      </c>
      <c r="P292" s="70">
        <v>38</v>
      </c>
      <c r="Q292" s="121">
        <f t="shared" si="9"/>
        <v>8463626</v>
      </c>
      <c r="R292" s="122">
        <v>309791</v>
      </c>
      <c r="S292" s="121">
        <f t="shared" si="10"/>
        <v>11772058</v>
      </c>
    </row>
    <row r="293" spans="1:19" ht="15" customHeight="1">
      <c r="A293" s="17"/>
      <c r="B293" s="52">
        <v>420</v>
      </c>
      <c r="C293" s="60" t="s">
        <v>1596</v>
      </c>
      <c r="D293" s="70" t="s">
        <v>1597</v>
      </c>
      <c r="E293" s="67" t="s">
        <v>1598</v>
      </c>
      <c r="F293" s="68" t="s">
        <v>1724</v>
      </c>
      <c r="G293" s="69" t="s">
        <v>1725</v>
      </c>
      <c r="H293" s="67" t="s">
        <v>1599</v>
      </c>
      <c r="I293" s="112"/>
      <c r="J293" s="61" t="s">
        <v>1600</v>
      </c>
      <c r="K293" s="112"/>
      <c r="L293" s="105" t="s">
        <v>85</v>
      </c>
      <c r="M293" s="70" t="s">
        <v>1601</v>
      </c>
      <c r="N293" s="113">
        <v>44936</v>
      </c>
      <c r="O293" s="108">
        <v>222727</v>
      </c>
      <c r="P293" s="70">
        <v>15</v>
      </c>
      <c r="Q293" s="121">
        <f t="shared" si="9"/>
        <v>3340905</v>
      </c>
      <c r="R293" s="122">
        <v>309791</v>
      </c>
      <c r="S293" s="121">
        <f t="shared" si="10"/>
        <v>4646865</v>
      </c>
    </row>
    <row r="294" spans="1:19">
      <c r="A294" s="17"/>
      <c r="B294" s="52">
        <v>421</v>
      </c>
      <c r="C294" s="60" t="s">
        <v>1602</v>
      </c>
      <c r="D294" s="70" t="s">
        <v>1597</v>
      </c>
      <c r="E294" s="67" t="s">
        <v>1598</v>
      </c>
      <c r="F294" s="68" t="s">
        <v>1724</v>
      </c>
      <c r="G294" s="69" t="s">
        <v>1725</v>
      </c>
      <c r="H294" s="67" t="s">
        <v>1599</v>
      </c>
      <c r="I294" s="112"/>
      <c r="J294" s="61" t="s">
        <v>1600</v>
      </c>
      <c r="K294" s="112"/>
      <c r="L294" s="105" t="s">
        <v>63</v>
      </c>
      <c r="M294" s="70" t="s">
        <v>1603</v>
      </c>
      <c r="N294" s="113">
        <v>44936</v>
      </c>
      <c r="O294" s="108">
        <v>92727</v>
      </c>
      <c r="P294" s="70">
        <v>15</v>
      </c>
      <c r="Q294" s="121">
        <f t="shared" si="9"/>
        <v>1390905</v>
      </c>
      <c r="R294" s="122">
        <v>129164</v>
      </c>
      <c r="S294" s="121">
        <f t="shared" si="10"/>
        <v>1937460</v>
      </c>
    </row>
    <row r="295" spans="1:19">
      <c r="A295" s="17"/>
      <c r="B295" s="52">
        <v>422</v>
      </c>
      <c r="C295" s="60" t="s">
        <v>1604</v>
      </c>
      <c r="D295" s="70" t="s">
        <v>1605</v>
      </c>
      <c r="E295" s="71" t="s">
        <v>1606</v>
      </c>
      <c r="F295" s="72" t="s">
        <v>1700</v>
      </c>
      <c r="G295" s="73" t="s">
        <v>1701</v>
      </c>
      <c r="H295" s="67" t="s">
        <v>1607</v>
      </c>
      <c r="I295" s="112"/>
      <c r="J295" s="61" t="s">
        <v>1608</v>
      </c>
      <c r="K295" s="112"/>
      <c r="L295" s="105" t="s">
        <v>85</v>
      </c>
      <c r="M295" s="70" t="s">
        <v>1609</v>
      </c>
      <c r="N295" s="113">
        <v>44945</v>
      </c>
      <c r="O295" s="108">
        <v>222727</v>
      </c>
      <c r="P295" s="70">
        <v>25</v>
      </c>
      <c r="Q295" s="121">
        <f t="shared" si="9"/>
        <v>5568175</v>
      </c>
      <c r="R295" s="122">
        <v>257182</v>
      </c>
      <c r="S295" s="121">
        <f t="shared" si="10"/>
        <v>6429550</v>
      </c>
    </row>
    <row r="296" spans="1:19" ht="15" customHeight="1">
      <c r="A296" s="17"/>
      <c r="B296" s="52">
        <v>423</v>
      </c>
      <c r="C296" s="60" t="s">
        <v>1610</v>
      </c>
      <c r="D296" s="70" t="s">
        <v>1611</v>
      </c>
      <c r="E296" s="67" t="s">
        <v>1598</v>
      </c>
      <c r="F296" s="68" t="s">
        <v>1724</v>
      </c>
      <c r="G296" s="69" t="s">
        <v>1725</v>
      </c>
      <c r="H296" s="74" t="s">
        <v>1612</v>
      </c>
      <c r="I296" s="112"/>
      <c r="J296" s="61" t="s">
        <v>1613</v>
      </c>
      <c r="K296" s="112"/>
      <c r="L296" s="110" t="s">
        <v>1614</v>
      </c>
      <c r="M296" s="70" t="s">
        <v>1615</v>
      </c>
      <c r="N296" s="113">
        <v>44952</v>
      </c>
      <c r="O296" s="108">
        <v>92438</v>
      </c>
      <c r="P296" s="70">
        <v>58</v>
      </c>
      <c r="Q296" s="121">
        <f t="shared" si="9"/>
        <v>5361404</v>
      </c>
      <c r="R296" s="122">
        <v>109890</v>
      </c>
      <c r="S296" s="121">
        <f t="shared" si="10"/>
        <v>6373620</v>
      </c>
    </row>
    <row r="297" spans="1:19">
      <c r="A297" s="17"/>
      <c r="B297" s="52">
        <v>424</v>
      </c>
      <c r="C297" s="60" t="s">
        <v>1616</v>
      </c>
      <c r="D297" s="70" t="s">
        <v>1617</v>
      </c>
      <c r="E297" s="71" t="s">
        <v>1606</v>
      </c>
      <c r="F297" s="72" t="s">
        <v>1700</v>
      </c>
      <c r="G297" s="73" t="s">
        <v>1701</v>
      </c>
      <c r="H297" s="62" t="s">
        <v>742</v>
      </c>
      <c r="I297" s="112"/>
      <c r="J297" s="61" t="s">
        <v>1618</v>
      </c>
      <c r="K297" s="112"/>
      <c r="L297" s="105" t="s">
        <v>92</v>
      </c>
      <c r="M297" s="70" t="s">
        <v>1619</v>
      </c>
      <c r="N297" s="113">
        <v>44947</v>
      </c>
      <c r="O297" s="108">
        <v>32273</v>
      </c>
      <c r="P297" s="70">
        <v>218</v>
      </c>
      <c r="Q297" s="121">
        <f t="shared" si="9"/>
        <v>7035514</v>
      </c>
      <c r="R297" s="122">
        <v>35500</v>
      </c>
      <c r="S297" s="121">
        <f t="shared" si="10"/>
        <v>7739000</v>
      </c>
    </row>
    <row r="298" spans="1:19">
      <c r="A298" s="17"/>
      <c r="B298" s="52">
        <v>425</v>
      </c>
      <c r="C298" s="60" t="s">
        <v>1620</v>
      </c>
      <c r="D298" s="66">
        <v>2500040497</v>
      </c>
      <c r="E298" s="62" t="s">
        <v>10</v>
      </c>
      <c r="F298" s="57" t="s">
        <v>1702</v>
      </c>
      <c r="G298" s="58" t="s">
        <v>1703</v>
      </c>
      <c r="H298" s="63" t="s">
        <v>814</v>
      </c>
      <c r="I298" s="112"/>
      <c r="J298" s="109" t="s">
        <v>1621</v>
      </c>
      <c r="K298" s="112"/>
      <c r="L298" s="105" t="s">
        <v>816</v>
      </c>
      <c r="M298" s="70" t="s">
        <v>1572</v>
      </c>
      <c r="N298" s="113">
        <v>44960</v>
      </c>
      <c r="O298" s="108">
        <v>22727</v>
      </c>
      <c r="P298" s="70">
        <v>2</v>
      </c>
      <c r="Q298" s="121">
        <f t="shared" ref="Q298:Q344" si="11">O298*P298</f>
        <v>45454</v>
      </c>
      <c r="R298" s="121">
        <v>29091</v>
      </c>
      <c r="S298" s="121">
        <f t="shared" si="10"/>
        <v>58182</v>
      </c>
    </row>
    <row r="299" spans="1:19">
      <c r="A299" s="17"/>
      <c r="B299" s="52">
        <v>426</v>
      </c>
      <c r="C299" s="60" t="s">
        <v>1622</v>
      </c>
      <c r="D299" s="66">
        <v>2500042410</v>
      </c>
      <c r="E299" s="62" t="s">
        <v>10</v>
      </c>
      <c r="F299" s="57" t="s">
        <v>1702</v>
      </c>
      <c r="G299" s="58" t="s">
        <v>1703</v>
      </c>
      <c r="H299" s="63" t="s">
        <v>814</v>
      </c>
      <c r="I299" s="70"/>
      <c r="J299" s="109" t="s">
        <v>1623</v>
      </c>
      <c r="K299" s="70"/>
      <c r="L299" s="105" t="s">
        <v>816</v>
      </c>
      <c r="M299" s="70" t="s">
        <v>1624</v>
      </c>
      <c r="N299" s="113">
        <v>44974</v>
      </c>
      <c r="O299" s="108">
        <v>22727</v>
      </c>
      <c r="P299" s="70">
        <v>19</v>
      </c>
      <c r="Q299" s="121">
        <f t="shared" si="11"/>
        <v>431813</v>
      </c>
      <c r="R299" s="121">
        <v>29091</v>
      </c>
      <c r="S299" s="121">
        <f t="shared" si="10"/>
        <v>552729</v>
      </c>
    </row>
    <row r="300" spans="1:19">
      <c r="A300" s="17"/>
      <c r="B300" s="52">
        <v>427</v>
      </c>
      <c r="C300" s="60" t="s">
        <v>1625</v>
      </c>
      <c r="D300" s="70" t="s">
        <v>1626</v>
      </c>
      <c r="E300" s="62" t="s">
        <v>11</v>
      </c>
      <c r="F300" s="28" t="s">
        <v>1696</v>
      </c>
      <c r="G300" s="31" t="s">
        <v>1697</v>
      </c>
      <c r="H300" s="67" t="s">
        <v>1627</v>
      </c>
      <c r="I300" s="70"/>
      <c r="J300" s="109" t="s">
        <v>1628</v>
      </c>
      <c r="K300" s="70"/>
      <c r="L300" s="105" t="s">
        <v>85</v>
      </c>
      <c r="M300" s="70" t="s">
        <v>1629</v>
      </c>
      <c r="N300" s="113">
        <v>44963</v>
      </c>
      <c r="O300" s="108">
        <v>222727</v>
      </c>
      <c r="P300" s="70">
        <v>2</v>
      </c>
      <c r="Q300" s="121">
        <f t="shared" si="11"/>
        <v>445454</v>
      </c>
      <c r="R300" s="121">
        <v>279091</v>
      </c>
      <c r="S300" s="121">
        <f t="shared" si="10"/>
        <v>558182</v>
      </c>
    </row>
    <row r="301" spans="1:19">
      <c r="A301" s="17"/>
      <c r="B301" s="52">
        <v>428</v>
      </c>
      <c r="C301" s="60" t="s">
        <v>1630</v>
      </c>
      <c r="D301" s="66">
        <v>2500042737</v>
      </c>
      <c r="E301" s="62" t="s">
        <v>10</v>
      </c>
      <c r="F301" s="57" t="s">
        <v>1702</v>
      </c>
      <c r="G301" s="58" t="s">
        <v>1703</v>
      </c>
      <c r="H301" s="63" t="s">
        <v>814</v>
      </c>
      <c r="I301" s="70"/>
      <c r="J301" s="109" t="s">
        <v>1631</v>
      </c>
      <c r="K301" s="70"/>
      <c r="L301" s="105" t="s">
        <v>85</v>
      </c>
      <c r="M301" s="70" t="s">
        <v>1632</v>
      </c>
      <c r="N301" s="113">
        <v>44977</v>
      </c>
      <c r="O301" s="108">
        <v>222727</v>
      </c>
      <c r="P301" s="70">
        <v>358</v>
      </c>
      <c r="Q301" s="121">
        <f t="shared" si="11"/>
        <v>79736266</v>
      </c>
      <c r="R301" s="121">
        <v>279091</v>
      </c>
      <c r="S301" s="121">
        <f t="shared" si="10"/>
        <v>99914578</v>
      </c>
    </row>
    <row r="302" spans="1:19">
      <c r="A302" s="17"/>
      <c r="B302" s="52">
        <v>429</v>
      </c>
      <c r="C302" s="60" t="s">
        <v>1633</v>
      </c>
      <c r="D302" s="70" t="s">
        <v>1634</v>
      </c>
      <c r="E302" s="67" t="s">
        <v>82</v>
      </c>
      <c r="F302" s="68" t="s">
        <v>1698</v>
      </c>
      <c r="G302" s="75" t="s">
        <v>1699</v>
      </c>
      <c r="H302" s="67" t="s">
        <v>83</v>
      </c>
      <c r="I302" s="70"/>
      <c r="J302" s="109" t="s">
        <v>1635</v>
      </c>
      <c r="K302" s="70"/>
      <c r="L302" s="105" t="s">
        <v>85</v>
      </c>
      <c r="M302" s="70" t="s">
        <v>1636</v>
      </c>
      <c r="N302" s="113">
        <v>44978</v>
      </c>
      <c r="O302" s="108">
        <v>222727</v>
      </c>
      <c r="P302" s="70">
        <v>250</v>
      </c>
      <c r="Q302" s="121">
        <f t="shared" si="11"/>
        <v>55681750</v>
      </c>
      <c r="R302" s="121">
        <v>279091</v>
      </c>
      <c r="S302" s="121">
        <f t="shared" si="10"/>
        <v>69772750</v>
      </c>
    </row>
    <row r="303" spans="1:19">
      <c r="A303" s="17"/>
      <c r="B303" s="76">
        <v>430</v>
      </c>
      <c r="C303" s="77" t="s">
        <v>1637</v>
      </c>
      <c r="D303" s="19" t="s">
        <v>1638</v>
      </c>
      <c r="E303" s="21" t="s">
        <v>11</v>
      </c>
      <c r="F303" s="22" t="s">
        <v>1696</v>
      </c>
      <c r="G303" s="32" t="s">
        <v>1697</v>
      </c>
      <c r="H303" s="78" t="s">
        <v>1581</v>
      </c>
      <c r="I303" s="19"/>
      <c r="J303" s="19" t="s">
        <v>1639</v>
      </c>
      <c r="K303" s="19"/>
      <c r="L303" s="24" t="s">
        <v>85</v>
      </c>
      <c r="M303" s="19" t="s">
        <v>1640</v>
      </c>
      <c r="N303" s="36">
        <v>44995</v>
      </c>
      <c r="O303" s="37">
        <v>222727</v>
      </c>
      <c r="P303" s="19">
        <v>2</v>
      </c>
      <c r="Q303" s="40">
        <f t="shared" si="11"/>
        <v>445454</v>
      </c>
      <c r="R303" s="40">
        <v>279091</v>
      </c>
      <c r="S303" s="40">
        <f t="shared" si="10"/>
        <v>558182</v>
      </c>
    </row>
    <row r="304" spans="1:19">
      <c r="A304" s="17"/>
      <c r="B304" s="76">
        <v>431</v>
      </c>
      <c r="C304" s="77" t="s">
        <v>1641</v>
      </c>
      <c r="D304" s="19" t="s">
        <v>1642</v>
      </c>
      <c r="E304" s="21" t="s">
        <v>1643</v>
      </c>
      <c r="F304" s="22" t="s">
        <v>1716</v>
      </c>
      <c r="G304" s="43" t="s">
        <v>1717</v>
      </c>
      <c r="H304" s="24" t="s">
        <v>1644</v>
      </c>
      <c r="I304" s="19"/>
      <c r="J304" s="19" t="s">
        <v>1645</v>
      </c>
      <c r="K304" s="19"/>
      <c r="L304" s="24" t="s">
        <v>63</v>
      </c>
      <c r="M304" s="19" t="s">
        <v>1646</v>
      </c>
      <c r="N304" s="36">
        <v>44998</v>
      </c>
      <c r="O304" s="37">
        <v>92727</v>
      </c>
      <c r="P304" s="19">
        <v>5</v>
      </c>
      <c r="Q304" s="40">
        <f t="shared" si="11"/>
        <v>463635</v>
      </c>
      <c r="R304" s="40">
        <v>116364</v>
      </c>
      <c r="S304" s="40">
        <f t="shared" si="10"/>
        <v>581820</v>
      </c>
    </row>
    <row r="305" spans="1:19">
      <c r="A305" s="17"/>
      <c r="B305" s="76">
        <v>432</v>
      </c>
      <c r="C305" s="77" t="s">
        <v>1647</v>
      </c>
      <c r="D305" s="19" t="s">
        <v>1648</v>
      </c>
      <c r="E305" s="21" t="s">
        <v>11</v>
      </c>
      <c r="F305" s="22" t="s">
        <v>1696</v>
      </c>
      <c r="G305" s="32" t="s">
        <v>1697</v>
      </c>
      <c r="H305" s="79" t="s">
        <v>1649</v>
      </c>
      <c r="I305" s="19"/>
      <c r="J305" s="19" t="s">
        <v>1650</v>
      </c>
      <c r="K305" s="19"/>
      <c r="L305" s="24" t="s">
        <v>85</v>
      </c>
      <c r="M305" s="19" t="s">
        <v>1651</v>
      </c>
      <c r="N305" s="36">
        <v>45000</v>
      </c>
      <c r="O305" s="37">
        <v>222727</v>
      </c>
      <c r="P305" s="19">
        <v>46</v>
      </c>
      <c r="Q305" s="40">
        <f t="shared" si="11"/>
        <v>10245442</v>
      </c>
      <c r="R305" s="40">
        <v>279091</v>
      </c>
      <c r="S305" s="40">
        <f t="shared" si="10"/>
        <v>12838186</v>
      </c>
    </row>
    <row r="306" spans="1:19">
      <c r="A306" s="17"/>
      <c r="B306" s="76">
        <v>433</v>
      </c>
      <c r="C306" s="77" t="s">
        <v>1652</v>
      </c>
      <c r="D306" s="19" t="s">
        <v>1653</v>
      </c>
      <c r="E306" s="80" t="s">
        <v>1606</v>
      </c>
      <c r="F306" s="22" t="s">
        <v>1700</v>
      </c>
      <c r="G306" s="32" t="s">
        <v>1701</v>
      </c>
      <c r="H306" s="24" t="s">
        <v>1654</v>
      </c>
      <c r="I306" s="19"/>
      <c r="J306" s="19" t="s">
        <v>1655</v>
      </c>
      <c r="K306" s="19"/>
      <c r="L306" s="24" t="s">
        <v>85</v>
      </c>
      <c r="M306" s="19" t="s">
        <v>1656</v>
      </c>
      <c r="N306" s="36">
        <v>45002</v>
      </c>
      <c r="O306" s="37">
        <v>222727</v>
      </c>
      <c r="P306" s="19">
        <v>3</v>
      </c>
      <c r="Q306" s="40">
        <f t="shared" si="11"/>
        <v>668181</v>
      </c>
      <c r="R306" s="40">
        <v>256000</v>
      </c>
      <c r="S306" s="40">
        <f t="shared" si="10"/>
        <v>768000</v>
      </c>
    </row>
    <row r="307" spans="1:19">
      <c r="A307" s="17"/>
      <c r="B307" s="76">
        <v>434</v>
      </c>
      <c r="C307" s="77" t="s">
        <v>1657</v>
      </c>
      <c r="D307" s="19" t="s">
        <v>1658</v>
      </c>
      <c r="E307" s="21" t="s">
        <v>17</v>
      </c>
      <c r="F307" s="22" t="s">
        <v>1708</v>
      </c>
      <c r="G307" s="32" t="s">
        <v>1709</v>
      </c>
      <c r="H307" s="24" t="s">
        <v>114</v>
      </c>
      <c r="I307" s="19"/>
      <c r="J307" s="19" t="s">
        <v>1659</v>
      </c>
      <c r="K307" s="19"/>
      <c r="L307" s="24" t="s">
        <v>1457</v>
      </c>
      <c r="M307" s="19" t="s">
        <v>1660</v>
      </c>
      <c r="N307" s="36">
        <v>45012</v>
      </c>
      <c r="O307" s="37">
        <v>432961</v>
      </c>
      <c r="P307" s="19">
        <v>41</v>
      </c>
      <c r="Q307" s="40">
        <f t="shared" si="11"/>
        <v>17751401</v>
      </c>
      <c r="R307" s="40">
        <v>533408</v>
      </c>
      <c r="S307" s="40">
        <f t="shared" si="10"/>
        <v>21869728</v>
      </c>
    </row>
    <row r="308" spans="1:19">
      <c r="A308" s="17"/>
      <c r="B308" s="76">
        <v>435</v>
      </c>
      <c r="C308" s="77" t="s">
        <v>1661</v>
      </c>
      <c r="D308" s="19" t="s">
        <v>1658</v>
      </c>
      <c r="E308" s="21" t="s">
        <v>17</v>
      </c>
      <c r="F308" s="81" t="s">
        <v>1708</v>
      </c>
      <c r="G308" s="32" t="s">
        <v>1709</v>
      </c>
      <c r="H308" s="24" t="s">
        <v>114</v>
      </c>
      <c r="I308" s="19"/>
      <c r="J308" s="19" t="s">
        <v>1662</v>
      </c>
      <c r="K308" s="19"/>
      <c r="L308" s="24" t="s">
        <v>85</v>
      </c>
      <c r="M308" s="19" t="s">
        <v>303</v>
      </c>
      <c r="N308" s="36">
        <v>45012</v>
      </c>
      <c r="O308" s="37">
        <v>222727</v>
      </c>
      <c r="P308" s="19">
        <v>4</v>
      </c>
      <c r="Q308" s="40">
        <f t="shared" si="11"/>
        <v>890908</v>
      </c>
      <c r="R308" s="40">
        <v>279091</v>
      </c>
      <c r="S308" s="40">
        <f t="shared" si="10"/>
        <v>1116364</v>
      </c>
    </row>
    <row r="309" spans="1:19">
      <c r="A309" s="17"/>
      <c r="B309" s="76">
        <v>436</v>
      </c>
      <c r="C309" s="77" t="s">
        <v>1663</v>
      </c>
      <c r="D309" s="19" t="s">
        <v>1658</v>
      </c>
      <c r="E309" s="21" t="s">
        <v>17</v>
      </c>
      <c r="F309" s="22" t="s">
        <v>1708</v>
      </c>
      <c r="G309" s="32" t="s">
        <v>1709</v>
      </c>
      <c r="H309" s="24" t="s">
        <v>114</v>
      </c>
      <c r="I309" s="19"/>
      <c r="J309" s="19" t="s">
        <v>1664</v>
      </c>
      <c r="K309" s="19"/>
      <c r="L309" s="24" t="s">
        <v>85</v>
      </c>
      <c r="M309" s="19" t="s">
        <v>377</v>
      </c>
      <c r="N309" s="36">
        <v>45012</v>
      </c>
      <c r="O309" s="37">
        <v>222727</v>
      </c>
      <c r="P309" s="19">
        <v>1</v>
      </c>
      <c r="Q309" s="40">
        <f t="shared" si="11"/>
        <v>222727</v>
      </c>
      <c r="R309" s="40">
        <v>279091</v>
      </c>
      <c r="S309" s="40">
        <f t="shared" si="10"/>
        <v>279091</v>
      </c>
    </row>
    <row r="310" spans="1:19">
      <c r="A310" s="17"/>
      <c r="B310" s="82">
        <v>437</v>
      </c>
      <c r="C310" s="83" t="s">
        <v>1665</v>
      </c>
      <c r="D310" s="84" t="s">
        <v>1666</v>
      </c>
      <c r="E310" s="85" t="s">
        <v>1667</v>
      </c>
      <c r="F310" s="86" t="s">
        <v>1726</v>
      </c>
      <c r="G310" s="53" t="s">
        <v>1727</v>
      </c>
      <c r="H310" s="85" t="s">
        <v>1668</v>
      </c>
      <c r="I310" s="84"/>
      <c r="J310" s="84" t="s">
        <v>1669</v>
      </c>
      <c r="K310" s="84"/>
      <c r="L310" s="85" t="s">
        <v>63</v>
      </c>
      <c r="M310" s="84" t="s">
        <v>219</v>
      </c>
      <c r="N310" s="114">
        <v>45020</v>
      </c>
      <c r="O310" s="115">
        <v>92727</v>
      </c>
      <c r="P310" s="84">
        <v>18</v>
      </c>
      <c r="Q310" s="123">
        <f t="shared" si="11"/>
        <v>1669086</v>
      </c>
      <c r="R310" s="123">
        <v>116999</v>
      </c>
      <c r="S310" s="123">
        <f t="shared" si="10"/>
        <v>2105982</v>
      </c>
    </row>
    <row r="311" spans="1:19">
      <c r="A311" s="17"/>
      <c r="B311" s="82">
        <v>438</v>
      </c>
      <c r="C311" s="83" t="s">
        <v>1670</v>
      </c>
      <c r="D311" s="84" t="s">
        <v>1671</v>
      </c>
      <c r="E311" s="87" t="s">
        <v>1606</v>
      </c>
      <c r="F311" s="88" t="s">
        <v>1700</v>
      </c>
      <c r="G311" s="89" t="s">
        <v>1701</v>
      </c>
      <c r="H311" s="85" t="s">
        <v>1672</v>
      </c>
      <c r="I311" s="84"/>
      <c r="J311" s="84" t="s">
        <v>1673</v>
      </c>
      <c r="K311" s="84"/>
      <c r="L311" s="85" t="s">
        <v>85</v>
      </c>
      <c r="M311" s="84" t="s">
        <v>1674</v>
      </c>
      <c r="N311" s="114">
        <v>45026</v>
      </c>
      <c r="O311" s="115">
        <v>222727</v>
      </c>
      <c r="P311" s="84">
        <v>40</v>
      </c>
      <c r="Q311" s="123">
        <f t="shared" si="11"/>
        <v>8909080</v>
      </c>
      <c r="R311" s="123">
        <v>256500</v>
      </c>
      <c r="S311" s="123">
        <f t="shared" si="10"/>
        <v>10260000</v>
      </c>
    </row>
    <row r="312" spans="1:19">
      <c r="A312" s="17"/>
      <c r="B312" s="82">
        <v>439</v>
      </c>
      <c r="C312" s="83" t="s">
        <v>1675</v>
      </c>
      <c r="D312" s="90" t="s">
        <v>1676</v>
      </c>
      <c r="E312" s="87" t="s">
        <v>9</v>
      </c>
      <c r="F312" s="88" t="s">
        <v>1692</v>
      </c>
      <c r="G312" s="53" t="s">
        <v>1693</v>
      </c>
      <c r="H312" s="85" t="s">
        <v>1136</v>
      </c>
      <c r="I312" s="84"/>
      <c r="J312" s="116" t="s">
        <v>1677</v>
      </c>
      <c r="K312" s="84"/>
      <c r="L312" s="85" t="s">
        <v>50</v>
      </c>
      <c r="M312" s="116" t="s">
        <v>1678</v>
      </c>
      <c r="N312" s="114">
        <v>45027</v>
      </c>
      <c r="O312" s="115">
        <v>254545</v>
      </c>
      <c r="P312" s="84">
        <v>1</v>
      </c>
      <c r="Q312" s="123">
        <f t="shared" si="11"/>
        <v>254545</v>
      </c>
      <c r="R312" s="123">
        <v>275000</v>
      </c>
      <c r="S312" s="123">
        <f t="shared" si="10"/>
        <v>275000</v>
      </c>
    </row>
    <row r="313" spans="1:19">
      <c r="A313" s="17"/>
      <c r="B313" s="82">
        <v>440</v>
      </c>
      <c r="C313" s="83" t="s">
        <v>1679</v>
      </c>
      <c r="D313" s="90" t="s">
        <v>1680</v>
      </c>
      <c r="E313" s="87"/>
      <c r="F313" s="87"/>
      <c r="G313" s="91"/>
      <c r="H313" s="85" t="s">
        <v>1681</v>
      </c>
      <c r="I313" s="84"/>
      <c r="J313" s="84" t="s">
        <v>1682</v>
      </c>
      <c r="K313" s="84"/>
      <c r="L313" s="85" t="s">
        <v>1683</v>
      </c>
      <c r="M313" s="84" t="s">
        <v>1684</v>
      </c>
      <c r="N313" s="114">
        <v>45027</v>
      </c>
      <c r="O313" s="115">
        <v>89827</v>
      </c>
      <c r="P313" s="84">
        <v>1</v>
      </c>
      <c r="Q313" s="123">
        <f t="shared" si="11"/>
        <v>89827</v>
      </c>
      <c r="R313" s="123">
        <v>97900</v>
      </c>
      <c r="S313" s="123">
        <f t="shared" si="10"/>
        <v>97900</v>
      </c>
    </row>
    <row r="314" spans="1:19">
      <c r="A314" s="17"/>
      <c r="B314" s="82">
        <v>441</v>
      </c>
      <c r="C314" s="83" t="s">
        <v>1685</v>
      </c>
      <c r="D314" s="84" t="s">
        <v>1686</v>
      </c>
      <c r="E314" s="85" t="s">
        <v>1687</v>
      </c>
      <c r="F314" s="86" t="s">
        <v>1716</v>
      </c>
      <c r="G314" s="53" t="s">
        <v>1717</v>
      </c>
      <c r="H314" s="85" t="s">
        <v>1512</v>
      </c>
      <c r="I314" s="84"/>
      <c r="J314" s="84" t="s">
        <v>1688</v>
      </c>
      <c r="K314" s="84"/>
      <c r="L314" s="85" t="s">
        <v>85</v>
      </c>
      <c r="M314" s="84" t="s">
        <v>1689</v>
      </c>
      <c r="N314" s="114">
        <v>45042</v>
      </c>
      <c r="O314" s="115">
        <v>222727</v>
      </c>
      <c r="P314" s="84">
        <v>14</v>
      </c>
      <c r="Q314" s="123">
        <f t="shared" si="11"/>
        <v>3118178</v>
      </c>
      <c r="R314" s="123">
        <v>281183.78000000003</v>
      </c>
      <c r="S314" s="123">
        <f t="shared" si="10"/>
        <v>3936572.9200000004</v>
      </c>
    </row>
    <row r="315" spans="1:19">
      <c r="A315" s="17"/>
      <c r="B315" s="92">
        <v>442</v>
      </c>
      <c r="C315" s="93" t="s">
        <v>1728</v>
      </c>
      <c r="D315" s="94" t="s">
        <v>1729</v>
      </c>
      <c r="E315" s="95" t="s">
        <v>9</v>
      </c>
      <c r="F315" s="96" t="s">
        <v>1692</v>
      </c>
      <c r="G315" s="58" t="s">
        <v>1693</v>
      </c>
      <c r="H315" s="97" t="s">
        <v>214</v>
      </c>
      <c r="I315" s="98"/>
      <c r="J315" s="98" t="s">
        <v>1730</v>
      </c>
      <c r="K315" s="98"/>
      <c r="L315" s="97" t="s">
        <v>50</v>
      </c>
      <c r="M315" s="98" t="s">
        <v>1731</v>
      </c>
      <c r="N315" s="117">
        <v>45051</v>
      </c>
      <c r="O315" s="118">
        <v>254545</v>
      </c>
      <c r="P315" s="98">
        <v>1</v>
      </c>
      <c r="Q315" s="124">
        <f t="shared" si="11"/>
        <v>254545</v>
      </c>
      <c r="R315" s="124">
        <v>275000</v>
      </c>
      <c r="S315" s="124">
        <f t="shared" si="10"/>
        <v>275000</v>
      </c>
    </row>
    <row r="316" spans="1:19">
      <c r="A316" s="17"/>
      <c r="B316" s="92">
        <v>443</v>
      </c>
      <c r="C316" s="93" t="s">
        <v>1732</v>
      </c>
      <c r="D316" s="98" t="s">
        <v>1733</v>
      </c>
      <c r="E316" s="97" t="s">
        <v>1734</v>
      </c>
      <c r="F316" s="99" t="s">
        <v>1716</v>
      </c>
      <c r="G316" s="58" t="s">
        <v>1717</v>
      </c>
      <c r="H316" s="97" t="s">
        <v>1735</v>
      </c>
      <c r="I316" s="98"/>
      <c r="J316" s="98" t="s">
        <v>1736</v>
      </c>
      <c r="K316" s="98"/>
      <c r="L316" s="97" t="s">
        <v>63</v>
      </c>
      <c r="M316" s="98" t="s">
        <v>1737</v>
      </c>
      <c r="N316" s="117">
        <v>45051</v>
      </c>
      <c r="O316" s="118">
        <v>92727</v>
      </c>
      <c r="P316" s="98">
        <v>28</v>
      </c>
      <c r="Q316" s="124">
        <f t="shared" si="11"/>
        <v>2596356</v>
      </c>
      <c r="R316" s="124">
        <v>153153.15</v>
      </c>
      <c r="S316" s="124">
        <f t="shared" si="10"/>
        <v>4288288.2</v>
      </c>
    </row>
    <row r="317" spans="1:19">
      <c r="A317" s="17"/>
      <c r="B317" s="92">
        <v>444</v>
      </c>
      <c r="C317" s="93" t="s">
        <v>1738</v>
      </c>
      <c r="D317" s="98" t="s">
        <v>1739</v>
      </c>
      <c r="E317" s="95" t="s">
        <v>1740</v>
      </c>
      <c r="F317" s="96" t="s">
        <v>1726</v>
      </c>
      <c r="G317" s="100" t="s">
        <v>1727</v>
      </c>
      <c r="H317" s="95" t="s">
        <v>1741</v>
      </c>
      <c r="I317" s="98"/>
      <c r="J317" s="98" t="s">
        <v>1742</v>
      </c>
      <c r="K317" s="98"/>
      <c r="L317" s="97" t="s">
        <v>63</v>
      </c>
      <c r="M317" s="98" t="s">
        <v>1743</v>
      </c>
      <c r="N317" s="117">
        <v>45056</v>
      </c>
      <c r="O317" s="118">
        <v>92727</v>
      </c>
      <c r="P317" s="98">
        <v>23</v>
      </c>
      <c r="Q317" s="124">
        <f t="shared" si="11"/>
        <v>2132721</v>
      </c>
      <c r="R317" s="124">
        <v>116999</v>
      </c>
      <c r="S317" s="124">
        <f t="shared" si="10"/>
        <v>2690977</v>
      </c>
    </row>
    <row r="318" spans="1:19">
      <c r="A318" s="17"/>
      <c r="B318" s="92">
        <v>445</v>
      </c>
      <c r="C318" s="93" t="s">
        <v>1744</v>
      </c>
      <c r="D318" s="98" t="s">
        <v>1745</v>
      </c>
      <c r="E318" s="95" t="s">
        <v>6</v>
      </c>
      <c r="F318" s="96" t="s">
        <v>1694</v>
      </c>
      <c r="G318" s="101" t="s">
        <v>1695</v>
      </c>
      <c r="H318" s="97" t="s">
        <v>114</v>
      </c>
      <c r="I318" s="98"/>
      <c r="J318" s="98" t="s">
        <v>1746</v>
      </c>
      <c r="K318" s="98"/>
      <c r="L318" s="97" t="s">
        <v>63</v>
      </c>
      <c r="M318" s="98" t="s">
        <v>1747</v>
      </c>
      <c r="N318" s="117">
        <v>45063</v>
      </c>
      <c r="O318" s="118">
        <v>92727</v>
      </c>
      <c r="P318" s="98">
        <v>6</v>
      </c>
      <c r="Q318" s="124">
        <f t="shared" si="11"/>
        <v>556362</v>
      </c>
      <c r="R318" s="124">
        <v>116364</v>
      </c>
      <c r="S318" s="124">
        <f t="shared" si="10"/>
        <v>698184</v>
      </c>
    </row>
    <row r="319" spans="1:19">
      <c r="A319" s="17"/>
      <c r="B319" s="92">
        <v>446</v>
      </c>
      <c r="C319" s="93" t="s">
        <v>1748</v>
      </c>
      <c r="D319" s="98" t="s">
        <v>1749</v>
      </c>
      <c r="E319" s="95" t="s">
        <v>1750</v>
      </c>
      <c r="F319" s="96" t="s">
        <v>1698</v>
      </c>
      <c r="G319" s="101" t="s">
        <v>1699</v>
      </c>
      <c r="H319" s="97" t="s">
        <v>83</v>
      </c>
      <c r="I319" s="98"/>
      <c r="J319" s="98" t="s">
        <v>1751</v>
      </c>
      <c r="K319" s="98"/>
      <c r="L319" s="97" t="s">
        <v>85</v>
      </c>
      <c r="M319" s="98" t="s">
        <v>1752</v>
      </c>
      <c r="N319" s="117">
        <v>45068</v>
      </c>
      <c r="O319" s="118">
        <v>222727</v>
      </c>
      <c r="P319" s="98">
        <v>350</v>
      </c>
      <c r="Q319" s="124">
        <f t="shared" si="11"/>
        <v>77954450</v>
      </c>
      <c r="R319" s="124">
        <v>279090.91899999999</v>
      </c>
      <c r="S319" s="124">
        <f t="shared" si="10"/>
        <v>97681821.649999991</v>
      </c>
    </row>
    <row r="320" spans="1:19">
      <c r="A320" s="17"/>
      <c r="B320" s="92">
        <v>447</v>
      </c>
      <c r="C320" s="93" t="s">
        <v>1753</v>
      </c>
      <c r="D320" s="94" t="s">
        <v>1754</v>
      </c>
      <c r="E320" s="95" t="s">
        <v>1740</v>
      </c>
      <c r="F320" s="96" t="s">
        <v>1706</v>
      </c>
      <c r="G320" s="101" t="s">
        <v>1707</v>
      </c>
      <c r="H320" s="97" t="s">
        <v>1755</v>
      </c>
      <c r="I320" s="119"/>
      <c r="J320" s="119" t="s">
        <v>1746</v>
      </c>
      <c r="K320" s="119"/>
      <c r="L320" s="97" t="s">
        <v>85</v>
      </c>
      <c r="M320" s="98" t="s">
        <v>429</v>
      </c>
      <c r="N320" s="117">
        <v>45070</v>
      </c>
      <c r="O320" s="118">
        <v>222727</v>
      </c>
      <c r="P320" s="98">
        <v>310</v>
      </c>
      <c r="Q320" s="124">
        <f t="shared" si="11"/>
        <v>69045370</v>
      </c>
      <c r="R320" s="124">
        <v>299000</v>
      </c>
      <c r="S320" s="124">
        <f t="shared" si="10"/>
        <v>92690000</v>
      </c>
    </row>
    <row r="321" spans="1:19">
      <c r="A321" s="17"/>
      <c r="B321" s="92">
        <v>448</v>
      </c>
      <c r="C321" s="93" t="s">
        <v>1756</v>
      </c>
      <c r="D321" s="98" t="s">
        <v>1757</v>
      </c>
      <c r="E321" s="95" t="s">
        <v>1758</v>
      </c>
      <c r="F321" s="96" t="s">
        <v>1759</v>
      </c>
      <c r="G321" s="100" t="s">
        <v>1760</v>
      </c>
      <c r="H321" s="97" t="s">
        <v>1761</v>
      </c>
      <c r="I321" s="119"/>
      <c r="J321" s="119" t="s">
        <v>1762</v>
      </c>
      <c r="K321" s="119"/>
      <c r="L321" s="97" t="s">
        <v>1763</v>
      </c>
      <c r="M321" s="98" t="s">
        <v>1764</v>
      </c>
      <c r="N321" s="117">
        <v>45072</v>
      </c>
      <c r="O321" s="124">
        <v>1574250</v>
      </c>
      <c r="P321" s="98">
        <v>1</v>
      </c>
      <c r="Q321" s="124">
        <f t="shared" si="11"/>
        <v>1574250</v>
      </c>
      <c r="R321" s="124">
        <v>1715933</v>
      </c>
      <c r="S321" s="124">
        <f t="shared" si="10"/>
        <v>1715933</v>
      </c>
    </row>
    <row r="322" spans="1:19">
      <c r="A322" s="17"/>
      <c r="B322" s="92">
        <v>449</v>
      </c>
      <c r="C322" s="93" t="s">
        <v>1765</v>
      </c>
      <c r="D322" s="94" t="s">
        <v>1766</v>
      </c>
      <c r="E322" s="95" t="s">
        <v>1740</v>
      </c>
      <c r="F322" s="96" t="s">
        <v>1706</v>
      </c>
      <c r="G322" s="101" t="s">
        <v>1707</v>
      </c>
      <c r="H322" s="95" t="s">
        <v>1276</v>
      </c>
      <c r="I322" s="119"/>
      <c r="J322" s="119" t="s">
        <v>1767</v>
      </c>
      <c r="K322" s="119"/>
      <c r="L322" s="97" t="s">
        <v>85</v>
      </c>
      <c r="M322" s="119" t="s">
        <v>1768</v>
      </c>
      <c r="N322" s="117">
        <v>45076</v>
      </c>
      <c r="O322" s="118">
        <v>222727</v>
      </c>
      <c r="P322" s="98">
        <v>5</v>
      </c>
      <c r="Q322" s="124">
        <f t="shared" si="11"/>
        <v>1113635</v>
      </c>
      <c r="R322" s="124">
        <v>299000</v>
      </c>
      <c r="S322" s="124">
        <f t="shared" si="10"/>
        <v>1495000</v>
      </c>
    </row>
    <row r="323" spans="1:19">
      <c r="A323" s="17"/>
      <c r="B323" s="92">
        <v>450</v>
      </c>
      <c r="C323" s="93" t="s">
        <v>1769</v>
      </c>
      <c r="D323" s="94" t="s">
        <v>1766</v>
      </c>
      <c r="E323" s="95" t="s">
        <v>1740</v>
      </c>
      <c r="F323" s="96" t="s">
        <v>1706</v>
      </c>
      <c r="G323" s="101" t="s">
        <v>1707</v>
      </c>
      <c r="H323" s="95" t="s">
        <v>1276</v>
      </c>
      <c r="I323" s="119"/>
      <c r="J323" s="119" t="s">
        <v>1770</v>
      </c>
      <c r="K323" s="119"/>
      <c r="L323" s="97" t="s">
        <v>85</v>
      </c>
      <c r="M323" s="119" t="s">
        <v>1278</v>
      </c>
      <c r="N323" s="117">
        <v>45076</v>
      </c>
      <c r="O323" s="118">
        <v>222727</v>
      </c>
      <c r="P323" s="98">
        <v>5</v>
      </c>
      <c r="Q323" s="124">
        <f t="shared" si="11"/>
        <v>1113635</v>
      </c>
      <c r="R323" s="124">
        <v>299000</v>
      </c>
      <c r="S323" s="124">
        <f t="shared" si="10"/>
        <v>1495000</v>
      </c>
    </row>
    <row r="324" spans="1:19">
      <c r="A324" s="17"/>
      <c r="B324" s="125">
        <v>451</v>
      </c>
      <c r="C324" s="126" t="s">
        <v>1771</v>
      </c>
      <c r="D324" s="127" t="s">
        <v>1772</v>
      </c>
      <c r="E324" s="128" t="s">
        <v>1773</v>
      </c>
      <c r="F324" s="129" t="s">
        <v>1696</v>
      </c>
      <c r="G324" s="130" t="s">
        <v>1697</v>
      </c>
      <c r="H324" s="128" t="s">
        <v>1649</v>
      </c>
      <c r="I324" s="127"/>
      <c r="J324" s="127" t="s">
        <v>1774</v>
      </c>
      <c r="K324" s="127"/>
      <c r="L324" s="174" t="s">
        <v>85</v>
      </c>
      <c r="M324" s="127" t="s">
        <v>1775</v>
      </c>
      <c r="N324" s="175">
        <v>45085</v>
      </c>
      <c r="O324" s="176">
        <v>222727</v>
      </c>
      <c r="P324" s="127">
        <v>1</v>
      </c>
      <c r="Q324" s="191">
        <f t="shared" si="11"/>
        <v>222727</v>
      </c>
      <c r="R324" s="191">
        <v>279091</v>
      </c>
      <c r="S324" s="191">
        <f t="shared" si="10"/>
        <v>279091</v>
      </c>
    </row>
    <row r="325" spans="1:19">
      <c r="A325" s="17"/>
      <c r="B325" s="125">
        <v>452</v>
      </c>
      <c r="C325" s="126" t="s">
        <v>1776</v>
      </c>
      <c r="D325" s="127" t="s">
        <v>1777</v>
      </c>
      <c r="E325" s="128" t="s">
        <v>1778</v>
      </c>
      <c r="F325" s="129" t="s">
        <v>1779</v>
      </c>
      <c r="G325" s="131" t="s">
        <v>1780</v>
      </c>
      <c r="H325" s="128" t="s">
        <v>1781</v>
      </c>
      <c r="I325" s="127"/>
      <c r="J325" s="127" t="s">
        <v>1782</v>
      </c>
      <c r="K325" s="127"/>
      <c r="L325" s="174" t="s">
        <v>1457</v>
      </c>
      <c r="M325" s="127" t="s">
        <v>1783</v>
      </c>
      <c r="N325" s="175">
        <v>45093</v>
      </c>
      <c r="O325" s="176">
        <v>432961</v>
      </c>
      <c r="P325" s="127">
        <v>82</v>
      </c>
      <c r="Q325" s="191">
        <f t="shared" si="11"/>
        <v>35502802</v>
      </c>
      <c r="R325" s="191">
        <v>592083</v>
      </c>
      <c r="S325" s="191">
        <f t="shared" si="10"/>
        <v>48550806</v>
      </c>
    </row>
    <row r="326" spans="1:19">
      <c r="B326" s="132">
        <v>453</v>
      </c>
      <c r="C326" s="133" t="s">
        <v>1784</v>
      </c>
      <c r="D326" s="134" t="s">
        <v>1785</v>
      </c>
      <c r="E326" s="135" t="s">
        <v>1740</v>
      </c>
      <c r="F326" s="136" t="s">
        <v>1786</v>
      </c>
      <c r="G326" s="137" t="s">
        <v>1787</v>
      </c>
      <c r="H326" s="135" t="s">
        <v>1788</v>
      </c>
      <c r="I326" s="132"/>
      <c r="J326" s="132" t="s">
        <v>1789</v>
      </c>
      <c r="K326" s="132"/>
      <c r="L326" s="137" t="s">
        <v>85</v>
      </c>
      <c r="M326" s="132" t="s">
        <v>422</v>
      </c>
      <c r="N326" s="177">
        <v>45117</v>
      </c>
      <c r="O326" s="178">
        <v>222727</v>
      </c>
      <c r="P326" s="132">
        <v>50</v>
      </c>
      <c r="Q326" s="179">
        <f t="shared" si="11"/>
        <v>11136350</v>
      </c>
      <c r="R326" s="179">
        <v>319000</v>
      </c>
      <c r="S326" s="179">
        <f t="shared" si="10"/>
        <v>15950000</v>
      </c>
    </row>
    <row r="327" spans="1:19">
      <c r="B327" s="132">
        <v>454</v>
      </c>
      <c r="C327" s="133" t="s">
        <v>1790</v>
      </c>
      <c r="D327" s="134" t="s">
        <v>1785</v>
      </c>
      <c r="E327" s="135" t="s">
        <v>1740</v>
      </c>
      <c r="F327" s="136" t="s">
        <v>1786</v>
      </c>
      <c r="G327" s="137" t="s">
        <v>1787</v>
      </c>
      <c r="H327" s="135" t="s">
        <v>1788</v>
      </c>
      <c r="I327" s="132"/>
      <c r="J327" s="132" t="s">
        <v>1789</v>
      </c>
      <c r="K327" s="132"/>
      <c r="L327" s="137" t="s">
        <v>63</v>
      </c>
      <c r="M327" s="132" t="s">
        <v>424</v>
      </c>
      <c r="N327" s="177">
        <v>45117</v>
      </c>
      <c r="O327" s="179">
        <v>92727</v>
      </c>
      <c r="P327" s="132">
        <v>250</v>
      </c>
      <c r="Q327" s="179">
        <f t="shared" si="11"/>
        <v>23181750</v>
      </c>
      <c r="R327" s="179">
        <v>170000</v>
      </c>
      <c r="S327" s="179">
        <f t="shared" si="10"/>
        <v>42500000</v>
      </c>
    </row>
    <row r="328" spans="1:19">
      <c r="B328" s="132">
        <v>455</v>
      </c>
      <c r="C328" s="133" t="s">
        <v>1791</v>
      </c>
      <c r="D328" s="132" t="s">
        <v>1792</v>
      </c>
      <c r="E328" s="135" t="s">
        <v>1296</v>
      </c>
      <c r="F328" s="138" t="s">
        <v>1793</v>
      </c>
      <c r="G328" s="139" t="s">
        <v>1794</v>
      </c>
      <c r="H328" s="140" t="s">
        <v>1581</v>
      </c>
      <c r="I328" s="132"/>
      <c r="J328" s="132" t="s">
        <v>1795</v>
      </c>
      <c r="K328" s="132"/>
      <c r="L328" s="137" t="s">
        <v>85</v>
      </c>
      <c r="M328" s="132" t="s">
        <v>1796</v>
      </c>
      <c r="N328" s="177">
        <v>45121</v>
      </c>
      <c r="O328" s="179">
        <v>222727</v>
      </c>
      <c r="P328" s="132">
        <v>4</v>
      </c>
      <c r="Q328" s="179">
        <f t="shared" si="11"/>
        <v>890908</v>
      </c>
      <c r="R328" s="179">
        <v>279091</v>
      </c>
      <c r="S328" s="179">
        <f t="shared" si="10"/>
        <v>1116364</v>
      </c>
    </row>
    <row r="329" spans="1:19">
      <c r="B329" s="132">
        <v>456</v>
      </c>
      <c r="C329" s="133" t="s">
        <v>1797</v>
      </c>
      <c r="D329" s="132" t="s">
        <v>1798</v>
      </c>
      <c r="E329" s="135" t="s">
        <v>17</v>
      </c>
      <c r="F329" s="135" t="s">
        <v>1708</v>
      </c>
      <c r="G329" s="141" t="s">
        <v>1709</v>
      </c>
      <c r="H329" s="137" t="s">
        <v>114</v>
      </c>
      <c r="I329" s="132"/>
      <c r="J329" s="180" t="s">
        <v>1799</v>
      </c>
      <c r="K329" s="132"/>
      <c r="L329" s="137" t="s">
        <v>85</v>
      </c>
      <c r="M329" s="132" t="s">
        <v>380</v>
      </c>
      <c r="N329" s="177">
        <v>45131</v>
      </c>
      <c r="O329" s="179">
        <v>222727</v>
      </c>
      <c r="P329" s="132">
        <v>11</v>
      </c>
      <c r="Q329" s="179">
        <f t="shared" si="11"/>
        <v>2449997</v>
      </c>
      <c r="R329" s="179">
        <v>279091</v>
      </c>
      <c r="S329" s="179">
        <f t="shared" si="10"/>
        <v>3070001</v>
      </c>
    </row>
    <row r="330" spans="1:19">
      <c r="B330" s="132">
        <v>457</v>
      </c>
      <c r="C330" s="133" t="s">
        <v>1800</v>
      </c>
      <c r="D330" s="132" t="s">
        <v>1798</v>
      </c>
      <c r="E330" s="135" t="s">
        <v>17</v>
      </c>
      <c r="F330" s="135" t="s">
        <v>1708</v>
      </c>
      <c r="G330" s="141" t="s">
        <v>1709</v>
      </c>
      <c r="H330" s="137" t="s">
        <v>114</v>
      </c>
      <c r="I330" s="132"/>
      <c r="J330" s="132" t="s">
        <v>1799</v>
      </c>
      <c r="K330" s="132"/>
      <c r="L330" s="137" t="s">
        <v>1801</v>
      </c>
      <c r="M330" s="132" t="s">
        <v>389</v>
      </c>
      <c r="N330" s="177">
        <v>45131</v>
      </c>
      <c r="O330" s="179">
        <v>46364</v>
      </c>
      <c r="P330" s="132">
        <v>11</v>
      </c>
      <c r="Q330" s="179">
        <f t="shared" si="11"/>
        <v>510004</v>
      </c>
      <c r="R330" s="179">
        <v>58182</v>
      </c>
      <c r="S330" s="179">
        <f t="shared" si="10"/>
        <v>640002</v>
      </c>
    </row>
    <row r="331" spans="1:19">
      <c r="B331" s="132">
        <v>458</v>
      </c>
      <c r="C331" s="133" t="s">
        <v>1802</v>
      </c>
      <c r="D331" s="132" t="s">
        <v>1798</v>
      </c>
      <c r="E331" s="135" t="s">
        <v>17</v>
      </c>
      <c r="F331" s="135" t="s">
        <v>1708</v>
      </c>
      <c r="G331" s="141" t="s">
        <v>1709</v>
      </c>
      <c r="H331" s="137" t="s">
        <v>114</v>
      </c>
      <c r="I331" s="132"/>
      <c r="J331" s="132" t="s">
        <v>1803</v>
      </c>
      <c r="K331" s="132"/>
      <c r="L331" s="137" t="s">
        <v>1457</v>
      </c>
      <c r="M331" s="132" t="s">
        <v>1804</v>
      </c>
      <c r="N331" s="177">
        <v>45131</v>
      </c>
      <c r="O331" s="179">
        <v>216480</v>
      </c>
      <c r="P331" s="132">
        <v>4</v>
      </c>
      <c r="Q331" s="179">
        <f t="shared" si="11"/>
        <v>865920</v>
      </c>
      <c r="R331" s="179">
        <v>553408</v>
      </c>
      <c r="S331" s="179">
        <f t="shared" si="10"/>
        <v>2213632</v>
      </c>
    </row>
    <row r="332" spans="1:19">
      <c r="B332" s="132">
        <v>459</v>
      </c>
      <c r="C332" s="133" t="s">
        <v>1805</v>
      </c>
      <c r="D332" s="132" t="s">
        <v>1798</v>
      </c>
      <c r="E332" s="135" t="s">
        <v>17</v>
      </c>
      <c r="F332" s="135" t="s">
        <v>1708</v>
      </c>
      <c r="G332" s="141" t="s">
        <v>1709</v>
      </c>
      <c r="H332" s="137" t="s">
        <v>114</v>
      </c>
      <c r="I332" s="132"/>
      <c r="J332" s="180" t="s">
        <v>1806</v>
      </c>
      <c r="K332" s="132"/>
      <c r="L332" s="137" t="s">
        <v>85</v>
      </c>
      <c r="M332" s="132" t="s">
        <v>1449</v>
      </c>
      <c r="N332" s="177">
        <v>45131</v>
      </c>
      <c r="O332" s="179">
        <v>222727</v>
      </c>
      <c r="P332" s="132">
        <v>5</v>
      </c>
      <c r="Q332" s="179">
        <f t="shared" si="11"/>
        <v>1113635</v>
      </c>
      <c r="R332" s="179">
        <v>279091</v>
      </c>
      <c r="S332" s="179">
        <f t="shared" ref="S332:S344" si="12">R332*P332</f>
        <v>1395455</v>
      </c>
    </row>
    <row r="333" spans="1:19">
      <c r="B333" s="132">
        <v>460</v>
      </c>
      <c r="C333" s="133" t="s">
        <v>1807</v>
      </c>
      <c r="D333" s="132" t="s">
        <v>1808</v>
      </c>
      <c r="E333" s="135" t="s">
        <v>1809</v>
      </c>
      <c r="F333" s="142" t="s">
        <v>1759</v>
      </c>
      <c r="G333" s="143" t="s">
        <v>1760</v>
      </c>
      <c r="H333" s="137" t="s">
        <v>1810</v>
      </c>
      <c r="I333" s="132"/>
      <c r="J333" s="132" t="s">
        <v>1811</v>
      </c>
      <c r="K333" s="132"/>
      <c r="L333" s="137" t="s">
        <v>1812</v>
      </c>
      <c r="M333" s="134" t="s">
        <v>1813</v>
      </c>
      <c r="N333" s="177">
        <v>45131</v>
      </c>
      <c r="O333" s="179">
        <v>140000</v>
      </c>
      <c r="P333" s="132">
        <v>968</v>
      </c>
      <c r="Q333" s="179">
        <f t="shared" si="11"/>
        <v>135520000</v>
      </c>
      <c r="R333" s="179">
        <v>158200</v>
      </c>
      <c r="S333" s="179">
        <f t="shared" si="12"/>
        <v>153137600</v>
      </c>
    </row>
    <row r="334" spans="1:19">
      <c r="B334" s="132">
        <v>461</v>
      </c>
      <c r="C334" s="133" t="s">
        <v>1814</v>
      </c>
      <c r="D334" s="134" t="s">
        <v>1815</v>
      </c>
      <c r="E334" s="135" t="s">
        <v>1740</v>
      </c>
      <c r="F334" s="144" t="s">
        <v>1816</v>
      </c>
      <c r="G334" s="143" t="s">
        <v>1817</v>
      </c>
      <c r="H334" s="137" t="s">
        <v>1818</v>
      </c>
      <c r="I334" s="132"/>
      <c r="J334" s="132" t="s">
        <v>1819</v>
      </c>
      <c r="K334" s="132"/>
      <c r="L334" s="137" t="s">
        <v>85</v>
      </c>
      <c r="M334" s="132" t="s">
        <v>1820</v>
      </c>
      <c r="N334" s="177">
        <v>45125</v>
      </c>
      <c r="O334" s="179">
        <v>222727</v>
      </c>
      <c r="P334" s="132">
        <v>7</v>
      </c>
      <c r="Q334" s="179">
        <f t="shared" si="11"/>
        <v>1559089</v>
      </c>
      <c r="R334" s="179">
        <v>279091</v>
      </c>
      <c r="S334" s="179">
        <f t="shared" si="12"/>
        <v>1953637</v>
      </c>
    </row>
    <row r="335" spans="1:19">
      <c r="B335" s="132">
        <v>462</v>
      </c>
      <c r="C335" s="133" t="s">
        <v>1821</v>
      </c>
      <c r="D335" s="132" t="s">
        <v>1822</v>
      </c>
      <c r="E335" s="135" t="s">
        <v>1740</v>
      </c>
      <c r="F335" s="138" t="s">
        <v>1823</v>
      </c>
      <c r="G335" s="143" t="s">
        <v>1824</v>
      </c>
      <c r="H335" s="145" t="s">
        <v>1825</v>
      </c>
      <c r="I335" s="132"/>
      <c r="J335" s="132" t="s">
        <v>1826</v>
      </c>
      <c r="K335" s="132"/>
      <c r="L335" s="137" t="s">
        <v>63</v>
      </c>
      <c r="M335" s="180" t="s">
        <v>1827</v>
      </c>
      <c r="N335" s="177">
        <v>45132</v>
      </c>
      <c r="O335" s="179">
        <v>92727</v>
      </c>
      <c r="P335" s="132">
        <v>4</v>
      </c>
      <c r="Q335" s="179">
        <f t="shared" si="11"/>
        <v>370908</v>
      </c>
      <c r="R335" s="179">
        <v>116999</v>
      </c>
      <c r="S335" s="179">
        <f t="shared" si="12"/>
        <v>467996</v>
      </c>
    </row>
    <row r="336" spans="1:19">
      <c r="B336" s="132">
        <v>463</v>
      </c>
      <c r="C336" s="133" t="s">
        <v>1828</v>
      </c>
      <c r="D336" s="134">
        <v>2500061451</v>
      </c>
      <c r="E336" s="135" t="s">
        <v>1829</v>
      </c>
      <c r="F336" s="135" t="s">
        <v>1830</v>
      </c>
      <c r="G336" s="143" t="s">
        <v>1831</v>
      </c>
      <c r="H336" s="146" t="s">
        <v>1832</v>
      </c>
      <c r="I336" s="132"/>
      <c r="J336" s="132" t="s">
        <v>1833</v>
      </c>
      <c r="K336" s="132"/>
      <c r="L336" s="137" t="s">
        <v>50</v>
      </c>
      <c r="M336" s="132" t="s">
        <v>1834</v>
      </c>
      <c r="N336" s="177">
        <v>45133</v>
      </c>
      <c r="O336" s="179">
        <v>444545</v>
      </c>
      <c r="P336" s="132">
        <v>212</v>
      </c>
      <c r="Q336" s="179">
        <f t="shared" si="11"/>
        <v>94243540</v>
      </c>
      <c r="R336" s="179">
        <v>556364</v>
      </c>
      <c r="S336" s="179">
        <f t="shared" si="12"/>
        <v>117949168</v>
      </c>
    </row>
    <row r="337" spans="2:19">
      <c r="B337" s="132">
        <v>464</v>
      </c>
      <c r="C337" s="133" t="s">
        <v>1835</v>
      </c>
      <c r="D337" s="132" t="s">
        <v>1836</v>
      </c>
      <c r="E337" s="146" t="s">
        <v>1837</v>
      </c>
      <c r="F337" s="142" t="s">
        <v>1759</v>
      </c>
      <c r="G337" s="143" t="s">
        <v>1760</v>
      </c>
      <c r="H337" s="146" t="s">
        <v>1838</v>
      </c>
      <c r="I337" s="137"/>
      <c r="J337" s="134" t="s">
        <v>1839</v>
      </c>
      <c r="K337" s="137"/>
      <c r="L337" s="137" t="s">
        <v>85</v>
      </c>
      <c r="M337" s="132" t="s">
        <v>1840</v>
      </c>
      <c r="N337" s="177">
        <v>45134</v>
      </c>
      <c r="O337" s="179">
        <v>222727</v>
      </c>
      <c r="P337" s="132">
        <v>1</v>
      </c>
      <c r="Q337" s="179">
        <f t="shared" si="11"/>
        <v>222727</v>
      </c>
      <c r="R337" s="179">
        <v>279091</v>
      </c>
      <c r="S337" s="179">
        <f t="shared" si="12"/>
        <v>279091</v>
      </c>
    </row>
    <row r="338" spans="2:19">
      <c r="B338" s="132">
        <v>465</v>
      </c>
      <c r="C338" s="133" t="s">
        <v>1841</v>
      </c>
      <c r="D338" s="132" t="s">
        <v>1842</v>
      </c>
      <c r="E338" s="147" t="s">
        <v>1843</v>
      </c>
      <c r="F338" s="148" t="s">
        <v>1724</v>
      </c>
      <c r="G338" s="149" t="s">
        <v>1725</v>
      </c>
      <c r="H338" s="145" t="s">
        <v>1844</v>
      </c>
      <c r="I338" s="137"/>
      <c r="J338" s="134" t="s">
        <v>1811</v>
      </c>
      <c r="K338" s="137"/>
      <c r="L338" s="137" t="s">
        <v>1845</v>
      </c>
      <c r="M338" s="132" t="s">
        <v>1846</v>
      </c>
      <c r="N338" s="177">
        <v>45134</v>
      </c>
      <c r="O338" s="179">
        <v>848604</v>
      </c>
      <c r="P338" s="132">
        <v>330</v>
      </c>
      <c r="Q338" s="179">
        <f t="shared" si="11"/>
        <v>280039320</v>
      </c>
      <c r="R338" s="179">
        <v>909218</v>
      </c>
      <c r="S338" s="179">
        <f t="shared" si="12"/>
        <v>300041940</v>
      </c>
    </row>
    <row r="339" spans="2:19">
      <c r="B339" s="132">
        <v>466</v>
      </c>
      <c r="C339" s="133" t="s">
        <v>1847</v>
      </c>
      <c r="D339" s="132" t="s">
        <v>1842</v>
      </c>
      <c r="E339" s="147" t="s">
        <v>1843</v>
      </c>
      <c r="F339" s="148" t="s">
        <v>1724</v>
      </c>
      <c r="G339" s="149" t="s">
        <v>1725</v>
      </c>
      <c r="H339" s="140" t="s">
        <v>1844</v>
      </c>
      <c r="I339" s="137"/>
      <c r="J339" s="134" t="s">
        <v>1811</v>
      </c>
      <c r="K339" s="137"/>
      <c r="L339" s="137" t="s">
        <v>1848</v>
      </c>
      <c r="M339" s="132" t="s">
        <v>1849</v>
      </c>
      <c r="N339" s="177">
        <v>45134</v>
      </c>
      <c r="O339" s="179">
        <v>476636</v>
      </c>
      <c r="P339" s="132">
        <v>330</v>
      </c>
      <c r="Q339" s="179">
        <f t="shared" si="11"/>
        <v>157289880</v>
      </c>
      <c r="R339" s="179">
        <v>544727</v>
      </c>
      <c r="S339" s="179">
        <f t="shared" si="12"/>
        <v>179759910</v>
      </c>
    </row>
    <row r="340" spans="2:19">
      <c r="B340" s="132">
        <v>467</v>
      </c>
      <c r="C340" s="133" t="s">
        <v>1850</v>
      </c>
      <c r="D340" s="132" t="s">
        <v>1851</v>
      </c>
      <c r="E340" s="140" t="s">
        <v>1852</v>
      </c>
      <c r="F340" s="148" t="s">
        <v>1724</v>
      </c>
      <c r="G340" s="149" t="s">
        <v>1725</v>
      </c>
      <c r="H340" s="140" t="s">
        <v>1853</v>
      </c>
      <c r="I340" s="137"/>
      <c r="J340" s="132" t="s">
        <v>1854</v>
      </c>
      <c r="K340" s="137"/>
      <c r="L340" s="181" t="s">
        <v>1855</v>
      </c>
      <c r="M340" s="182" t="s">
        <v>1856</v>
      </c>
      <c r="N340" s="177">
        <v>45135</v>
      </c>
      <c r="O340" s="179">
        <v>561750</v>
      </c>
      <c r="P340" s="132">
        <v>8</v>
      </c>
      <c r="Q340" s="179">
        <f t="shared" si="11"/>
        <v>4494000</v>
      </c>
      <c r="R340" s="179">
        <v>595500</v>
      </c>
      <c r="S340" s="179">
        <f t="shared" si="12"/>
        <v>4764000</v>
      </c>
    </row>
    <row r="341" spans="2:19">
      <c r="B341" s="132">
        <v>468</v>
      </c>
      <c r="C341" s="133" t="s">
        <v>1857</v>
      </c>
      <c r="D341" s="132" t="s">
        <v>1858</v>
      </c>
      <c r="E341" s="140" t="s">
        <v>1852</v>
      </c>
      <c r="F341" s="148" t="s">
        <v>1724</v>
      </c>
      <c r="G341" s="149" t="s">
        <v>1725</v>
      </c>
      <c r="H341" s="140" t="s">
        <v>1859</v>
      </c>
      <c r="I341" s="137"/>
      <c r="J341" s="132" t="s">
        <v>1854</v>
      </c>
      <c r="K341" s="137"/>
      <c r="L341" s="181" t="s">
        <v>1855</v>
      </c>
      <c r="M341" s="180" t="s">
        <v>1860</v>
      </c>
      <c r="N341" s="177">
        <v>45135</v>
      </c>
      <c r="O341" s="179">
        <v>561750</v>
      </c>
      <c r="P341" s="132">
        <v>4</v>
      </c>
      <c r="Q341" s="179">
        <f t="shared" si="11"/>
        <v>2247000</v>
      </c>
      <c r="R341" s="179">
        <v>595500</v>
      </c>
      <c r="S341" s="179">
        <f t="shared" si="12"/>
        <v>2382000</v>
      </c>
    </row>
    <row r="342" spans="2:19">
      <c r="B342" s="132">
        <v>469</v>
      </c>
      <c r="C342" s="133" t="s">
        <v>1861</v>
      </c>
      <c r="D342" s="132" t="s">
        <v>1862</v>
      </c>
      <c r="E342" s="140" t="s">
        <v>1852</v>
      </c>
      <c r="F342" s="148" t="s">
        <v>1724</v>
      </c>
      <c r="G342" s="149" t="s">
        <v>1725</v>
      </c>
      <c r="H342" s="145" t="s">
        <v>1863</v>
      </c>
      <c r="I342" s="137"/>
      <c r="J342" s="132" t="s">
        <v>1854</v>
      </c>
      <c r="K342" s="137"/>
      <c r="L342" s="181" t="s">
        <v>1855</v>
      </c>
      <c r="M342" s="132" t="s">
        <v>1864</v>
      </c>
      <c r="N342" s="177">
        <v>45135</v>
      </c>
      <c r="O342" s="179">
        <v>561750</v>
      </c>
      <c r="P342" s="132">
        <v>32</v>
      </c>
      <c r="Q342" s="179">
        <f t="shared" si="11"/>
        <v>17976000</v>
      </c>
      <c r="R342" s="179">
        <v>595500</v>
      </c>
      <c r="S342" s="179">
        <f t="shared" si="12"/>
        <v>19056000</v>
      </c>
    </row>
    <row r="343" spans="2:19">
      <c r="B343" s="132">
        <v>470</v>
      </c>
      <c r="C343" s="133" t="s">
        <v>1865</v>
      </c>
      <c r="D343" s="132" t="s">
        <v>1866</v>
      </c>
      <c r="E343" s="135" t="s">
        <v>1809</v>
      </c>
      <c r="F343" s="142" t="s">
        <v>1759</v>
      </c>
      <c r="G343" s="143" t="s">
        <v>1760</v>
      </c>
      <c r="H343" s="137" t="s">
        <v>1810</v>
      </c>
      <c r="I343" s="137"/>
      <c r="J343" s="132" t="s">
        <v>1811</v>
      </c>
      <c r="K343" s="137"/>
      <c r="L343" s="181" t="s">
        <v>1867</v>
      </c>
      <c r="M343" s="180" t="s">
        <v>1868</v>
      </c>
      <c r="N343" s="177">
        <v>45135</v>
      </c>
      <c r="O343" s="179">
        <v>140000</v>
      </c>
      <c r="P343" s="132">
        <v>684</v>
      </c>
      <c r="Q343" s="179">
        <f t="shared" si="11"/>
        <v>95760000</v>
      </c>
      <c r="R343" s="179">
        <v>158200</v>
      </c>
      <c r="S343" s="179">
        <f t="shared" si="12"/>
        <v>108208800</v>
      </c>
    </row>
    <row r="344" spans="2:19">
      <c r="B344" s="132">
        <v>471</v>
      </c>
      <c r="C344" s="133" t="s">
        <v>1869</v>
      </c>
      <c r="D344" s="134" t="s">
        <v>1870</v>
      </c>
      <c r="E344" s="135" t="s">
        <v>1740</v>
      </c>
      <c r="F344" s="150" t="s">
        <v>1712</v>
      </c>
      <c r="G344" s="143" t="s">
        <v>1871</v>
      </c>
      <c r="H344" s="140" t="s">
        <v>462</v>
      </c>
      <c r="I344" s="132"/>
      <c r="J344" s="132" t="s">
        <v>1872</v>
      </c>
      <c r="K344" s="132"/>
      <c r="L344" s="137" t="s">
        <v>85</v>
      </c>
      <c r="M344" s="132" t="s">
        <v>1873</v>
      </c>
      <c r="N344" s="177">
        <v>45138</v>
      </c>
      <c r="O344" s="179">
        <v>222727</v>
      </c>
      <c r="P344" s="132">
        <v>68</v>
      </c>
      <c r="Q344" s="179">
        <f t="shared" si="11"/>
        <v>15145436</v>
      </c>
      <c r="R344" s="179">
        <v>360000</v>
      </c>
      <c r="S344" s="179">
        <f t="shared" si="12"/>
        <v>24480000</v>
      </c>
    </row>
  </sheetData>
  <autoFilter ref="B2:Q344" xr:uid="{00000000-0009-0000-0000-000007000000}"/>
  <mergeCells count="11">
    <mergeCell ref="B2:B3"/>
    <mergeCell ref="C2:C3"/>
    <mergeCell ref="E2:E3"/>
    <mergeCell ref="H2:H3"/>
    <mergeCell ref="L2:L3"/>
    <mergeCell ref="S2:S3"/>
    <mergeCell ref="M2:M3"/>
    <mergeCell ref="O2:O3"/>
    <mergeCell ref="P2:P3"/>
    <mergeCell ref="Q2:Q3"/>
    <mergeCell ref="R2:R3"/>
  </mergeCells>
  <hyperlinks>
    <hyperlink ref="F4" r:id="rId1" xr:uid="{00000000-0004-0000-0700-000000000000}"/>
    <hyperlink ref="F5:F7" r:id="rId2" display="fransisca.desyanti@faasri.com" xr:uid="{00000000-0004-0000-0700-000001000000}"/>
    <hyperlink ref="F20" r:id="rId3" xr:uid="{00000000-0004-0000-0700-000002000000}"/>
    <hyperlink ref="F22:F26" r:id="rId4" display="fransisca.desyanti@faasri.com" xr:uid="{00000000-0004-0000-0700-000003000000}"/>
    <hyperlink ref="F27:F28" r:id="rId5" display="fransisca.desyanti@faasri.com" xr:uid="{00000000-0004-0000-0700-000004000000}"/>
    <hyperlink ref="F47:F60" r:id="rId6" display="fransisca.desyanti@faasri.com" xr:uid="{00000000-0004-0000-0700-000005000000}"/>
    <hyperlink ref="F69" r:id="rId7" xr:uid="{00000000-0004-0000-0700-000006000000}"/>
    <hyperlink ref="F71:F81" r:id="rId8" display="fransisca.desyanti@faasri.com" xr:uid="{00000000-0004-0000-0700-000007000000}"/>
    <hyperlink ref="F82:F83" r:id="rId9" display="fransisca.desyanti@faasri.com" xr:uid="{00000000-0004-0000-0700-000008000000}"/>
    <hyperlink ref="F83" r:id="rId10" xr:uid="{00000000-0004-0000-0700-000009000000}"/>
    <hyperlink ref="F110" r:id="rId11" xr:uid="{00000000-0004-0000-0700-00000A000000}"/>
    <hyperlink ref="F111:F114" r:id="rId12" display="fransisca.desyanti@faasri.com" xr:uid="{00000000-0004-0000-0700-00000B000000}"/>
    <hyperlink ref="F115:F118" r:id="rId13" display="fransisca.desyanti@faasri.com" xr:uid="{00000000-0004-0000-0700-00000C000000}"/>
    <hyperlink ref="F121:F123" r:id="rId14" display="fransisca.desyanti@faasri.com" xr:uid="{00000000-0004-0000-0700-00000D000000}"/>
    <hyperlink ref="F125:F131" r:id="rId15" display="fransisca.desyanti@faasri.com" xr:uid="{00000000-0004-0000-0700-00000E000000}"/>
    <hyperlink ref="F161:F174" r:id="rId16" display="fransisca.desyanti@faasri.com" xr:uid="{00000000-0004-0000-0700-00000F000000}"/>
    <hyperlink ref="F176:F181" r:id="rId17" display="fransisca.desyanti@faasri.com" xr:uid="{00000000-0004-0000-0700-000010000000}"/>
    <hyperlink ref="F185:F192" r:id="rId18" display="fransisca.desyanti@faasri.com" xr:uid="{00000000-0004-0000-0700-000011000000}"/>
    <hyperlink ref="F205:F206" r:id="rId19" display="fransisca.desyanti@faasri.com" xr:uid="{00000000-0004-0000-0700-000012000000}"/>
    <hyperlink ref="F210:F213" r:id="rId20" display="fransisca.desyanti@faasri.com" xr:uid="{00000000-0004-0000-0700-000013000000}"/>
    <hyperlink ref="F221" r:id="rId21" xr:uid="{00000000-0004-0000-0700-000014000000}"/>
    <hyperlink ref="F224" r:id="rId22" xr:uid="{00000000-0004-0000-0700-000015000000}"/>
    <hyperlink ref="F243" r:id="rId23" xr:uid="{00000000-0004-0000-0700-000016000000}"/>
    <hyperlink ref="F260" r:id="rId24" xr:uid="{00000000-0004-0000-0700-000017000000}"/>
    <hyperlink ref="F225" r:id="rId25" xr:uid="{00000000-0004-0000-0700-000018000000}"/>
    <hyperlink ref="F230:F231" r:id="rId26" display="fransisca.desyanti@faasri.com" xr:uid="{00000000-0004-0000-0700-000019000000}"/>
    <hyperlink ref="F236:F238" r:id="rId27" display="fransisca.desyanti@faasri.com" xr:uid="{00000000-0004-0000-0700-00001A000000}"/>
    <hyperlink ref="F240:F241" r:id="rId28" display="fransisca.desyanti@faasri.com" xr:uid="{00000000-0004-0000-0700-00001B000000}"/>
    <hyperlink ref="F193:F194" r:id="rId29" display="fransisca.desyanti@faasri.com" xr:uid="{00000000-0004-0000-0700-00001C000000}"/>
    <hyperlink ref="F196:F201" r:id="rId30" display="fransisca.desyanti@faasri.com" xr:uid="{00000000-0004-0000-0700-00001D000000}"/>
    <hyperlink ref="F132:F135" r:id="rId31" display="fransisca.desyanti@faasri.com" xr:uid="{00000000-0004-0000-0700-00001E000000}"/>
    <hyperlink ref="F137:F139" r:id="rId32" display="fransisca.desyanti@faasri.com" xr:uid="{00000000-0004-0000-0700-00001F000000}"/>
    <hyperlink ref="F141:F160" r:id="rId33" display="fransisca.desyanti@faasri.com" xr:uid="{00000000-0004-0000-0700-000020000000}"/>
    <hyperlink ref="F84:F85" r:id="rId34" display="fransisca.desyanti@faasri.com" xr:uid="{00000000-0004-0000-0700-000021000000}"/>
    <hyperlink ref="F87:F96" r:id="rId35" display="fransisca.desyanti@faasri.com" xr:uid="{00000000-0004-0000-0700-000022000000}"/>
    <hyperlink ref="F97:F101" r:id="rId36" display="fransisca.desyanti@faasri.com" xr:uid="{00000000-0004-0000-0700-000023000000}"/>
    <hyperlink ref="F105" r:id="rId37" xr:uid="{00000000-0004-0000-0700-000024000000}"/>
    <hyperlink ref="F106:F107" r:id="rId38" display="fransisca.desyanti@faasri.com" xr:uid="{00000000-0004-0000-0700-000025000000}"/>
    <hyperlink ref="F61:F65" r:id="rId39" display="fransisca.desyanti@faasri.com" xr:uid="{00000000-0004-0000-0700-000026000000}"/>
    <hyperlink ref="F66:F68" r:id="rId40" display="fransisca.desyanti@faasri.com" xr:uid="{00000000-0004-0000-0700-000027000000}"/>
    <hyperlink ref="F29:F31" r:id="rId41" display="fransisca.desyanti@faasri.com" xr:uid="{00000000-0004-0000-0700-000028000000}"/>
    <hyperlink ref="F32:F34" r:id="rId42" display="fransisca.desyanti@faasri.com" xr:uid="{00000000-0004-0000-0700-000029000000}"/>
    <hyperlink ref="F35:F44" r:id="rId43" display="fransisca.desyanti@faasri.com" xr:uid="{00000000-0004-0000-0700-00002A000000}"/>
    <hyperlink ref="F8:F11" r:id="rId44" display="fransisca.desyanti@faasri.com" xr:uid="{00000000-0004-0000-0700-00002B000000}"/>
    <hyperlink ref="F13:F18" r:id="rId45" display="fransisca.desyanti@faasri.com" xr:uid="{00000000-0004-0000-0700-00002C000000}"/>
    <hyperlink ref="F285" r:id="rId46" xr:uid="{00000000-0004-0000-0700-00002D000000}"/>
    <hyperlink ref="F312" r:id="rId47" xr:uid="{00000000-0004-0000-0700-00002E000000}"/>
    <hyperlink ref="F315" r:id="rId48" xr:uid="{00000000-0004-0000-0700-00002F000000}"/>
    <hyperlink ref="F19" r:id="rId49" xr:uid="{00000000-0004-0000-0700-000030000000}"/>
    <hyperlink ref="F119" r:id="rId50" xr:uid="{00000000-0004-0000-0700-000031000000}"/>
    <hyperlink ref="F175" r:id="rId51" xr:uid="{00000000-0004-0000-0700-000032000000}"/>
    <hyperlink ref="F182:F184" r:id="rId52" display="asrida.djuwita@gdnusantara.com" xr:uid="{00000000-0004-0000-0700-000033000000}"/>
    <hyperlink ref="F209" r:id="rId53" xr:uid="{00000000-0004-0000-0700-000034000000}"/>
    <hyperlink ref="F246" r:id="rId54" xr:uid="{00000000-0004-0000-0700-000035000000}"/>
    <hyperlink ref="F264:F265" r:id="rId55" display="asrida.djuwita@gdnusantara.com" xr:uid="{00000000-0004-0000-0700-000036000000}"/>
    <hyperlink ref="F271:F272" r:id="rId56" display="asrida.djuwita@gdnusantara.com" xr:uid="{00000000-0004-0000-0700-000037000000}"/>
    <hyperlink ref="F275" r:id="rId57" xr:uid="{00000000-0004-0000-0700-000038000000}"/>
    <hyperlink ref="F281:F282" r:id="rId58" display="asrida.djuwita@gdnusantara.com" xr:uid="{00000000-0004-0000-0700-000039000000}"/>
    <hyperlink ref="F303" r:id="rId59" xr:uid="{00000000-0004-0000-0700-00003A000000}"/>
    <hyperlink ref="F305" r:id="rId60" xr:uid="{00000000-0004-0000-0700-00003B000000}"/>
    <hyperlink ref="F102" r:id="rId61" xr:uid="{00000000-0004-0000-0700-00003C000000}"/>
    <hyperlink ref="F103" r:id="rId62" xr:uid="{00000000-0004-0000-0700-00003D000000}"/>
    <hyperlink ref="F109" r:id="rId63" xr:uid="{00000000-0004-0000-0700-00003E000000}"/>
    <hyperlink ref="F136" r:id="rId64" xr:uid="{00000000-0004-0000-0700-00003F000000}"/>
    <hyperlink ref="F195" r:id="rId65" xr:uid="{00000000-0004-0000-0700-000040000000}"/>
    <hyperlink ref="F232:F234" r:id="rId66" display="asrida.djuwita@gdnusantara.com" xr:uid="{00000000-0004-0000-0700-000041000000}"/>
    <hyperlink ref="F239" r:id="rId67" xr:uid="{00000000-0004-0000-0700-000042000000}"/>
    <hyperlink ref="F242" r:id="rId68" xr:uid="{00000000-0004-0000-0700-000043000000}"/>
    <hyperlink ref="F257" r:id="rId69" xr:uid="{00000000-0004-0000-0700-000044000000}"/>
    <hyperlink ref="F269" r:id="rId70" xr:uid="{00000000-0004-0000-0700-000045000000}"/>
    <hyperlink ref="F290:F291" r:id="rId71" display="asrida.djuwita@gdnusantara.com" xr:uid="{00000000-0004-0000-0700-000046000000}"/>
    <hyperlink ref="F300" r:id="rId72" xr:uid="{00000000-0004-0000-0700-000047000000}"/>
    <hyperlink ref="F214:F219" r:id="rId73" display="susan@pancaputra.co.id" xr:uid="{00000000-0004-0000-0700-000048000000}"/>
    <hyperlink ref="F276:F280" r:id="rId74" display="susan@pancaputra.co.id" xr:uid="{00000000-0004-0000-0700-000049000000}"/>
    <hyperlink ref="F307:F309" r:id="rId75" display="susan@pancaputra.co.id" xr:uid="{00000000-0004-0000-0700-00004A000000}"/>
    <hyperlink ref="F251:F255" r:id="rId76" display="susan@pancaputra.co.id" xr:uid="{00000000-0004-0000-0700-00004B000000}"/>
    <hyperlink ref="F302" r:id="rId77" xr:uid="{00000000-0004-0000-0700-00004C000000}"/>
    <hyperlink ref="F319" r:id="rId78" xr:uid="{00000000-0004-0000-0700-00004D000000}"/>
    <hyperlink ref="F45:F46" r:id="rId79" display="made_indra@datascrip.co.id" xr:uid="{00000000-0004-0000-0700-00004E000000}"/>
    <hyperlink ref="F250" r:id="rId80" xr:uid="{00000000-0004-0000-0700-00004F000000}"/>
    <hyperlink ref="F261" r:id="rId81" xr:uid="{00000000-0004-0000-0700-000050000000}"/>
    <hyperlink ref="F267" r:id="rId82" xr:uid="{00000000-0004-0000-0700-000051000000}"/>
    <hyperlink ref="F256" r:id="rId83" xr:uid="{00000000-0004-0000-0700-000052000000}"/>
    <hyperlink ref="F263" r:id="rId84" xr:uid="{00000000-0004-0000-0700-000053000000}"/>
    <hyperlink ref="F295" r:id="rId85" xr:uid="{00000000-0004-0000-0700-000054000000}"/>
    <hyperlink ref="F297" r:id="rId86" xr:uid="{00000000-0004-0000-0700-000055000000}"/>
    <hyperlink ref="F306" r:id="rId87" xr:uid="{00000000-0004-0000-0700-000056000000}"/>
    <hyperlink ref="F311" r:id="rId88" xr:uid="{00000000-0004-0000-0700-000057000000}"/>
    <hyperlink ref="F108" r:id="rId89" xr:uid="{00000000-0004-0000-0700-000058000000}"/>
    <hyperlink ref="F262" r:id="rId90" xr:uid="{00000000-0004-0000-0700-000059000000}"/>
    <hyperlink ref="F287" r:id="rId91" xr:uid="{00000000-0004-0000-0700-00005A000000}"/>
    <hyperlink ref="F120" r:id="rId92" xr:uid="{00000000-0004-0000-0700-00005B000000}"/>
    <hyperlink ref="F249" r:id="rId93" xr:uid="{00000000-0004-0000-0700-00005C000000}"/>
    <hyperlink ref="F235" r:id="rId94" xr:uid="{00000000-0004-0000-0700-00005D000000}"/>
    <hyperlink ref="F268" r:id="rId95" xr:uid="{00000000-0004-0000-0700-00005E000000}"/>
    <hyperlink ref="F288:F289" r:id="rId96" display="frilla.triyanditama@gdn-commerce.com" xr:uid="{00000000-0004-0000-0700-00005F000000}"/>
    <hyperlink ref="F298:F299" r:id="rId97" display="frilla.triyanditama@gdn-commerce.com" xr:uid="{00000000-0004-0000-0700-000060000000}"/>
    <hyperlink ref="F301" r:id="rId98" xr:uid="{00000000-0004-0000-0700-000061000000}"/>
    <hyperlink ref="F12" r:id="rId99" xr:uid="{00000000-0004-0000-0700-000062000000}"/>
    <hyperlink ref="F140" r:id="rId100" xr:uid="{00000000-0004-0000-0700-000063000000}"/>
    <hyperlink ref="F228" r:id="rId101" xr:uid="{00000000-0004-0000-0700-000064000000}"/>
    <hyperlink ref="F21" r:id="rId102" xr:uid="{00000000-0004-0000-0700-000065000000}"/>
    <hyperlink ref="F318" r:id="rId103" xr:uid="{00000000-0004-0000-0700-000066000000}"/>
    <hyperlink ref="F222" r:id="rId104" xr:uid="{00000000-0004-0000-0700-000067000000}"/>
    <hyperlink ref="F70" r:id="rId105" xr:uid="{00000000-0004-0000-0700-000068000000}"/>
    <hyperlink ref="F207" r:id="rId106" xr:uid="{00000000-0004-0000-0700-000069000000}"/>
    <hyperlink ref="F208" r:id="rId107" xr:uid="{00000000-0004-0000-0700-00006A000000}"/>
    <hyperlink ref="F247" r:id="rId108" xr:uid="{00000000-0004-0000-0700-00006B000000}"/>
    <hyperlink ref="F324" r:id="rId109" xr:uid="{00000000-0004-0000-0700-00006C000000}"/>
    <hyperlink ref="F86" r:id="rId110" xr:uid="{00000000-0004-0000-0700-00006D000000}"/>
    <hyperlink ref="F220" r:id="rId111" xr:uid="{00000000-0004-0000-0700-00006E000000}"/>
    <hyperlink ref="F223" r:id="rId112" xr:uid="{00000000-0004-0000-0700-00006F000000}"/>
    <hyperlink ref="F124" r:id="rId113" xr:uid="{00000000-0004-0000-0700-000070000000}"/>
    <hyperlink ref="F258" r:id="rId114" xr:uid="{00000000-0004-0000-0700-000071000000}"/>
    <hyperlink ref="F320" r:id="rId115" xr:uid="{00000000-0004-0000-0700-000072000000}"/>
    <hyperlink ref="F322" r:id="rId116" xr:uid="{00000000-0004-0000-0700-000073000000}"/>
    <hyperlink ref="F323" r:id="rId117" xr:uid="{00000000-0004-0000-0700-000074000000}"/>
    <hyperlink ref="F104" r:id="rId118" xr:uid="{00000000-0004-0000-0700-000075000000}"/>
    <hyperlink ref="F229" r:id="rId119" xr:uid="{00000000-0004-0000-0700-000076000000}"/>
    <hyperlink ref="F226" r:id="rId120" xr:uid="{00000000-0004-0000-0700-000077000000}"/>
    <hyperlink ref="F227" r:id="rId121" xr:uid="{00000000-0004-0000-0700-000078000000}"/>
    <hyperlink ref="F244" r:id="rId122" xr:uid="{00000000-0004-0000-0700-000079000000}"/>
    <hyperlink ref="F245" r:id="rId123" xr:uid="{00000000-0004-0000-0700-00007A000000}"/>
    <hyperlink ref="F248" r:id="rId124" xr:uid="{00000000-0004-0000-0700-00007B000000}"/>
    <hyperlink ref="F266" r:id="rId125" xr:uid="{00000000-0004-0000-0700-00007C000000}"/>
    <hyperlink ref="F270" r:id="rId126" xr:uid="{00000000-0004-0000-0700-00007D000000}"/>
    <hyperlink ref="F259" r:id="rId127" xr:uid="{00000000-0004-0000-0700-00007E000000}"/>
    <hyperlink ref="F286" r:id="rId128" xr:uid="{00000000-0004-0000-0700-00007F000000}"/>
    <hyperlink ref="F292" r:id="rId129" xr:uid="{00000000-0004-0000-0700-000080000000}"/>
    <hyperlink ref="F293" r:id="rId130" xr:uid="{00000000-0004-0000-0700-000081000000}"/>
    <hyperlink ref="F294" r:id="rId131" xr:uid="{00000000-0004-0000-0700-000082000000}"/>
    <hyperlink ref="F296" r:id="rId132" xr:uid="{00000000-0004-0000-0700-000083000000}"/>
    <hyperlink ref="F304" r:id="rId133" xr:uid="{00000000-0004-0000-0700-000084000000}"/>
    <hyperlink ref="F314" r:id="rId134" xr:uid="{00000000-0004-0000-0700-000085000000}"/>
    <hyperlink ref="F310" r:id="rId135" xr:uid="{00000000-0004-0000-0700-000086000000}"/>
    <hyperlink ref="F317" r:id="rId136" xr:uid="{00000000-0004-0000-0700-000087000000}"/>
    <hyperlink ref="F316" r:id="rId137" xr:uid="{00000000-0004-0000-0700-000088000000}"/>
    <hyperlink ref="F321" r:id="rId138" xr:uid="{00000000-0004-0000-0700-000089000000}"/>
    <hyperlink ref="F325" r:id="rId139" xr:uid="{00000000-0004-0000-0700-00008A000000}"/>
    <hyperlink ref="F203:F204" r:id="rId140" display="fransisca.desyanti@faasri.com" xr:uid="{00000000-0004-0000-0700-00008B000000}"/>
    <hyperlink ref="F202" r:id="rId141" xr:uid="{00000000-0004-0000-0700-00008C000000}"/>
    <hyperlink ref="F326" r:id="rId142" xr:uid="{00000000-0004-0000-0700-00008D000000}"/>
    <hyperlink ref="F327" r:id="rId143" xr:uid="{00000000-0004-0000-0700-00008E000000}"/>
    <hyperlink ref="F328" r:id="rId144" xr:uid="{00000000-0004-0000-0700-00008F000000}"/>
    <hyperlink ref="F308" r:id="rId145" xr:uid="{00000000-0004-0000-0700-000090000000}"/>
    <hyperlink ref="F335" r:id="rId146" xr:uid="{00000000-0004-0000-0700-000091000000}"/>
    <hyperlink ref="F337" r:id="rId147" xr:uid="{00000000-0004-0000-0700-000092000000}"/>
    <hyperlink ref="F333" r:id="rId148" xr:uid="{00000000-0004-0000-0700-000093000000}"/>
    <hyperlink ref="F338" r:id="rId149" xr:uid="{00000000-0004-0000-0700-000094000000}"/>
    <hyperlink ref="F339" r:id="rId150" xr:uid="{00000000-0004-0000-0700-000095000000}"/>
    <hyperlink ref="F340:F342" r:id="rId151" display="Marthen.elias@para-star.com" xr:uid="{00000000-0004-0000-0700-000096000000}"/>
    <hyperlink ref="F343" r:id="rId152" xr:uid="{00000000-0004-0000-0700-000097000000}"/>
    <hyperlink ref="F344" r:id="rId153" xr:uid="{00000000-0004-0000-0700-000098000000}"/>
  </hyperlinks>
  <pageMargins left="0.75" right="0.75" top="1" bottom="1" header="0.5" footer="0.5"/>
  <pageSetup scale="37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354"/>
  <sheetViews>
    <sheetView tabSelected="1" zoomScale="115" zoomScaleNormal="115" workbookViewId="0">
      <pane ySplit="1" topLeftCell="A336" activePane="bottomLeft" state="frozen"/>
      <selection pane="bottomLeft" activeCell="A345" sqref="A345"/>
    </sheetView>
  </sheetViews>
  <sheetFormatPr defaultColWidth="9.140625" defaultRowHeight="15"/>
  <cols>
    <col min="1" max="1" width="5.7109375" style="2" customWidth="1"/>
    <col min="2" max="2" width="20" customWidth="1"/>
    <col min="3" max="3" width="28.140625" style="3" customWidth="1"/>
    <col min="4" max="4" width="32.85546875" style="4" customWidth="1"/>
    <col min="5" max="5" width="44.5703125" style="4" customWidth="1"/>
    <col min="6" max="6" width="39.42578125" style="5" customWidth="1"/>
    <col min="7" max="7" width="56.140625" customWidth="1"/>
    <col min="8" max="8" width="23.85546875" customWidth="1"/>
    <col min="9" max="9" width="24" customWidth="1"/>
    <col min="10" max="10" width="24" style="369" customWidth="1"/>
    <col min="11" max="11" width="21.7109375" customWidth="1"/>
    <col min="12" max="12" width="46.7109375" style="6" customWidth="1"/>
    <col min="13" max="13" width="37.85546875" customWidth="1"/>
    <col min="14" max="14" width="10.7109375" style="7" customWidth="1"/>
    <col min="15" max="15" width="16.28515625" customWidth="1"/>
    <col min="16" max="16" width="9.140625" customWidth="1"/>
    <col min="17" max="17" width="17.140625" customWidth="1"/>
    <col min="18" max="18" width="18.42578125" customWidth="1"/>
    <col min="19" max="19" width="18" customWidth="1"/>
    <col min="21" max="21" width="14.28515625" customWidth="1"/>
  </cols>
  <sheetData>
    <row r="1" spans="1:19" ht="15" customHeight="1">
      <c r="A1" s="8" t="s">
        <v>24</v>
      </c>
      <c r="B1" s="9" t="s">
        <v>25</v>
      </c>
      <c r="C1" s="10" t="s">
        <v>38</v>
      </c>
      <c r="D1" s="11" t="s">
        <v>26</v>
      </c>
      <c r="E1" s="11" t="s">
        <v>1690</v>
      </c>
      <c r="F1" s="12" t="s">
        <v>1691</v>
      </c>
      <c r="G1" s="363" t="s">
        <v>27</v>
      </c>
      <c r="H1" s="13" t="s">
        <v>28</v>
      </c>
      <c r="I1" s="13" t="s">
        <v>29</v>
      </c>
      <c r="J1" s="365" t="s">
        <v>1962</v>
      </c>
      <c r="K1" s="13" t="s">
        <v>30</v>
      </c>
      <c r="L1" s="363" t="s">
        <v>31</v>
      </c>
      <c r="M1" s="363" t="s">
        <v>32</v>
      </c>
      <c r="N1" s="35" t="s">
        <v>39</v>
      </c>
      <c r="O1" s="364" t="s">
        <v>33</v>
      </c>
      <c r="P1" s="363" t="s">
        <v>34</v>
      </c>
      <c r="Q1" s="364" t="s">
        <v>35</v>
      </c>
      <c r="R1" s="364" t="s">
        <v>36</v>
      </c>
      <c r="S1" s="364" t="s">
        <v>37</v>
      </c>
    </row>
    <row r="2" spans="1:19">
      <c r="A2" s="18">
        <v>1</v>
      </c>
      <c r="B2" s="25" t="s">
        <v>443</v>
      </c>
      <c r="C2" s="26" t="s">
        <v>444</v>
      </c>
      <c r="D2" s="27" t="s">
        <v>9</v>
      </c>
      <c r="E2" s="28" t="s">
        <v>1692</v>
      </c>
      <c r="F2" s="29" t="s">
        <v>1693</v>
      </c>
      <c r="G2" s="30" t="s">
        <v>445</v>
      </c>
      <c r="H2" s="25"/>
      <c r="I2" s="25" t="s">
        <v>446</v>
      </c>
      <c r="J2" s="366">
        <v>45186</v>
      </c>
      <c r="K2" s="25"/>
      <c r="L2" s="30" t="s">
        <v>50</v>
      </c>
      <c r="M2" s="25" t="s">
        <v>447</v>
      </c>
      <c r="N2" s="38">
        <v>44407</v>
      </c>
      <c r="O2" s="39">
        <v>254545</v>
      </c>
      <c r="P2" s="25">
        <v>1</v>
      </c>
      <c r="Q2" s="41">
        <f t="shared" ref="Q2:Q50" si="0">P2*O2</f>
        <v>254545</v>
      </c>
      <c r="R2" s="41">
        <v>275000</v>
      </c>
      <c r="S2" s="41">
        <f t="shared" ref="S2:S50" si="1">R2*P2</f>
        <v>275000</v>
      </c>
    </row>
    <row r="3" spans="1:19">
      <c r="A3" s="18">
        <v>2</v>
      </c>
      <c r="B3" s="25" t="s">
        <v>485</v>
      </c>
      <c r="C3" s="26" t="s">
        <v>444</v>
      </c>
      <c r="D3" s="27" t="s">
        <v>9</v>
      </c>
      <c r="E3" s="28" t="s">
        <v>1692</v>
      </c>
      <c r="F3" s="29" t="s">
        <v>1693</v>
      </c>
      <c r="G3" s="30" t="s">
        <v>203</v>
      </c>
      <c r="H3" s="25"/>
      <c r="I3" s="25" t="s">
        <v>446</v>
      </c>
      <c r="J3" s="367">
        <v>45186</v>
      </c>
      <c r="K3" s="25"/>
      <c r="L3" s="30" t="s">
        <v>50</v>
      </c>
      <c r="M3" s="25" t="s">
        <v>486</v>
      </c>
      <c r="N3" s="38">
        <v>44407</v>
      </c>
      <c r="O3" s="39">
        <v>254545</v>
      </c>
      <c r="P3" s="25">
        <v>1</v>
      </c>
      <c r="Q3" s="41">
        <f t="shared" si="0"/>
        <v>254545</v>
      </c>
      <c r="R3" s="41">
        <v>275000</v>
      </c>
      <c r="S3" s="41">
        <f t="shared" si="1"/>
        <v>275000</v>
      </c>
    </row>
    <row r="4" spans="1:19">
      <c r="A4" s="18">
        <v>3</v>
      </c>
      <c r="B4" s="25" t="s">
        <v>492</v>
      </c>
      <c r="C4" s="26" t="s">
        <v>444</v>
      </c>
      <c r="D4" s="27" t="s">
        <v>9</v>
      </c>
      <c r="E4" s="28" t="s">
        <v>1692</v>
      </c>
      <c r="F4" s="29" t="s">
        <v>1693</v>
      </c>
      <c r="G4" s="30" t="s">
        <v>445</v>
      </c>
      <c r="H4" s="25"/>
      <c r="I4" s="25" t="s">
        <v>446</v>
      </c>
      <c r="J4" s="367">
        <v>45186</v>
      </c>
      <c r="K4" s="25"/>
      <c r="L4" s="30" t="s">
        <v>50</v>
      </c>
      <c r="M4" s="25" t="s">
        <v>493</v>
      </c>
      <c r="N4" s="38">
        <v>44407</v>
      </c>
      <c r="O4" s="39">
        <v>254545</v>
      </c>
      <c r="P4" s="25">
        <v>1</v>
      </c>
      <c r="Q4" s="41">
        <f t="shared" si="0"/>
        <v>254545</v>
      </c>
      <c r="R4" s="41">
        <v>275000</v>
      </c>
      <c r="S4" s="41">
        <f t="shared" si="1"/>
        <v>275000</v>
      </c>
    </row>
    <row r="5" spans="1:19">
      <c r="A5" s="18">
        <v>4</v>
      </c>
      <c r="B5" s="25" t="s">
        <v>494</v>
      </c>
      <c r="C5" s="26" t="s">
        <v>444</v>
      </c>
      <c r="D5" s="27" t="s">
        <v>9</v>
      </c>
      <c r="E5" s="28" t="s">
        <v>1692</v>
      </c>
      <c r="F5" s="29" t="s">
        <v>1693</v>
      </c>
      <c r="G5" s="30" t="s">
        <v>495</v>
      </c>
      <c r="H5" s="25"/>
      <c r="I5" s="25" t="s">
        <v>496</v>
      </c>
      <c r="J5" s="367">
        <v>45187</v>
      </c>
      <c r="K5" s="25"/>
      <c r="L5" s="30" t="s">
        <v>50</v>
      </c>
      <c r="M5" s="25" t="s">
        <v>497</v>
      </c>
      <c r="N5" s="38">
        <v>44407</v>
      </c>
      <c r="O5" s="39">
        <v>254545</v>
      </c>
      <c r="P5" s="25">
        <v>1</v>
      </c>
      <c r="Q5" s="41">
        <f t="shared" si="0"/>
        <v>254545</v>
      </c>
      <c r="R5" s="41">
        <v>275000</v>
      </c>
      <c r="S5" s="41">
        <f t="shared" si="1"/>
        <v>275000</v>
      </c>
    </row>
    <row r="6" spans="1:19">
      <c r="A6" s="18">
        <v>5</v>
      </c>
      <c r="B6" s="19" t="s">
        <v>507</v>
      </c>
      <c r="C6" s="20" t="s">
        <v>508</v>
      </c>
      <c r="D6" s="21" t="s">
        <v>6</v>
      </c>
      <c r="E6" s="22" t="s">
        <v>1694</v>
      </c>
      <c r="F6" s="32" t="s">
        <v>1695</v>
      </c>
      <c r="G6" s="24" t="s">
        <v>509</v>
      </c>
      <c r="H6" s="19"/>
      <c r="I6" s="19" t="s">
        <v>510</v>
      </c>
      <c r="J6" s="367">
        <v>45214</v>
      </c>
      <c r="K6" s="19"/>
      <c r="L6" s="24" t="s">
        <v>50</v>
      </c>
      <c r="M6" s="19" t="s">
        <v>511</v>
      </c>
      <c r="N6" s="36">
        <v>44414</v>
      </c>
      <c r="O6" s="37">
        <v>444545</v>
      </c>
      <c r="P6" s="19">
        <v>73</v>
      </c>
      <c r="Q6" s="40">
        <f t="shared" si="0"/>
        <v>32451785</v>
      </c>
      <c r="R6" s="40">
        <v>530000</v>
      </c>
      <c r="S6" s="40">
        <f t="shared" si="1"/>
        <v>38690000</v>
      </c>
    </row>
    <row r="7" spans="1:19">
      <c r="A7" s="18">
        <v>6</v>
      </c>
      <c r="B7" s="19" t="s">
        <v>520</v>
      </c>
      <c r="C7" s="20" t="s">
        <v>521</v>
      </c>
      <c r="D7" s="21" t="s">
        <v>9</v>
      </c>
      <c r="E7" s="22" t="s">
        <v>1692</v>
      </c>
      <c r="F7" s="23" t="s">
        <v>1693</v>
      </c>
      <c r="G7" s="24" t="s">
        <v>522</v>
      </c>
      <c r="H7" s="19"/>
      <c r="I7" s="19" t="s">
        <v>446</v>
      </c>
      <c r="J7" s="367">
        <v>45186</v>
      </c>
      <c r="K7" s="19"/>
      <c r="L7" s="24" t="s">
        <v>50</v>
      </c>
      <c r="M7" s="19" t="s">
        <v>523</v>
      </c>
      <c r="N7" s="36">
        <v>44417</v>
      </c>
      <c r="O7" s="37">
        <v>254545</v>
      </c>
      <c r="P7" s="19">
        <v>1</v>
      </c>
      <c r="Q7" s="40">
        <f t="shared" si="0"/>
        <v>254545</v>
      </c>
      <c r="R7" s="40">
        <v>275000</v>
      </c>
      <c r="S7" s="40">
        <f t="shared" si="1"/>
        <v>275000</v>
      </c>
    </row>
    <row r="8" spans="1:19">
      <c r="A8" s="18">
        <v>7</v>
      </c>
      <c r="B8" s="19" t="s">
        <v>524</v>
      </c>
      <c r="C8" s="20" t="s">
        <v>525</v>
      </c>
      <c r="D8" s="21" t="s">
        <v>9</v>
      </c>
      <c r="E8" s="22" t="s">
        <v>1692</v>
      </c>
      <c r="F8" s="23" t="s">
        <v>1693</v>
      </c>
      <c r="G8" s="24" t="s">
        <v>368</v>
      </c>
      <c r="H8" s="19"/>
      <c r="I8" s="19" t="s">
        <v>526</v>
      </c>
      <c r="J8" s="367">
        <v>45219</v>
      </c>
      <c r="K8" s="19"/>
      <c r="L8" s="24" t="s">
        <v>50</v>
      </c>
      <c r="M8" s="19" t="s">
        <v>527</v>
      </c>
      <c r="N8" s="36">
        <v>44418</v>
      </c>
      <c r="O8" s="37">
        <v>254545</v>
      </c>
      <c r="P8" s="19">
        <v>5</v>
      </c>
      <c r="Q8" s="40">
        <f t="shared" si="0"/>
        <v>1272725</v>
      </c>
      <c r="R8" s="40">
        <v>275000</v>
      </c>
      <c r="S8" s="40">
        <f t="shared" si="1"/>
        <v>1375000</v>
      </c>
    </row>
    <row r="9" spans="1:19">
      <c r="A9" s="18">
        <v>8</v>
      </c>
      <c r="B9" s="19" t="s">
        <v>528</v>
      </c>
      <c r="C9" s="20" t="s">
        <v>525</v>
      </c>
      <c r="D9" s="21" t="s">
        <v>9</v>
      </c>
      <c r="E9" s="22" t="s">
        <v>1692</v>
      </c>
      <c r="F9" s="23" t="s">
        <v>1693</v>
      </c>
      <c r="G9" s="24" t="s">
        <v>368</v>
      </c>
      <c r="H9" s="19"/>
      <c r="I9" s="19" t="s">
        <v>510</v>
      </c>
      <c r="J9" s="367">
        <v>45214</v>
      </c>
      <c r="K9" s="19"/>
      <c r="L9" s="24" t="s">
        <v>50</v>
      </c>
      <c r="M9" s="19" t="s">
        <v>529</v>
      </c>
      <c r="N9" s="36">
        <v>44418</v>
      </c>
      <c r="O9" s="37">
        <v>254545</v>
      </c>
      <c r="P9" s="19">
        <v>2</v>
      </c>
      <c r="Q9" s="40">
        <f t="shared" si="0"/>
        <v>509090</v>
      </c>
      <c r="R9" s="40">
        <v>275000</v>
      </c>
      <c r="S9" s="40">
        <f t="shared" si="1"/>
        <v>550000</v>
      </c>
    </row>
    <row r="10" spans="1:19">
      <c r="A10" s="18">
        <v>9</v>
      </c>
      <c r="B10" s="19" t="s">
        <v>535</v>
      </c>
      <c r="C10" s="20" t="s">
        <v>536</v>
      </c>
      <c r="D10" s="21" t="s">
        <v>9</v>
      </c>
      <c r="E10" s="22" t="s">
        <v>1692</v>
      </c>
      <c r="F10" s="23" t="s">
        <v>1693</v>
      </c>
      <c r="G10" s="24" t="s">
        <v>537</v>
      </c>
      <c r="H10" s="19"/>
      <c r="I10" s="19" t="s">
        <v>538</v>
      </c>
      <c r="J10" s="367">
        <v>45202</v>
      </c>
      <c r="K10" s="19"/>
      <c r="L10" s="24" t="s">
        <v>50</v>
      </c>
      <c r="M10" s="19" t="s">
        <v>539</v>
      </c>
      <c r="N10" s="36">
        <v>44438</v>
      </c>
      <c r="O10" s="37">
        <v>254545</v>
      </c>
      <c r="P10" s="19">
        <v>6</v>
      </c>
      <c r="Q10" s="40">
        <f t="shared" si="0"/>
        <v>1527270</v>
      </c>
      <c r="R10" s="40">
        <v>275000</v>
      </c>
      <c r="S10" s="40">
        <f t="shared" si="1"/>
        <v>1650000</v>
      </c>
    </row>
    <row r="11" spans="1:19">
      <c r="A11" s="18">
        <v>10</v>
      </c>
      <c r="B11" s="19" t="s">
        <v>540</v>
      </c>
      <c r="C11" s="20" t="s">
        <v>536</v>
      </c>
      <c r="D11" s="21" t="s">
        <v>9</v>
      </c>
      <c r="E11" s="22" t="s">
        <v>1692</v>
      </c>
      <c r="F11" s="23" t="s">
        <v>1693</v>
      </c>
      <c r="G11" s="24" t="s">
        <v>537</v>
      </c>
      <c r="H11" s="19"/>
      <c r="I11" s="19" t="s">
        <v>538</v>
      </c>
      <c r="J11" s="367">
        <v>45202</v>
      </c>
      <c r="K11" s="19"/>
      <c r="L11" s="24" t="s">
        <v>50</v>
      </c>
      <c r="M11" s="19" t="s">
        <v>541</v>
      </c>
      <c r="N11" s="36">
        <v>44438</v>
      </c>
      <c r="O11" s="37">
        <v>254545</v>
      </c>
      <c r="P11" s="19">
        <v>4</v>
      </c>
      <c r="Q11" s="40">
        <f t="shared" si="0"/>
        <v>1018180</v>
      </c>
      <c r="R11" s="40">
        <v>275000</v>
      </c>
      <c r="S11" s="40">
        <f t="shared" si="1"/>
        <v>1100000</v>
      </c>
    </row>
    <row r="12" spans="1:19">
      <c r="A12" s="18">
        <v>11</v>
      </c>
      <c r="B12" s="25" t="s">
        <v>542</v>
      </c>
      <c r="C12" s="26" t="s">
        <v>543</v>
      </c>
      <c r="D12" s="27" t="s">
        <v>9</v>
      </c>
      <c r="E12" s="28" t="s">
        <v>1692</v>
      </c>
      <c r="F12" s="29" t="s">
        <v>1693</v>
      </c>
      <c r="G12" s="30" t="s">
        <v>544</v>
      </c>
      <c r="H12" s="25"/>
      <c r="I12" s="25" t="s">
        <v>545</v>
      </c>
      <c r="J12" s="367">
        <v>45200</v>
      </c>
      <c r="K12" s="25"/>
      <c r="L12" s="30" t="s">
        <v>50</v>
      </c>
      <c r="M12" s="25" t="s">
        <v>546</v>
      </c>
      <c r="N12" s="38">
        <v>44469</v>
      </c>
      <c r="O12" s="39">
        <v>254545</v>
      </c>
      <c r="P12" s="25">
        <v>8</v>
      </c>
      <c r="Q12" s="41">
        <f t="shared" si="0"/>
        <v>2036360</v>
      </c>
      <c r="R12" s="41">
        <v>275000</v>
      </c>
      <c r="S12" s="41">
        <f t="shared" si="1"/>
        <v>2200000</v>
      </c>
    </row>
    <row r="13" spans="1:19">
      <c r="A13" s="18">
        <v>12</v>
      </c>
      <c r="B13" s="25" t="s">
        <v>547</v>
      </c>
      <c r="C13" s="26" t="s">
        <v>548</v>
      </c>
      <c r="D13" s="27" t="s">
        <v>9</v>
      </c>
      <c r="E13" s="28" t="s">
        <v>1692</v>
      </c>
      <c r="F13" s="29" t="s">
        <v>1693</v>
      </c>
      <c r="G13" s="30" t="s">
        <v>549</v>
      </c>
      <c r="H13" s="25"/>
      <c r="I13" s="25" t="s">
        <v>550</v>
      </c>
      <c r="J13" s="367">
        <v>45181</v>
      </c>
      <c r="K13" s="25"/>
      <c r="L13" s="30" t="s">
        <v>50</v>
      </c>
      <c r="M13" s="25" t="s">
        <v>551</v>
      </c>
      <c r="N13" s="38">
        <v>44446</v>
      </c>
      <c r="O13" s="39">
        <v>254545</v>
      </c>
      <c r="P13" s="25">
        <v>1</v>
      </c>
      <c r="Q13" s="41">
        <f t="shared" si="0"/>
        <v>254545</v>
      </c>
      <c r="R13" s="41">
        <v>275000</v>
      </c>
      <c r="S13" s="41">
        <f t="shared" si="1"/>
        <v>275000</v>
      </c>
    </row>
    <row r="14" spans="1:19">
      <c r="A14" s="18">
        <v>13</v>
      </c>
      <c r="B14" s="25" t="s">
        <v>552</v>
      </c>
      <c r="C14" s="26" t="s">
        <v>548</v>
      </c>
      <c r="D14" s="27" t="s">
        <v>9</v>
      </c>
      <c r="E14" s="28" t="s">
        <v>1692</v>
      </c>
      <c r="F14" s="29" t="s">
        <v>1693</v>
      </c>
      <c r="G14" s="30" t="s">
        <v>445</v>
      </c>
      <c r="H14" s="25"/>
      <c r="I14" s="25" t="s">
        <v>446</v>
      </c>
      <c r="J14" s="367">
        <v>45186</v>
      </c>
      <c r="K14" s="25"/>
      <c r="L14" s="30" t="s">
        <v>50</v>
      </c>
      <c r="M14" s="25" t="s">
        <v>553</v>
      </c>
      <c r="N14" s="38">
        <v>44446</v>
      </c>
      <c r="O14" s="39">
        <v>254545</v>
      </c>
      <c r="P14" s="25">
        <v>1</v>
      </c>
      <c r="Q14" s="41">
        <f t="shared" si="0"/>
        <v>254545</v>
      </c>
      <c r="R14" s="41">
        <v>275000</v>
      </c>
      <c r="S14" s="41">
        <f t="shared" si="1"/>
        <v>275000</v>
      </c>
    </row>
    <row r="15" spans="1:19">
      <c r="A15" s="18">
        <v>14</v>
      </c>
      <c r="B15" s="25" t="s">
        <v>559</v>
      </c>
      <c r="C15" s="26" t="s">
        <v>560</v>
      </c>
      <c r="D15" s="27" t="s">
        <v>9</v>
      </c>
      <c r="E15" s="28" t="s">
        <v>1692</v>
      </c>
      <c r="F15" s="29" t="s">
        <v>1693</v>
      </c>
      <c r="G15" s="30" t="s">
        <v>561</v>
      </c>
      <c r="H15" s="25"/>
      <c r="I15" s="25" t="s">
        <v>538</v>
      </c>
      <c r="J15" s="367">
        <v>45202</v>
      </c>
      <c r="K15" s="25"/>
      <c r="L15" s="30" t="s">
        <v>50</v>
      </c>
      <c r="M15" s="25" t="s">
        <v>562</v>
      </c>
      <c r="N15" s="38">
        <v>44447</v>
      </c>
      <c r="O15" s="39">
        <v>254545</v>
      </c>
      <c r="P15" s="25">
        <v>1</v>
      </c>
      <c r="Q15" s="41">
        <f t="shared" si="0"/>
        <v>254545</v>
      </c>
      <c r="R15" s="41">
        <v>275000</v>
      </c>
      <c r="S15" s="41">
        <f t="shared" si="1"/>
        <v>275000</v>
      </c>
    </row>
    <row r="16" spans="1:19">
      <c r="A16" s="18">
        <v>15</v>
      </c>
      <c r="B16" s="25" t="s">
        <v>563</v>
      </c>
      <c r="C16" s="26" t="s">
        <v>564</v>
      </c>
      <c r="D16" s="27" t="s">
        <v>9</v>
      </c>
      <c r="E16" s="28" t="s">
        <v>1692</v>
      </c>
      <c r="F16" s="29" t="s">
        <v>1693</v>
      </c>
      <c r="G16" s="30" t="s">
        <v>565</v>
      </c>
      <c r="H16" s="25"/>
      <c r="I16" s="25" t="s">
        <v>566</v>
      </c>
      <c r="J16" s="367">
        <v>45191</v>
      </c>
      <c r="K16" s="25"/>
      <c r="L16" s="30" t="s">
        <v>50</v>
      </c>
      <c r="M16" s="25" t="s">
        <v>567</v>
      </c>
      <c r="N16" s="38">
        <v>44448</v>
      </c>
      <c r="O16" s="39">
        <v>254545</v>
      </c>
      <c r="P16" s="25">
        <v>1</v>
      </c>
      <c r="Q16" s="41">
        <f t="shared" si="0"/>
        <v>254545</v>
      </c>
      <c r="R16" s="41">
        <v>275000</v>
      </c>
      <c r="S16" s="41">
        <f t="shared" si="1"/>
        <v>275000</v>
      </c>
    </row>
    <row r="17" spans="1:19">
      <c r="A17" s="18">
        <v>16</v>
      </c>
      <c r="B17" s="25" t="s">
        <v>568</v>
      </c>
      <c r="C17" s="26" t="s">
        <v>569</v>
      </c>
      <c r="D17" s="27" t="s">
        <v>9</v>
      </c>
      <c r="E17" s="28" t="s">
        <v>1692</v>
      </c>
      <c r="F17" s="29" t="s">
        <v>1693</v>
      </c>
      <c r="G17" s="30" t="s">
        <v>570</v>
      </c>
      <c r="H17" s="25"/>
      <c r="I17" s="25" t="s">
        <v>571</v>
      </c>
      <c r="J17" s="367">
        <v>45184</v>
      </c>
      <c r="K17" s="25"/>
      <c r="L17" s="30" t="s">
        <v>50</v>
      </c>
      <c r="M17" s="25" t="s">
        <v>572</v>
      </c>
      <c r="N17" s="38">
        <v>44449</v>
      </c>
      <c r="O17" s="39">
        <v>254545</v>
      </c>
      <c r="P17" s="25">
        <v>3</v>
      </c>
      <c r="Q17" s="41">
        <f t="shared" si="0"/>
        <v>763635</v>
      </c>
      <c r="R17" s="41">
        <v>275000</v>
      </c>
      <c r="S17" s="41">
        <f t="shared" si="1"/>
        <v>825000</v>
      </c>
    </row>
    <row r="18" spans="1:19">
      <c r="A18" s="18">
        <v>17</v>
      </c>
      <c r="B18" s="25" t="s">
        <v>587</v>
      </c>
      <c r="C18" s="26" t="s">
        <v>588</v>
      </c>
      <c r="D18" s="27" t="s">
        <v>9</v>
      </c>
      <c r="E18" s="28" t="s">
        <v>1692</v>
      </c>
      <c r="F18" s="29" t="s">
        <v>1693</v>
      </c>
      <c r="G18" s="30" t="s">
        <v>445</v>
      </c>
      <c r="H18" s="25"/>
      <c r="I18" s="25" t="s">
        <v>589</v>
      </c>
      <c r="J18" s="367">
        <v>45261</v>
      </c>
      <c r="K18" s="25"/>
      <c r="L18" s="30" t="s">
        <v>50</v>
      </c>
      <c r="M18" s="25" t="s">
        <v>590</v>
      </c>
      <c r="N18" s="38">
        <v>44459</v>
      </c>
      <c r="O18" s="39">
        <v>254545</v>
      </c>
      <c r="P18" s="25">
        <v>1</v>
      </c>
      <c r="Q18" s="41">
        <f t="shared" si="0"/>
        <v>254545</v>
      </c>
      <c r="R18" s="41">
        <v>275000</v>
      </c>
      <c r="S18" s="41">
        <f t="shared" si="1"/>
        <v>275000</v>
      </c>
    </row>
    <row r="19" spans="1:19">
      <c r="A19" s="18">
        <v>18</v>
      </c>
      <c r="B19" s="25" t="s">
        <v>591</v>
      </c>
      <c r="C19" s="26" t="s">
        <v>588</v>
      </c>
      <c r="D19" s="27" t="s">
        <v>9</v>
      </c>
      <c r="E19" s="28" t="s">
        <v>1692</v>
      </c>
      <c r="F19" s="29" t="s">
        <v>1693</v>
      </c>
      <c r="G19" s="30" t="s">
        <v>206</v>
      </c>
      <c r="H19" s="25"/>
      <c r="I19" s="25" t="s">
        <v>592</v>
      </c>
      <c r="J19" s="367">
        <v>45192</v>
      </c>
      <c r="K19" s="25"/>
      <c r="L19" s="30" t="s">
        <v>50</v>
      </c>
      <c r="M19" s="25" t="s">
        <v>593</v>
      </c>
      <c r="N19" s="38">
        <v>44459</v>
      </c>
      <c r="O19" s="39">
        <v>254545</v>
      </c>
      <c r="P19" s="25">
        <v>1</v>
      </c>
      <c r="Q19" s="41">
        <f t="shared" si="0"/>
        <v>254545</v>
      </c>
      <c r="R19" s="41">
        <v>275000</v>
      </c>
      <c r="S19" s="41">
        <f t="shared" si="1"/>
        <v>275000</v>
      </c>
    </row>
    <row r="20" spans="1:19">
      <c r="A20" s="18">
        <v>19</v>
      </c>
      <c r="B20" s="25" t="s">
        <v>594</v>
      </c>
      <c r="C20" s="26" t="s">
        <v>588</v>
      </c>
      <c r="D20" s="27" t="s">
        <v>9</v>
      </c>
      <c r="E20" s="28" t="s">
        <v>1692</v>
      </c>
      <c r="F20" s="29" t="s">
        <v>1693</v>
      </c>
      <c r="G20" s="30" t="s">
        <v>595</v>
      </c>
      <c r="H20" s="25"/>
      <c r="I20" s="25" t="s">
        <v>592</v>
      </c>
      <c r="J20" s="367">
        <v>45192</v>
      </c>
      <c r="K20" s="25"/>
      <c r="L20" s="30" t="s">
        <v>50</v>
      </c>
      <c r="M20" s="25" t="s">
        <v>596</v>
      </c>
      <c r="N20" s="38">
        <v>44459</v>
      </c>
      <c r="O20" s="39">
        <v>254545</v>
      </c>
      <c r="P20" s="25">
        <v>1</v>
      </c>
      <c r="Q20" s="41">
        <f t="shared" si="0"/>
        <v>254545</v>
      </c>
      <c r="R20" s="41">
        <v>275000</v>
      </c>
      <c r="S20" s="41">
        <f t="shared" si="1"/>
        <v>275000</v>
      </c>
    </row>
    <row r="21" spans="1:19">
      <c r="A21" s="18">
        <v>20</v>
      </c>
      <c r="B21" s="25" t="s">
        <v>597</v>
      </c>
      <c r="C21" s="26" t="s">
        <v>598</v>
      </c>
      <c r="D21" s="27" t="s">
        <v>9</v>
      </c>
      <c r="E21" s="28" t="s">
        <v>1692</v>
      </c>
      <c r="F21" s="29" t="s">
        <v>1693</v>
      </c>
      <c r="G21" s="30" t="s">
        <v>599</v>
      </c>
      <c r="H21" s="25"/>
      <c r="I21" s="25" t="s">
        <v>600</v>
      </c>
      <c r="J21" s="367">
        <v>45233</v>
      </c>
      <c r="K21" s="25"/>
      <c r="L21" s="30" t="s">
        <v>50</v>
      </c>
      <c r="M21" s="25" t="s">
        <v>601</v>
      </c>
      <c r="N21" s="38">
        <v>44461</v>
      </c>
      <c r="O21" s="39">
        <v>254545</v>
      </c>
      <c r="P21" s="25">
        <v>6</v>
      </c>
      <c r="Q21" s="41">
        <f t="shared" si="0"/>
        <v>1527270</v>
      </c>
      <c r="R21" s="41">
        <v>275000</v>
      </c>
      <c r="S21" s="41">
        <f t="shared" si="1"/>
        <v>1650000</v>
      </c>
    </row>
    <row r="22" spans="1:19">
      <c r="A22" s="18">
        <v>21</v>
      </c>
      <c r="B22" s="25" t="s">
        <v>602</v>
      </c>
      <c r="C22" s="26" t="s">
        <v>598</v>
      </c>
      <c r="D22" s="27" t="s">
        <v>9</v>
      </c>
      <c r="E22" s="28" t="s">
        <v>1692</v>
      </c>
      <c r="F22" s="29" t="s">
        <v>1693</v>
      </c>
      <c r="G22" s="30" t="s">
        <v>603</v>
      </c>
      <c r="H22" s="25"/>
      <c r="I22" s="25" t="s">
        <v>604</v>
      </c>
      <c r="J22" s="367">
        <v>45214</v>
      </c>
      <c r="K22" s="25"/>
      <c r="L22" s="30" t="s">
        <v>50</v>
      </c>
      <c r="M22" s="25" t="s">
        <v>605</v>
      </c>
      <c r="N22" s="38">
        <v>44461</v>
      </c>
      <c r="O22" s="39">
        <v>254545</v>
      </c>
      <c r="P22" s="25">
        <v>2</v>
      </c>
      <c r="Q22" s="41">
        <f t="shared" si="0"/>
        <v>509090</v>
      </c>
      <c r="R22" s="41">
        <v>275000</v>
      </c>
      <c r="S22" s="41">
        <f t="shared" si="1"/>
        <v>550000</v>
      </c>
    </row>
    <row r="23" spans="1:19">
      <c r="A23" s="18">
        <v>22</v>
      </c>
      <c r="B23" s="25" t="s">
        <v>606</v>
      </c>
      <c r="C23" s="26" t="s">
        <v>598</v>
      </c>
      <c r="D23" s="27" t="s">
        <v>9</v>
      </c>
      <c r="E23" s="28" t="s">
        <v>1692</v>
      </c>
      <c r="F23" s="29" t="s">
        <v>1693</v>
      </c>
      <c r="G23" s="30" t="s">
        <v>607</v>
      </c>
      <c r="H23" s="25"/>
      <c r="I23" s="25" t="s">
        <v>608</v>
      </c>
      <c r="J23" s="367">
        <v>45194</v>
      </c>
      <c r="K23" s="25"/>
      <c r="L23" s="30" t="s">
        <v>50</v>
      </c>
      <c r="M23" s="25" t="s">
        <v>609</v>
      </c>
      <c r="N23" s="38">
        <v>44461</v>
      </c>
      <c r="O23" s="39">
        <v>254545</v>
      </c>
      <c r="P23" s="25">
        <v>3</v>
      </c>
      <c r="Q23" s="41">
        <f t="shared" si="0"/>
        <v>763635</v>
      </c>
      <c r="R23" s="41">
        <v>275000</v>
      </c>
      <c r="S23" s="41">
        <f t="shared" si="1"/>
        <v>825000</v>
      </c>
    </row>
    <row r="24" spans="1:19">
      <c r="A24" s="18">
        <v>23</v>
      </c>
      <c r="B24" s="25" t="s">
        <v>610</v>
      </c>
      <c r="C24" s="26" t="s">
        <v>598</v>
      </c>
      <c r="D24" s="27" t="s">
        <v>9</v>
      </c>
      <c r="E24" s="28" t="s">
        <v>1692</v>
      </c>
      <c r="F24" s="29" t="s">
        <v>1693</v>
      </c>
      <c r="G24" s="30" t="s">
        <v>611</v>
      </c>
      <c r="H24" s="25"/>
      <c r="I24" s="25" t="s">
        <v>612</v>
      </c>
      <c r="J24" s="367">
        <v>45195</v>
      </c>
      <c r="K24" s="25"/>
      <c r="L24" s="30" t="s">
        <v>50</v>
      </c>
      <c r="M24" s="25" t="s">
        <v>613</v>
      </c>
      <c r="N24" s="38">
        <v>44461</v>
      </c>
      <c r="O24" s="39">
        <v>254545</v>
      </c>
      <c r="P24" s="25">
        <v>6</v>
      </c>
      <c r="Q24" s="41">
        <f t="shared" si="0"/>
        <v>1527270</v>
      </c>
      <c r="R24" s="41">
        <v>275000</v>
      </c>
      <c r="S24" s="41">
        <f t="shared" si="1"/>
        <v>1650000</v>
      </c>
    </row>
    <row r="25" spans="1:19">
      <c r="A25" s="18">
        <v>24</v>
      </c>
      <c r="B25" s="25" t="s">
        <v>614</v>
      </c>
      <c r="C25" s="26" t="s">
        <v>615</v>
      </c>
      <c r="D25" s="27" t="s">
        <v>9</v>
      </c>
      <c r="E25" s="28" t="s">
        <v>1692</v>
      </c>
      <c r="F25" s="29" t="s">
        <v>1693</v>
      </c>
      <c r="G25" s="30" t="s">
        <v>77</v>
      </c>
      <c r="H25" s="25"/>
      <c r="I25" s="25" t="s">
        <v>616</v>
      </c>
      <c r="J25" s="367">
        <v>45207</v>
      </c>
      <c r="K25" s="25"/>
      <c r="L25" s="30" t="s">
        <v>50</v>
      </c>
      <c r="M25" s="25" t="s">
        <v>617</v>
      </c>
      <c r="N25" s="38">
        <v>44463</v>
      </c>
      <c r="O25" s="39">
        <v>254545</v>
      </c>
      <c r="P25" s="25">
        <v>1</v>
      </c>
      <c r="Q25" s="41">
        <f t="shared" si="0"/>
        <v>254545</v>
      </c>
      <c r="R25" s="41">
        <v>275000</v>
      </c>
      <c r="S25" s="41">
        <f t="shared" si="1"/>
        <v>275000</v>
      </c>
    </row>
    <row r="26" spans="1:19">
      <c r="A26" s="18">
        <v>25</v>
      </c>
      <c r="B26" s="25" t="s">
        <v>618</v>
      </c>
      <c r="C26" s="26" t="s">
        <v>615</v>
      </c>
      <c r="D26" s="27" t="s">
        <v>9</v>
      </c>
      <c r="E26" s="28" t="s">
        <v>1692</v>
      </c>
      <c r="F26" s="29" t="s">
        <v>1693</v>
      </c>
      <c r="G26" s="30" t="s">
        <v>619</v>
      </c>
      <c r="H26" s="25"/>
      <c r="I26" s="25" t="s">
        <v>620</v>
      </c>
      <c r="J26" s="367">
        <v>45198</v>
      </c>
      <c r="K26" s="25"/>
      <c r="L26" s="30" t="s">
        <v>50</v>
      </c>
      <c r="M26" s="25" t="s">
        <v>621</v>
      </c>
      <c r="N26" s="38">
        <v>44463</v>
      </c>
      <c r="O26" s="39">
        <v>254545</v>
      </c>
      <c r="P26" s="25">
        <v>1</v>
      </c>
      <c r="Q26" s="41">
        <f t="shared" si="0"/>
        <v>254545</v>
      </c>
      <c r="R26" s="41">
        <v>275000</v>
      </c>
      <c r="S26" s="41">
        <f t="shared" si="1"/>
        <v>275000</v>
      </c>
    </row>
    <row r="27" spans="1:19">
      <c r="A27" s="18">
        <v>26</v>
      </c>
      <c r="B27" s="25" t="s">
        <v>622</v>
      </c>
      <c r="C27" s="26" t="s">
        <v>615</v>
      </c>
      <c r="D27" s="27" t="s">
        <v>9</v>
      </c>
      <c r="E27" s="28" t="s">
        <v>1692</v>
      </c>
      <c r="F27" s="29" t="s">
        <v>1693</v>
      </c>
      <c r="G27" s="30" t="s">
        <v>623</v>
      </c>
      <c r="H27" s="25"/>
      <c r="I27" s="25" t="s">
        <v>620</v>
      </c>
      <c r="J27" s="367">
        <v>45198</v>
      </c>
      <c r="K27" s="25"/>
      <c r="L27" s="30" t="s">
        <v>50</v>
      </c>
      <c r="M27" s="25" t="s">
        <v>624</v>
      </c>
      <c r="N27" s="38">
        <v>44463</v>
      </c>
      <c r="O27" s="39">
        <v>254545</v>
      </c>
      <c r="P27" s="25">
        <v>5</v>
      </c>
      <c r="Q27" s="41">
        <f t="shared" si="0"/>
        <v>1272725</v>
      </c>
      <c r="R27" s="41">
        <v>275000</v>
      </c>
      <c r="S27" s="41">
        <f t="shared" si="1"/>
        <v>1375000</v>
      </c>
    </row>
    <row r="28" spans="1:19">
      <c r="A28" s="18">
        <v>27</v>
      </c>
      <c r="B28" s="25" t="s">
        <v>625</v>
      </c>
      <c r="C28" s="26" t="s">
        <v>626</v>
      </c>
      <c r="D28" s="27" t="s">
        <v>7</v>
      </c>
      <c r="E28" s="28" t="s">
        <v>1698</v>
      </c>
      <c r="F28" s="31" t="s">
        <v>1699</v>
      </c>
      <c r="G28" s="30" t="s">
        <v>627</v>
      </c>
      <c r="H28" s="25"/>
      <c r="I28" s="25" t="s">
        <v>628</v>
      </c>
      <c r="J28" s="367">
        <v>45195</v>
      </c>
      <c r="K28" s="25"/>
      <c r="L28" s="30" t="s">
        <v>629</v>
      </c>
      <c r="M28" s="25" t="s">
        <v>630</v>
      </c>
      <c r="N28" s="38">
        <v>44463</v>
      </c>
      <c r="O28" s="39">
        <v>185455</v>
      </c>
      <c r="P28" s="25">
        <v>2</v>
      </c>
      <c r="Q28" s="41">
        <f t="shared" si="0"/>
        <v>370910</v>
      </c>
      <c r="R28" s="41">
        <v>231818.81</v>
      </c>
      <c r="S28" s="41">
        <f t="shared" si="1"/>
        <v>463637.62</v>
      </c>
    </row>
    <row r="29" spans="1:19">
      <c r="A29" s="18">
        <v>28</v>
      </c>
      <c r="B29" s="25" t="s">
        <v>631</v>
      </c>
      <c r="C29" s="26" t="s">
        <v>626</v>
      </c>
      <c r="D29" s="27" t="s">
        <v>7</v>
      </c>
      <c r="E29" s="28" t="s">
        <v>1698</v>
      </c>
      <c r="F29" s="31" t="s">
        <v>1699</v>
      </c>
      <c r="G29" s="30" t="s">
        <v>627</v>
      </c>
      <c r="H29" s="25"/>
      <c r="I29" s="25" t="s">
        <v>632</v>
      </c>
      <c r="J29" s="367">
        <v>45561</v>
      </c>
      <c r="K29" s="25"/>
      <c r="L29" s="30" t="s">
        <v>63</v>
      </c>
      <c r="M29" s="25" t="s">
        <v>630</v>
      </c>
      <c r="N29" s="38">
        <v>44463</v>
      </c>
      <c r="O29" s="39">
        <v>92727</v>
      </c>
      <c r="P29" s="25">
        <v>2</v>
      </c>
      <c r="Q29" s="41">
        <f t="shared" si="0"/>
        <v>185454</v>
      </c>
      <c r="R29" s="41">
        <v>116363.63</v>
      </c>
      <c r="S29" s="41">
        <f t="shared" si="1"/>
        <v>232727.26</v>
      </c>
    </row>
    <row r="30" spans="1:19" s="1" customFormat="1" ht="12.75">
      <c r="A30" s="18">
        <v>29</v>
      </c>
      <c r="B30" s="19" t="s">
        <v>636</v>
      </c>
      <c r="C30" s="20" t="s">
        <v>637</v>
      </c>
      <c r="D30" s="21" t="s">
        <v>9</v>
      </c>
      <c r="E30" s="22" t="s">
        <v>1692</v>
      </c>
      <c r="F30" s="23" t="s">
        <v>1693</v>
      </c>
      <c r="G30" s="24" t="s">
        <v>638</v>
      </c>
      <c r="H30" s="19"/>
      <c r="I30" s="19" t="s">
        <v>526</v>
      </c>
      <c r="J30" s="367">
        <v>45219</v>
      </c>
      <c r="K30" s="19"/>
      <c r="L30" s="24" t="s">
        <v>50</v>
      </c>
      <c r="M30" s="19" t="s">
        <v>639</v>
      </c>
      <c r="N30" s="36">
        <v>44475</v>
      </c>
      <c r="O30" s="37">
        <v>254545</v>
      </c>
      <c r="P30" s="19">
        <v>1</v>
      </c>
      <c r="Q30" s="40">
        <f t="shared" si="0"/>
        <v>254545</v>
      </c>
      <c r="R30" s="40">
        <v>275000</v>
      </c>
      <c r="S30" s="40">
        <f t="shared" si="1"/>
        <v>275000</v>
      </c>
    </row>
    <row r="31" spans="1:19">
      <c r="A31" s="18">
        <v>30</v>
      </c>
      <c r="B31" s="19" t="s">
        <v>640</v>
      </c>
      <c r="C31" s="20" t="s">
        <v>641</v>
      </c>
      <c r="D31" s="21" t="s">
        <v>9</v>
      </c>
      <c r="E31" s="22" t="s">
        <v>1692</v>
      </c>
      <c r="F31" s="23" t="s">
        <v>1693</v>
      </c>
      <c r="G31" s="24" t="s">
        <v>206</v>
      </c>
      <c r="H31" s="19"/>
      <c r="I31" s="19" t="s">
        <v>642</v>
      </c>
      <c r="J31" s="367">
        <v>45211</v>
      </c>
      <c r="K31" s="19"/>
      <c r="L31" s="24" t="s">
        <v>50</v>
      </c>
      <c r="M31" s="19" t="s">
        <v>643</v>
      </c>
      <c r="N31" s="36">
        <v>44475</v>
      </c>
      <c r="O31" s="37">
        <v>254545</v>
      </c>
      <c r="P31" s="19">
        <v>1</v>
      </c>
      <c r="Q31" s="40">
        <f t="shared" si="0"/>
        <v>254545</v>
      </c>
      <c r="R31" s="40">
        <v>275000</v>
      </c>
      <c r="S31" s="40">
        <f t="shared" si="1"/>
        <v>275000</v>
      </c>
    </row>
    <row r="32" spans="1:19">
      <c r="A32" s="18">
        <v>31</v>
      </c>
      <c r="B32" s="19" t="s">
        <v>644</v>
      </c>
      <c r="C32" s="20" t="s">
        <v>641</v>
      </c>
      <c r="D32" s="21" t="s">
        <v>9</v>
      </c>
      <c r="E32" s="22" t="s">
        <v>1692</v>
      </c>
      <c r="F32" s="23" t="s">
        <v>1693</v>
      </c>
      <c r="G32" s="24" t="s">
        <v>645</v>
      </c>
      <c r="H32" s="19"/>
      <c r="I32" s="19" t="s">
        <v>642</v>
      </c>
      <c r="J32" s="367">
        <v>45211</v>
      </c>
      <c r="K32" s="19"/>
      <c r="L32" s="24" t="s">
        <v>50</v>
      </c>
      <c r="M32" s="19" t="s">
        <v>646</v>
      </c>
      <c r="N32" s="36">
        <v>44475</v>
      </c>
      <c r="O32" s="37">
        <v>254545</v>
      </c>
      <c r="P32" s="19">
        <v>1</v>
      </c>
      <c r="Q32" s="40">
        <f t="shared" si="0"/>
        <v>254545</v>
      </c>
      <c r="R32" s="40">
        <v>275000</v>
      </c>
      <c r="S32" s="40">
        <f t="shared" si="1"/>
        <v>275000</v>
      </c>
    </row>
    <row r="33" spans="1:19">
      <c r="A33" s="18">
        <v>32</v>
      </c>
      <c r="B33" s="19" t="s">
        <v>647</v>
      </c>
      <c r="C33" s="20" t="s">
        <v>641</v>
      </c>
      <c r="D33" s="21" t="s">
        <v>9</v>
      </c>
      <c r="E33" s="22" t="s">
        <v>1692</v>
      </c>
      <c r="F33" s="23" t="s">
        <v>1693</v>
      </c>
      <c r="G33" s="24" t="s">
        <v>648</v>
      </c>
      <c r="H33" s="19"/>
      <c r="I33" s="19" t="s">
        <v>642</v>
      </c>
      <c r="J33" s="367">
        <v>45211</v>
      </c>
      <c r="K33" s="19"/>
      <c r="L33" s="24" t="s">
        <v>50</v>
      </c>
      <c r="M33" s="19" t="s">
        <v>649</v>
      </c>
      <c r="N33" s="36">
        <v>44475</v>
      </c>
      <c r="O33" s="37">
        <v>254545</v>
      </c>
      <c r="P33" s="19">
        <v>1</v>
      </c>
      <c r="Q33" s="40">
        <f t="shared" si="0"/>
        <v>254545</v>
      </c>
      <c r="R33" s="40">
        <v>275000</v>
      </c>
      <c r="S33" s="40">
        <f t="shared" si="1"/>
        <v>275000</v>
      </c>
    </row>
    <row r="34" spans="1:19">
      <c r="A34" s="18">
        <v>33</v>
      </c>
      <c r="B34" s="19" t="s">
        <v>650</v>
      </c>
      <c r="C34" s="20" t="s">
        <v>651</v>
      </c>
      <c r="D34" s="21" t="s">
        <v>9</v>
      </c>
      <c r="E34" s="22" t="s">
        <v>1692</v>
      </c>
      <c r="F34" s="23" t="s">
        <v>1693</v>
      </c>
      <c r="G34" s="24" t="s">
        <v>652</v>
      </c>
      <c r="H34" s="19"/>
      <c r="I34" s="19" t="s">
        <v>642</v>
      </c>
      <c r="J34" s="367">
        <v>45211</v>
      </c>
      <c r="K34" s="19"/>
      <c r="L34" s="24" t="s">
        <v>50</v>
      </c>
      <c r="M34" s="19" t="s">
        <v>653</v>
      </c>
      <c r="N34" s="36">
        <v>44476</v>
      </c>
      <c r="O34" s="37">
        <v>254545</v>
      </c>
      <c r="P34" s="19">
        <v>1</v>
      </c>
      <c r="Q34" s="40">
        <f t="shared" si="0"/>
        <v>254545</v>
      </c>
      <c r="R34" s="40">
        <v>275000</v>
      </c>
      <c r="S34" s="40">
        <f t="shared" si="1"/>
        <v>275000</v>
      </c>
    </row>
    <row r="35" spans="1:19">
      <c r="A35" s="18">
        <v>34</v>
      </c>
      <c r="B35" s="19" t="s">
        <v>654</v>
      </c>
      <c r="C35" s="20" t="s">
        <v>655</v>
      </c>
      <c r="D35" s="21" t="s">
        <v>9</v>
      </c>
      <c r="E35" s="22" t="s">
        <v>1692</v>
      </c>
      <c r="F35" s="23" t="s">
        <v>1693</v>
      </c>
      <c r="G35" s="24" t="s">
        <v>206</v>
      </c>
      <c r="H35" s="19"/>
      <c r="I35" s="19" t="s">
        <v>656</v>
      </c>
      <c r="J35" s="367">
        <v>45213</v>
      </c>
      <c r="K35" s="19"/>
      <c r="L35" s="24" t="s">
        <v>50</v>
      </c>
      <c r="M35" s="19" t="s">
        <v>657</v>
      </c>
      <c r="N35" s="36">
        <v>44480</v>
      </c>
      <c r="O35" s="37">
        <v>254545</v>
      </c>
      <c r="P35" s="19">
        <v>1</v>
      </c>
      <c r="Q35" s="40">
        <f t="shared" si="0"/>
        <v>254545</v>
      </c>
      <c r="R35" s="40">
        <v>275000</v>
      </c>
      <c r="S35" s="40">
        <f t="shared" si="1"/>
        <v>275000</v>
      </c>
    </row>
    <row r="36" spans="1:19">
      <c r="A36" s="18">
        <v>35</v>
      </c>
      <c r="B36" s="19" t="s">
        <v>658</v>
      </c>
      <c r="C36" s="20" t="s">
        <v>659</v>
      </c>
      <c r="D36" s="21" t="s">
        <v>9</v>
      </c>
      <c r="E36" s="22" t="s">
        <v>1692</v>
      </c>
      <c r="F36" s="23" t="s">
        <v>1693</v>
      </c>
      <c r="G36" s="24" t="s">
        <v>660</v>
      </c>
      <c r="H36" s="19"/>
      <c r="I36" s="19" t="s">
        <v>661</v>
      </c>
      <c r="J36" s="367">
        <v>45216</v>
      </c>
      <c r="K36" s="19"/>
      <c r="L36" s="24" t="s">
        <v>50</v>
      </c>
      <c r="M36" s="19" t="s">
        <v>662</v>
      </c>
      <c r="N36" s="36">
        <v>44481</v>
      </c>
      <c r="O36" s="37">
        <v>254545</v>
      </c>
      <c r="P36" s="19">
        <v>1</v>
      </c>
      <c r="Q36" s="40">
        <f t="shared" si="0"/>
        <v>254545</v>
      </c>
      <c r="R36" s="40">
        <v>275000</v>
      </c>
      <c r="S36" s="40">
        <f t="shared" si="1"/>
        <v>275000</v>
      </c>
    </row>
    <row r="37" spans="1:19">
      <c r="A37" s="18">
        <v>36</v>
      </c>
      <c r="B37" s="19" t="s">
        <v>663</v>
      </c>
      <c r="C37" s="20" t="s">
        <v>664</v>
      </c>
      <c r="D37" s="21" t="s">
        <v>9</v>
      </c>
      <c r="E37" s="22" t="s">
        <v>1692</v>
      </c>
      <c r="F37" s="23" t="s">
        <v>1693</v>
      </c>
      <c r="G37" s="24" t="s">
        <v>665</v>
      </c>
      <c r="H37" s="19"/>
      <c r="I37" s="19" t="s">
        <v>666</v>
      </c>
      <c r="J37" s="367">
        <v>45223</v>
      </c>
      <c r="K37" s="19"/>
      <c r="L37" s="24" t="s">
        <v>50</v>
      </c>
      <c r="M37" s="19" t="s">
        <v>667</v>
      </c>
      <c r="N37" s="36">
        <v>44488</v>
      </c>
      <c r="O37" s="37">
        <v>254545</v>
      </c>
      <c r="P37" s="19">
        <v>1</v>
      </c>
      <c r="Q37" s="40">
        <f t="shared" si="0"/>
        <v>254545</v>
      </c>
      <c r="R37" s="40">
        <v>275000</v>
      </c>
      <c r="S37" s="40">
        <f t="shared" si="1"/>
        <v>275000</v>
      </c>
    </row>
    <row r="38" spans="1:19">
      <c r="A38" s="18">
        <v>37</v>
      </c>
      <c r="B38" s="19" t="s">
        <v>668</v>
      </c>
      <c r="C38" s="20" t="s">
        <v>664</v>
      </c>
      <c r="D38" s="21" t="s">
        <v>9</v>
      </c>
      <c r="E38" s="22" t="s">
        <v>1692</v>
      </c>
      <c r="F38" s="23" t="s">
        <v>1693</v>
      </c>
      <c r="G38" s="24" t="s">
        <v>669</v>
      </c>
      <c r="H38" s="19"/>
      <c r="I38" s="19" t="s">
        <v>666</v>
      </c>
      <c r="J38" s="367">
        <v>45223</v>
      </c>
      <c r="K38" s="19"/>
      <c r="L38" s="24" t="s">
        <v>50</v>
      </c>
      <c r="M38" s="19" t="s">
        <v>670</v>
      </c>
      <c r="N38" s="36">
        <v>44488</v>
      </c>
      <c r="O38" s="37">
        <v>254545</v>
      </c>
      <c r="P38" s="19">
        <v>1</v>
      </c>
      <c r="Q38" s="40">
        <f t="shared" si="0"/>
        <v>254545</v>
      </c>
      <c r="R38" s="40">
        <v>275000</v>
      </c>
      <c r="S38" s="40">
        <f t="shared" si="1"/>
        <v>275000</v>
      </c>
    </row>
    <row r="39" spans="1:19">
      <c r="A39" s="18">
        <v>38</v>
      </c>
      <c r="B39" s="19" t="s">
        <v>671</v>
      </c>
      <c r="C39" s="20" t="s">
        <v>672</v>
      </c>
      <c r="D39" s="21" t="s">
        <v>9</v>
      </c>
      <c r="E39" s="22" t="s">
        <v>1692</v>
      </c>
      <c r="F39" s="23" t="s">
        <v>1693</v>
      </c>
      <c r="G39" s="24" t="s">
        <v>673</v>
      </c>
      <c r="H39" s="19"/>
      <c r="I39" s="19" t="s">
        <v>674</v>
      </c>
      <c r="J39" s="367">
        <v>45225</v>
      </c>
      <c r="K39" s="19"/>
      <c r="L39" s="24" t="s">
        <v>50</v>
      </c>
      <c r="M39" s="19" t="s">
        <v>675</v>
      </c>
      <c r="N39" s="36">
        <v>44490</v>
      </c>
      <c r="O39" s="37">
        <v>254545</v>
      </c>
      <c r="P39" s="19">
        <v>1</v>
      </c>
      <c r="Q39" s="40">
        <f t="shared" si="0"/>
        <v>254545</v>
      </c>
      <c r="R39" s="40">
        <v>275000</v>
      </c>
      <c r="S39" s="40">
        <f t="shared" si="1"/>
        <v>275000</v>
      </c>
    </row>
    <row r="40" spans="1:19">
      <c r="A40" s="18">
        <v>39</v>
      </c>
      <c r="B40" s="19" t="s">
        <v>676</v>
      </c>
      <c r="C40" s="20" t="s">
        <v>672</v>
      </c>
      <c r="D40" s="21" t="s">
        <v>9</v>
      </c>
      <c r="E40" s="22" t="s">
        <v>1692</v>
      </c>
      <c r="F40" s="23" t="s">
        <v>1693</v>
      </c>
      <c r="G40" s="24" t="s">
        <v>206</v>
      </c>
      <c r="H40" s="19"/>
      <c r="I40" s="19" t="s">
        <v>674</v>
      </c>
      <c r="J40" s="367">
        <v>45225</v>
      </c>
      <c r="K40" s="19"/>
      <c r="L40" s="24" t="s">
        <v>50</v>
      </c>
      <c r="M40" s="19" t="s">
        <v>677</v>
      </c>
      <c r="N40" s="36">
        <v>44490</v>
      </c>
      <c r="O40" s="37">
        <v>254545</v>
      </c>
      <c r="P40" s="19">
        <v>2</v>
      </c>
      <c r="Q40" s="40">
        <f t="shared" si="0"/>
        <v>509090</v>
      </c>
      <c r="R40" s="40">
        <v>275000</v>
      </c>
      <c r="S40" s="40">
        <f t="shared" si="1"/>
        <v>550000</v>
      </c>
    </row>
    <row r="41" spans="1:19">
      <c r="A41" s="18">
        <v>40</v>
      </c>
      <c r="B41" s="19" t="s">
        <v>678</v>
      </c>
      <c r="C41" s="20" t="s">
        <v>672</v>
      </c>
      <c r="D41" s="21" t="s">
        <v>9</v>
      </c>
      <c r="E41" s="22" t="s">
        <v>1692</v>
      </c>
      <c r="F41" s="23" t="s">
        <v>1693</v>
      </c>
      <c r="G41" s="24" t="s">
        <v>679</v>
      </c>
      <c r="H41" s="19"/>
      <c r="I41" s="19" t="s">
        <v>680</v>
      </c>
      <c r="J41" s="367">
        <v>45261</v>
      </c>
      <c r="K41" s="19"/>
      <c r="L41" s="24" t="s">
        <v>50</v>
      </c>
      <c r="M41" s="19" t="s">
        <v>681</v>
      </c>
      <c r="N41" s="36">
        <v>44490</v>
      </c>
      <c r="O41" s="37">
        <v>254545</v>
      </c>
      <c r="P41" s="19">
        <v>1</v>
      </c>
      <c r="Q41" s="40">
        <f t="shared" si="0"/>
        <v>254545</v>
      </c>
      <c r="R41" s="40">
        <v>275000</v>
      </c>
      <c r="S41" s="40">
        <f t="shared" si="1"/>
        <v>275000</v>
      </c>
    </row>
    <row r="42" spans="1:19">
      <c r="A42" s="18">
        <v>41</v>
      </c>
      <c r="B42" s="19" t="s">
        <v>682</v>
      </c>
      <c r="C42" s="20" t="s">
        <v>683</v>
      </c>
      <c r="D42" s="21" t="s">
        <v>9</v>
      </c>
      <c r="E42" s="22" t="s">
        <v>1692</v>
      </c>
      <c r="F42" s="23" t="s">
        <v>1693</v>
      </c>
      <c r="G42" s="24" t="s">
        <v>684</v>
      </c>
      <c r="H42" s="19"/>
      <c r="I42" s="19" t="s">
        <v>685</v>
      </c>
      <c r="J42" s="367">
        <v>45240</v>
      </c>
      <c r="K42" s="19"/>
      <c r="L42" s="24" t="s">
        <v>50</v>
      </c>
      <c r="M42" s="19" t="s">
        <v>686</v>
      </c>
      <c r="N42" s="36">
        <v>44497</v>
      </c>
      <c r="O42" s="37">
        <v>254545</v>
      </c>
      <c r="P42" s="19">
        <v>1</v>
      </c>
      <c r="Q42" s="40">
        <f t="shared" si="0"/>
        <v>254545</v>
      </c>
      <c r="R42" s="40">
        <v>275000</v>
      </c>
      <c r="S42" s="40">
        <f t="shared" si="1"/>
        <v>275000</v>
      </c>
    </row>
    <row r="43" spans="1:19">
      <c r="A43" s="18">
        <v>42</v>
      </c>
      <c r="B43" s="19" t="s">
        <v>687</v>
      </c>
      <c r="C43" s="20" t="s">
        <v>683</v>
      </c>
      <c r="D43" s="21" t="s">
        <v>9</v>
      </c>
      <c r="E43" s="22" t="s">
        <v>1692</v>
      </c>
      <c r="F43" s="23" t="s">
        <v>1693</v>
      </c>
      <c r="G43" s="24" t="s">
        <v>238</v>
      </c>
      <c r="H43" s="19"/>
      <c r="I43" s="19" t="s">
        <v>688</v>
      </c>
      <c r="J43" s="367">
        <v>45256</v>
      </c>
      <c r="K43" s="19"/>
      <c r="L43" s="24" t="s">
        <v>50</v>
      </c>
      <c r="M43" s="19" t="s">
        <v>689</v>
      </c>
      <c r="N43" s="36">
        <v>44497</v>
      </c>
      <c r="O43" s="37">
        <v>254545</v>
      </c>
      <c r="P43" s="19">
        <v>1</v>
      </c>
      <c r="Q43" s="40">
        <f t="shared" si="0"/>
        <v>254545</v>
      </c>
      <c r="R43" s="40">
        <v>275000</v>
      </c>
      <c r="S43" s="40">
        <f t="shared" si="1"/>
        <v>275000</v>
      </c>
    </row>
    <row r="44" spans="1:19">
      <c r="A44" s="18">
        <v>43</v>
      </c>
      <c r="B44" s="25" t="s">
        <v>690</v>
      </c>
      <c r="C44" s="26" t="s">
        <v>691</v>
      </c>
      <c r="D44" s="27" t="s">
        <v>9</v>
      </c>
      <c r="E44" s="28" t="s">
        <v>1692</v>
      </c>
      <c r="F44" s="29" t="s">
        <v>1693</v>
      </c>
      <c r="G44" s="30" t="s">
        <v>692</v>
      </c>
      <c r="H44" s="25"/>
      <c r="I44" s="25" t="s">
        <v>693</v>
      </c>
      <c r="J44" s="367">
        <v>45241</v>
      </c>
      <c r="K44" s="25"/>
      <c r="L44" s="30" t="s">
        <v>50</v>
      </c>
      <c r="M44" s="25" t="s">
        <v>694</v>
      </c>
      <c r="N44" s="38">
        <v>44508</v>
      </c>
      <c r="O44" s="39">
        <v>254545</v>
      </c>
      <c r="P44" s="25">
        <v>3</v>
      </c>
      <c r="Q44" s="41">
        <f t="shared" si="0"/>
        <v>763635</v>
      </c>
      <c r="R44" s="41">
        <v>275000</v>
      </c>
      <c r="S44" s="41">
        <f t="shared" si="1"/>
        <v>825000</v>
      </c>
    </row>
    <row r="45" spans="1:19">
      <c r="A45" s="18">
        <v>44</v>
      </c>
      <c r="B45" s="25" t="s">
        <v>695</v>
      </c>
      <c r="C45" s="26" t="s">
        <v>696</v>
      </c>
      <c r="D45" s="27" t="s">
        <v>9</v>
      </c>
      <c r="E45" s="28" t="s">
        <v>1692</v>
      </c>
      <c r="F45" s="29" t="s">
        <v>1693</v>
      </c>
      <c r="G45" s="30" t="s">
        <v>697</v>
      </c>
      <c r="H45" s="25"/>
      <c r="I45" s="25" t="s">
        <v>693</v>
      </c>
      <c r="J45" s="367">
        <v>45241</v>
      </c>
      <c r="K45" s="25"/>
      <c r="L45" s="30" t="s">
        <v>50</v>
      </c>
      <c r="M45" s="25" t="s">
        <v>698</v>
      </c>
      <c r="N45" s="38">
        <v>44508</v>
      </c>
      <c r="O45" s="39">
        <v>254545</v>
      </c>
      <c r="P45" s="25">
        <v>2</v>
      </c>
      <c r="Q45" s="41">
        <f t="shared" si="0"/>
        <v>509090</v>
      </c>
      <c r="R45" s="41">
        <v>275000</v>
      </c>
      <c r="S45" s="41">
        <f t="shared" si="1"/>
        <v>550000</v>
      </c>
    </row>
    <row r="46" spans="1:19">
      <c r="A46" s="18">
        <v>45</v>
      </c>
      <c r="B46" s="25" t="s">
        <v>699</v>
      </c>
      <c r="C46" s="26" t="s">
        <v>700</v>
      </c>
      <c r="D46" s="27" t="s">
        <v>9</v>
      </c>
      <c r="E46" s="28" t="s">
        <v>1692</v>
      </c>
      <c r="F46" s="29" t="s">
        <v>1693</v>
      </c>
      <c r="G46" s="30" t="s">
        <v>701</v>
      </c>
      <c r="H46" s="25"/>
      <c r="I46" s="25" t="s">
        <v>688</v>
      </c>
      <c r="J46" s="367">
        <v>45256</v>
      </c>
      <c r="K46" s="25"/>
      <c r="L46" s="30" t="s">
        <v>50</v>
      </c>
      <c r="M46" s="25" t="s">
        <v>702</v>
      </c>
      <c r="N46" s="38">
        <v>44509</v>
      </c>
      <c r="O46" s="39">
        <v>254545</v>
      </c>
      <c r="P46" s="25">
        <v>1</v>
      </c>
      <c r="Q46" s="41">
        <f t="shared" si="0"/>
        <v>254545</v>
      </c>
      <c r="R46" s="41">
        <v>275000</v>
      </c>
      <c r="S46" s="41">
        <f t="shared" si="1"/>
        <v>275000</v>
      </c>
    </row>
    <row r="47" spans="1:19">
      <c r="A47" s="18">
        <v>46</v>
      </c>
      <c r="B47" s="25" t="s">
        <v>703</v>
      </c>
      <c r="C47" s="26" t="s">
        <v>704</v>
      </c>
      <c r="D47" s="27" t="s">
        <v>9</v>
      </c>
      <c r="E47" s="28" t="s">
        <v>1692</v>
      </c>
      <c r="F47" s="29" t="s">
        <v>1693</v>
      </c>
      <c r="G47" s="30" t="s">
        <v>705</v>
      </c>
      <c r="H47" s="25"/>
      <c r="I47" s="25" t="s">
        <v>706</v>
      </c>
      <c r="J47" s="367">
        <v>45247</v>
      </c>
      <c r="K47" s="25"/>
      <c r="L47" s="30" t="s">
        <v>50</v>
      </c>
      <c r="M47" s="25" t="s">
        <v>707</v>
      </c>
      <c r="N47" s="38">
        <v>44510</v>
      </c>
      <c r="O47" s="39">
        <v>254545</v>
      </c>
      <c r="P47" s="25">
        <v>3</v>
      </c>
      <c r="Q47" s="41">
        <f t="shared" si="0"/>
        <v>763635</v>
      </c>
      <c r="R47" s="41">
        <v>275000</v>
      </c>
      <c r="S47" s="41">
        <f t="shared" si="1"/>
        <v>825000</v>
      </c>
    </row>
    <row r="48" spans="1:19">
      <c r="A48" s="18">
        <v>47</v>
      </c>
      <c r="B48" s="25" t="s">
        <v>708</v>
      </c>
      <c r="C48" s="26" t="s">
        <v>709</v>
      </c>
      <c r="D48" s="27" t="s">
        <v>9</v>
      </c>
      <c r="E48" s="28" t="s">
        <v>1692</v>
      </c>
      <c r="F48" s="29" t="s">
        <v>1693</v>
      </c>
      <c r="G48" s="30" t="s">
        <v>72</v>
      </c>
      <c r="H48" s="25"/>
      <c r="I48" s="25" t="s">
        <v>710</v>
      </c>
      <c r="J48" s="367">
        <v>45248</v>
      </c>
      <c r="K48" s="25"/>
      <c r="L48" s="30" t="s">
        <v>50</v>
      </c>
      <c r="M48" s="25" t="s">
        <v>711</v>
      </c>
      <c r="N48" s="38">
        <v>44515</v>
      </c>
      <c r="O48" s="39">
        <v>254545</v>
      </c>
      <c r="P48" s="25">
        <v>1</v>
      </c>
      <c r="Q48" s="41">
        <f t="shared" si="0"/>
        <v>254545</v>
      </c>
      <c r="R48" s="41">
        <v>275000</v>
      </c>
      <c r="S48" s="41">
        <f t="shared" si="1"/>
        <v>275000</v>
      </c>
    </row>
    <row r="49" spans="1:19">
      <c r="A49" s="18">
        <v>48</v>
      </c>
      <c r="B49" s="25" t="s">
        <v>716</v>
      </c>
      <c r="C49" s="26" t="s">
        <v>717</v>
      </c>
      <c r="D49" s="27" t="s">
        <v>9</v>
      </c>
      <c r="E49" s="28" t="s">
        <v>1692</v>
      </c>
      <c r="F49" s="29" t="s">
        <v>1693</v>
      </c>
      <c r="G49" s="30" t="s">
        <v>718</v>
      </c>
      <c r="H49" s="25"/>
      <c r="I49" s="25" t="s">
        <v>719</v>
      </c>
      <c r="J49" s="367">
        <v>45252</v>
      </c>
      <c r="K49" s="25"/>
      <c r="L49" s="30" t="s">
        <v>50</v>
      </c>
      <c r="M49" s="25" t="s">
        <v>720</v>
      </c>
      <c r="N49" s="38">
        <v>44515</v>
      </c>
      <c r="O49" s="39">
        <v>254545</v>
      </c>
      <c r="P49" s="25">
        <v>7</v>
      </c>
      <c r="Q49" s="41">
        <f t="shared" si="0"/>
        <v>1781815</v>
      </c>
      <c r="R49" s="41">
        <v>275000</v>
      </c>
      <c r="S49" s="41">
        <f t="shared" si="1"/>
        <v>1925000</v>
      </c>
    </row>
    <row r="50" spans="1:19">
      <c r="A50" s="18">
        <v>49</v>
      </c>
      <c r="B50" s="25" t="s">
        <v>721</v>
      </c>
      <c r="C50" s="26" t="s">
        <v>722</v>
      </c>
      <c r="D50" s="27" t="s">
        <v>9</v>
      </c>
      <c r="E50" s="28" t="s">
        <v>1692</v>
      </c>
      <c r="F50" s="29" t="s">
        <v>1693</v>
      </c>
      <c r="G50" s="30" t="s">
        <v>723</v>
      </c>
      <c r="H50" s="25"/>
      <c r="I50" s="25" t="s">
        <v>724</v>
      </c>
      <c r="J50" s="367">
        <v>45249</v>
      </c>
      <c r="K50" s="25"/>
      <c r="L50" s="30" t="s">
        <v>50</v>
      </c>
      <c r="M50" s="25" t="s">
        <v>725</v>
      </c>
      <c r="N50" s="38">
        <v>44517</v>
      </c>
      <c r="O50" s="39">
        <v>254545</v>
      </c>
      <c r="P50" s="25">
        <v>1</v>
      </c>
      <c r="Q50" s="41">
        <f t="shared" si="0"/>
        <v>254545</v>
      </c>
      <c r="R50" s="41">
        <v>275000</v>
      </c>
      <c r="S50" s="41">
        <f t="shared" si="1"/>
        <v>275000</v>
      </c>
    </row>
    <row r="51" spans="1:19">
      <c r="A51" s="18">
        <v>50</v>
      </c>
      <c r="B51" s="25" t="s">
        <v>726</v>
      </c>
      <c r="C51" s="26" t="s">
        <v>727</v>
      </c>
      <c r="D51" s="27" t="s">
        <v>9</v>
      </c>
      <c r="E51" s="28" t="s">
        <v>1692</v>
      </c>
      <c r="F51" s="29" t="s">
        <v>1693</v>
      </c>
      <c r="G51" s="30" t="s">
        <v>728</v>
      </c>
      <c r="H51" s="25"/>
      <c r="I51" s="25" t="s">
        <v>729</v>
      </c>
      <c r="J51" s="367">
        <v>45254</v>
      </c>
      <c r="K51" s="25"/>
      <c r="L51" s="30" t="s">
        <v>50</v>
      </c>
      <c r="M51" s="25" t="s">
        <v>730</v>
      </c>
      <c r="N51" s="38">
        <v>44522</v>
      </c>
      <c r="O51" s="39">
        <v>254545</v>
      </c>
      <c r="P51" s="25">
        <v>1</v>
      </c>
      <c r="Q51" s="41">
        <f t="shared" ref="Q51:Q66" si="2">P51*O51</f>
        <v>254545</v>
      </c>
      <c r="R51" s="41">
        <v>275000</v>
      </c>
      <c r="S51" s="41">
        <f t="shared" ref="S51:S68" si="3">R51*P51</f>
        <v>275000</v>
      </c>
    </row>
    <row r="52" spans="1:19">
      <c r="A52" s="18">
        <v>51</v>
      </c>
      <c r="B52" s="19" t="s">
        <v>736</v>
      </c>
      <c r="C52" s="20" t="s">
        <v>737</v>
      </c>
      <c r="D52" s="21" t="s">
        <v>9</v>
      </c>
      <c r="E52" s="22" t="s">
        <v>1692</v>
      </c>
      <c r="F52" s="23" t="s">
        <v>1693</v>
      </c>
      <c r="G52" s="24" t="s">
        <v>738</v>
      </c>
      <c r="H52" s="19"/>
      <c r="I52" s="42" t="s">
        <v>739</v>
      </c>
      <c r="J52" s="367">
        <v>45279</v>
      </c>
      <c r="K52" s="19"/>
      <c r="L52" s="24" t="s">
        <v>50</v>
      </c>
      <c r="M52" s="19" t="s">
        <v>740</v>
      </c>
      <c r="N52" s="36">
        <v>44543</v>
      </c>
      <c r="O52" s="37">
        <v>254545</v>
      </c>
      <c r="P52" s="19">
        <v>1</v>
      </c>
      <c r="Q52" s="40">
        <f t="shared" si="2"/>
        <v>254545</v>
      </c>
      <c r="R52" s="40">
        <v>275000</v>
      </c>
      <c r="S52" s="40">
        <f t="shared" si="3"/>
        <v>275000</v>
      </c>
    </row>
    <row r="53" spans="1:19">
      <c r="A53" s="18">
        <v>52</v>
      </c>
      <c r="B53" s="19" t="s">
        <v>741</v>
      </c>
      <c r="C53" s="20">
        <v>4800437545</v>
      </c>
      <c r="D53" s="21" t="s">
        <v>12</v>
      </c>
      <c r="E53" s="22" t="s">
        <v>1700</v>
      </c>
      <c r="F53" s="32" t="s">
        <v>1701</v>
      </c>
      <c r="G53" s="24" t="s">
        <v>742</v>
      </c>
      <c r="H53" s="19"/>
      <c r="I53" s="42" t="s">
        <v>743</v>
      </c>
      <c r="J53" s="367">
        <v>45282</v>
      </c>
      <c r="K53" s="19"/>
      <c r="L53" s="24" t="s">
        <v>92</v>
      </c>
      <c r="M53" s="19" t="s">
        <v>744</v>
      </c>
      <c r="N53" s="36">
        <v>44545</v>
      </c>
      <c r="O53" s="37">
        <v>32272.73</v>
      </c>
      <c r="P53" s="19">
        <v>292</v>
      </c>
      <c r="Q53" s="40">
        <f t="shared" si="2"/>
        <v>9423637.1600000001</v>
      </c>
      <c r="R53" s="40">
        <v>35500</v>
      </c>
      <c r="S53" s="40">
        <f t="shared" si="3"/>
        <v>10366000</v>
      </c>
    </row>
    <row r="54" spans="1:19">
      <c r="A54" s="18">
        <v>53</v>
      </c>
      <c r="B54" s="19" t="s">
        <v>745</v>
      </c>
      <c r="C54" s="20" t="s">
        <v>746</v>
      </c>
      <c r="D54" s="21" t="s">
        <v>9</v>
      </c>
      <c r="E54" s="22" t="s">
        <v>1692</v>
      </c>
      <c r="F54" s="23" t="s">
        <v>1693</v>
      </c>
      <c r="G54" s="24" t="s">
        <v>747</v>
      </c>
      <c r="H54" s="19"/>
      <c r="I54" s="19" t="s">
        <v>748</v>
      </c>
      <c r="J54" s="367">
        <v>45327</v>
      </c>
      <c r="K54" s="19"/>
      <c r="L54" s="24" t="s">
        <v>50</v>
      </c>
      <c r="M54" s="19" t="s">
        <v>749</v>
      </c>
      <c r="N54" s="36">
        <v>44551</v>
      </c>
      <c r="O54" s="37">
        <v>254545</v>
      </c>
      <c r="P54" s="19">
        <v>1</v>
      </c>
      <c r="Q54" s="40">
        <f t="shared" si="2"/>
        <v>254545</v>
      </c>
      <c r="R54" s="40">
        <v>275000</v>
      </c>
      <c r="S54" s="40">
        <f t="shared" si="3"/>
        <v>275000</v>
      </c>
    </row>
    <row r="55" spans="1:19">
      <c r="A55" s="18">
        <v>54</v>
      </c>
      <c r="B55" s="19" t="s">
        <v>750</v>
      </c>
      <c r="C55" s="20" t="s">
        <v>746</v>
      </c>
      <c r="D55" s="21" t="s">
        <v>9</v>
      </c>
      <c r="E55" s="22" t="s">
        <v>1692</v>
      </c>
      <c r="F55" s="23" t="s">
        <v>1693</v>
      </c>
      <c r="G55" s="24" t="s">
        <v>751</v>
      </c>
      <c r="H55" s="19"/>
      <c r="I55" s="19" t="s">
        <v>752</v>
      </c>
      <c r="J55" s="367">
        <v>45305</v>
      </c>
      <c r="K55" s="19"/>
      <c r="L55" s="24" t="s">
        <v>50</v>
      </c>
      <c r="M55" s="19" t="s">
        <v>753</v>
      </c>
      <c r="N55" s="36">
        <v>44551</v>
      </c>
      <c r="O55" s="37">
        <v>254545</v>
      </c>
      <c r="P55" s="19">
        <v>1</v>
      </c>
      <c r="Q55" s="40">
        <f t="shared" si="2"/>
        <v>254545</v>
      </c>
      <c r="R55" s="40">
        <v>275000</v>
      </c>
      <c r="S55" s="40">
        <f t="shared" si="3"/>
        <v>275000</v>
      </c>
    </row>
    <row r="56" spans="1:19">
      <c r="A56" s="18">
        <v>55</v>
      </c>
      <c r="B56" s="19" t="s">
        <v>754</v>
      </c>
      <c r="C56" s="20" t="s">
        <v>746</v>
      </c>
      <c r="D56" s="21" t="s">
        <v>9</v>
      </c>
      <c r="E56" s="22" t="s">
        <v>1692</v>
      </c>
      <c r="F56" s="23" t="s">
        <v>1693</v>
      </c>
      <c r="G56" s="24" t="s">
        <v>679</v>
      </c>
      <c r="H56" s="19"/>
      <c r="I56" s="19" t="s">
        <v>755</v>
      </c>
      <c r="J56" s="367">
        <v>45286</v>
      </c>
      <c r="K56" s="19"/>
      <c r="L56" s="24" t="s">
        <v>50</v>
      </c>
      <c r="M56" s="19" t="s">
        <v>756</v>
      </c>
      <c r="N56" s="36">
        <v>44551</v>
      </c>
      <c r="O56" s="37">
        <v>254545</v>
      </c>
      <c r="P56" s="19">
        <v>1</v>
      </c>
      <c r="Q56" s="40">
        <f t="shared" si="2"/>
        <v>254545</v>
      </c>
      <c r="R56" s="40">
        <v>275000</v>
      </c>
      <c r="S56" s="40">
        <f t="shared" si="3"/>
        <v>275000</v>
      </c>
    </row>
    <row r="57" spans="1:19">
      <c r="A57" s="18">
        <v>56</v>
      </c>
      <c r="B57" s="19" t="s">
        <v>757</v>
      </c>
      <c r="C57" s="20" t="s">
        <v>746</v>
      </c>
      <c r="D57" s="21" t="s">
        <v>9</v>
      </c>
      <c r="E57" s="22" t="s">
        <v>1692</v>
      </c>
      <c r="F57" s="23" t="s">
        <v>1693</v>
      </c>
      <c r="G57" s="24" t="s">
        <v>758</v>
      </c>
      <c r="H57" s="19"/>
      <c r="I57" s="19" t="s">
        <v>755</v>
      </c>
      <c r="J57" s="367">
        <v>45286</v>
      </c>
      <c r="K57" s="19"/>
      <c r="L57" s="24" t="s">
        <v>50</v>
      </c>
      <c r="M57" s="19" t="s">
        <v>759</v>
      </c>
      <c r="N57" s="36">
        <v>44551</v>
      </c>
      <c r="O57" s="37">
        <v>254545</v>
      </c>
      <c r="P57" s="19">
        <v>1</v>
      </c>
      <c r="Q57" s="40">
        <f t="shared" si="2"/>
        <v>254545</v>
      </c>
      <c r="R57" s="40">
        <v>275000</v>
      </c>
      <c r="S57" s="40">
        <f t="shared" si="3"/>
        <v>275000</v>
      </c>
    </row>
    <row r="58" spans="1:19">
      <c r="A58" s="18">
        <v>57</v>
      </c>
      <c r="B58" s="19" t="s">
        <v>760</v>
      </c>
      <c r="C58" s="20" t="s">
        <v>746</v>
      </c>
      <c r="D58" s="21" t="s">
        <v>9</v>
      </c>
      <c r="E58" s="22" t="s">
        <v>1692</v>
      </c>
      <c r="F58" s="23" t="s">
        <v>1693</v>
      </c>
      <c r="G58" s="24" t="s">
        <v>761</v>
      </c>
      <c r="H58" s="19"/>
      <c r="I58" s="19" t="s">
        <v>755</v>
      </c>
      <c r="J58" s="367">
        <v>45286</v>
      </c>
      <c r="K58" s="19"/>
      <c r="L58" s="24" t="s">
        <v>50</v>
      </c>
      <c r="M58" s="19" t="s">
        <v>762</v>
      </c>
      <c r="N58" s="36">
        <v>44551</v>
      </c>
      <c r="O58" s="37">
        <v>254545</v>
      </c>
      <c r="P58" s="19">
        <v>6</v>
      </c>
      <c r="Q58" s="40">
        <f t="shared" si="2"/>
        <v>1527270</v>
      </c>
      <c r="R58" s="40">
        <v>275000</v>
      </c>
      <c r="S58" s="40">
        <f t="shared" si="3"/>
        <v>1650000</v>
      </c>
    </row>
    <row r="59" spans="1:19">
      <c r="A59" s="18">
        <v>58</v>
      </c>
      <c r="B59" s="19" t="s">
        <v>763</v>
      </c>
      <c r="C59" s="20" t="s">
        <v>764</v>
      </c>
      <c r="D59" s="21" t="s">
        <v>9</v>
      </c>
      <c r="E59" s="22" t="s">
        <v>1692</v>
      </c>
      <c r="F59" s="23" t="s">
        <v>1693</v>
      </c>
      <c r="G59" s="24" t="s">
        <v>765</v>
      </c>
      <c r="H59" s="19"/>
      <c r="I59" s="19" t="s">
        <v>766</v>
      </c>
      <c r="J59" s="367">
        <v>45314</v>
      </c>
      <c r="K59" s="19"/>
      <c r="L59" s="24" t="s">
        <v>50</v>
      </c>
      <c r="M59" s="19" t="s">
        <v>767</v>
      </c>
      <c r="N59" s="36">
        <v>44553</v>
      </c>
      <c r="O59" s="37">
        <v>254545</v>
      </c>
      <c r="P59" s="19">
        <v>1</v>
      </c>
      <c r="Q59" s="40">
        <f t="shared" si="2"/>
        <v>254545</v>
      </c>
      <c r="R59" s="40">
        <v>275000</v>
      </c>
      <c r="S59" s="40">
        <f t="shared" si="3"/>
        <v>275000</v>
      </c>
    </row>
    <row r="60" spans="1:19">
      <c r="A60" s="18">
        <v>59</v>
      </c>
      <c r="B60" s="19" t="s">
        <v>768</v>
      </c>
      <c r="C60" s="20" t="s">
        <v>769</v>
      </c>
      <c r="D60" s="21" t="s">
        <v>9</v>
      </c>
      <c r="E60" s="22" t="s">
        <v>1692</v>
      </c>
      <c r="F60" s="23" t="s">
        <v>1693</v>
      </c>
      <c r="G60" s="24" t="s">
        <v>770</v>
      </c>
      <c r="H60" s="19"/>
      <c r="I60" s="19" t="s">
        <v>771</v>
      </c>
      <c r="J60" s="367">
        <v>45295</v>
      </c>
      <c r="K60" s="19"/>
      <c r="L60" s="24" t="s">
        <v>50</v>
      </c>
      <c r="M60" s="19" t="s">
        <v>772</v>
      </c>
      <c r="N60" s="36">
        <v>44559</v>
      </c>
      <c r="O60" s="37">
        <v>254545</v>
      </c>
      <c r="P60" s="19">
        <v>5</v>
      </c>
      <c r="Q60" s="40">
        <f t="shared" si="2"/>
        <v>1272725</v>
      </c>
      <c r="R60" s="40">
        <v>275000</v>
      </c>
      <c r="S60" s="40">
        <f t="shared" si="3"/>
        <v>1375000</v>
      </c>
    </row>
    <row r="61" spans="1:19">
      <c r="A61" s="18">
        <v>60</v>
      </c>
      <c r="B61" s="19" t="s">
        <v>773</v>
      </c>
      <c r="C61" s="20" t="s">
        <v>774</v>
      </c>
      <c r="D61" s="21" t="s">
        <v>9</v>
      </c>
      <c r="E61" s="22" t="s">
        <v>1692</v>
      </c>
      <c r="F61" s="23" t="s">
        <v>1693</v>
      </c>
      <c r="G61" s="24" t="s">
        <v>775</v>
      </c>
      <c r="H61" s="19"/>
      <c r="I61" s="19" t="s">
        <v>776</v>
      </c>
      <c r="J61" s="367">
        <v>45290</v>
      </c>
      <c r="K61" s="19"/>
      <c r="L61" s="24" t="s">
        <v>50</v>
      </c>
      <c r="M61" s="19" t="s">
        <v>777</v>
      </c>
      <c r="N61" s="36">
        <v>44561</v>
      </c>
      <c r="O61" s="37">
        <v>254545</v>
      </c>
      <c r="P61" s="19">
        <v>1</v>
      </c>
      <c r="Q61" s="40">
        <f t="shared" si="2"/>
        <v>254545</v>
      </c>
      <c r="R61" s="40">
        <v>275000</v>
      </c>
      <c r="S61" s="40">
        <f t="shared" si="3"/>
        <v>275000</v>
      </c>
    </row>
    <row r="62" spans="1:19">
      <c r="A62" s="18">
        <v>61</v>
      </c>
      <c r="B62" s="19" t="s">
        <v>778</v>
      </c>
      <c r="C62" s="20" t="s">
        <v>779</v>
      </c>
      <c r="D62" s="21" t="s">
        <v>9</v>
      </c>
      <c r="E62" s="22" t="s">
        <v>1692</v>
      </c>
      <c r="F62" s="23" t="s">
        <v>1693</v>
      </c>
      <c r="G62" s="24" t="s">
        <v>780</v>
      </c>
      <c r="H62" s="19"/>
      <c r="I62" s="19" t="s">
        <v>776</v>
      </c>
      <c r="J62" s="367">
        <v>45290</v>
      </c>
      <c r="K62" s="19"/>
      <c r="L62" s="24" t="s">
        <v>50</v>
      </c>
      <c r="M62" s="19" t="s">
        <v>781</v>
      </c>
      <c r="N62" s="36">
        <v>44554</v>
      </c>
      <c r="O62" s="37">
        <v>254545</v>
      </c>
      <c r="P62" s="19">
        <v>5</v>
      </c>
      <c r="Q62" s="40">
        <f t="shared" si="2"/>
        <v>1272725</v>
      </c>
      <c r="R62" s="40">
        <v>275000</v>
      </c>
      <c r="S62" s="40">
        <f t="shared" si="3"/>
        <v>1375000</v>
      </c>
    </row>
    <row r="63" spans="1:19">
      <c r="A63" s="18">
        <v>62</v>
      </c>
      <c r="B63" s="19" t="s">
        <v>782</v>
      </c>
      <c r="C63" s="20" t="s">
        <v>779</v>
      </c>
      <c r="D63" s="21" t="s">
        <v>9</v>
      </c>
      <c r="E63" s="22" t="s">
        <v>1692</v>
      </c>
      <c r="F63" s="23" t="s">
        <v>1693</v>
      </c>
      <c r="G63" s="24" t="s">
        <v>349</v>
      </c>
      <c r="H63" s="19"/>
      <c r="I63" s="19" t="s">
        <v>783</v>
      </c>
      <c r="J63" s="367">
        <v>45367</v>
      </c>
      <c r="K63" s="19"/>
      <c r="L63" s="24" t="s">
        <v>50</v>
      </c>
      <c r="M63" s="19" t="s">
        <v>784</v>
      </c>
      <c r="N63" s="36">
        <v>44554</v>
      </c>
      <c r="O63" s="37">
        <v>254545</v>
      </c>
      <c r="P63" s="19">
        <v>3</v>
      </c>
      <c r="Q63" s="40">
        <f t="shared" si="2"/>
        <v>763635</v>
      </c>
      <c r="R63" s="40">
        <v>275000</v>
      </c>
      <c r="S63" s="40">
        <f t="shared" si="3"/>
        <v>825000</v>
      </c>
    </row>
    <row r="64" spans="1:19">
      <c r="A64" s="18">
        <v>63</v>
      </c>
      <c r="B64" s="19" t="s">
        <v>785</v>
      </c>
      <c r="C64" s="20" t="s">
        <v>779</v>
      </c>
      <c r="D64" s="21" t="s">
        <v>9</v>
      </c>
      <c r="E64" s="22" t="s">
        <v>1692</v>
      </c>
      <c r="F64" s="23" t="s">
        <v>1693</v>
      </c>
      <c r="G64" s="24" t="s">
        <v>786</v>
      </c>
      <c r="H64" s="19"/>
      <c r="I64" s="19" t="s">
        <v>776</v>
      </c>
      <c r="J64" s="367">
        <v>45290</v>
      </c>
      <c r="K64" s="19"/>
      <c r="L64" s="24" t="s">
        <v>50</v>
      </c>
      <c r="M64" s="19" t="s">
        <v>787</v>
      </c>
      <c r="N64" s="36">
        <v>44554</v>
      </c>
      <c r="O64" s="37">
        <v>254545</v>
      </c>
      <c r="P64" s="19">
        <v>8</v>
      </c>
      <c r="Q64" s="40">
        <f t="shared" si="2"/>
        <v>2036360</v>
      </c>
      <c r="R64" s="40">
        <v>275000</v>
      </c>
      <c r="S64" s="40">
        <f t="shared" si="3"/>
        <v>2200000</v>
      </c>
    </row>
    <row r="65" spans="1:19">
      <c r="A65" s="18">
        <v>64</v>
      </c>
      <c r="B65" s="19" t="s">
        <v>794</v>
      </c>
      <c r="C65" s="20" t="s">
        <v>795</v>
      </c>
      <c r="D65" s="21" t="s">
        <v>9</v>
      </c>
      <c r="E65" s="22" t="s">
        <v>1692</v>
      </c>
      <c r="F65" s="23" t="s">
        <v>1693</v>
      </c>
      <c r="G65" s="24" t="s">
        <v>796</v>
      </c>
      <c r="H65" s="19"/>
      <c r="I65" s="19" t="s">
        <v>797</v>
      </c>
      <c r="J65" s="367">
        <v>45295</v>
      </c>
      <c r="K65" s="19"/>
      <c r="L65" s="24" t="s">
        <v>50</v>
      </c>
      <c r="M65" s="19" t="s">
        <v>798</v>
      </c>
      <c r="N65" s="36">
        <v>44561</v>
      </c>
      <c r="O65" s="37">
        <v>254545</v>
      </c>
      <c r="P65" s="19">
        <v>1</v>
      </c>
      <c r="Q65" s="40">
        <f t="shared" si="2"/>
        <v>254545</v>
      </c>
      <c r="R65" s="40">
        <v>275000</v>
      </c>
      <c r="S65" s="40">
        <f t="shared" si="3"/>
        <v>275000</v>
      </c>
    </row>
    <row r="66" spans="1:19">
      <c r="A66" s="18">
        <v>65</v>
      </c>
      <c r="B66" s="19" t="s">
        <v>799</v>
      </c>
      <c r="C66" s="20" t="s">
        <v>795</v>
      </c>
      <c r="D66" s="21" t="s">
        <v>9</v>
      </c>
      <c r="E66" s="22" t="s">
        <v>1692</v>
      </c>
      <c r="F66" s="23" t="s">
        <v>1693</v>
      </c>
      <c r="G66" s="24" t="s">
        <v>800</v>
      </c>
      <c r="H66" s="19"/>
      <c r="I66" s="19" t="s">
        <v>801</v>
      </c>
      <c r="J66" s="367">
        <v>45394</v>
      </c>
      <c r="K66" s="19"/>
      <c r="L66" s="24" t="s">
        <v>50</v>
      </c>
      <c r="M66" s="19" t="s">
        <v>802</v>
      </c>
      <c r="N66" s="36">
        <v>44561</v>
      </c>
      <c r="O66" s="37">
        <v>254545</v>
      </c>
      <c r="P66" s="19">
        <v>1</v>
      </c>
      <c r="Q66" s="40">
        <f t="shared" si="2"/>
        <v>254545</v>
      </c>
      <c r="R66" s="40">
        <v>275000</v>
      </c>
      <c r="S66" s="40">
        <f t="shared" si="3"/>
        <v>275000</v>
      </c>
    </row>
    <row r="67" spans="1:19">
      <c r="A67" s="18">
        <v>66</v>
      </c>
      <c r="B67" s="25" t="s">
        <v>803</v>
      </c>
      <c r="C67" s="26" t="s">
        <v>804</v>
      </c>
      <c r="D67" s="27" t="s">
        <v>9</v>
      </c>
      <c r="E67" s="28" t="s">
        <v>1692</v>
      </c>
      <c r="F67" s="29" t="s">
        <v>1693</v>
      </c>
      <c r="G67" s="30" t="s">
        <v>805</v>
      </c>
      <c r="H67" s="25"/>
      <c r="I67" s="25" t="s">
        <v>806</v>
      </c>
      <c r="J67" s="367">
        <v>45332</v>
      </c>
      <c r="K67" s="25"/>
      <c r="L67" s="30" t="s">
        <v>50</v>
      </c>
      <c r="M67" s="25" t="s">
        <v>807</v>
      </c>
      <c r="N67" s="38">
        <v>44564</v>
      </c>
      <c r="O67" s="39">
        <v>254545</v>
      </c>
      <c r="P67" s="25">
        <v>2</v>
      </c>
      <c r="Q67" s="41">
        <f>O67*P67</f>
        <v>509090</v>
      </c>
      <c r="R67" s="41">
        <v>275000</v>
      </c>
      <c r="S67" s="41">
        <f t="shared" si="3"/>
        <v>550000</v>
      </c>
    </row>
    <row r="68" spans="1:19">
      <c r="A68" s="18">
        <v>67</v>
      </c>
      <c r="B68" s="25" t="s">
        <v>808</v>
      </c>
      <c r="C68" s="26" t="s">
        <v>804</v>
      </c>
      <c r="D68" s="27" t="s">
        <v>9</v>
      </c>
      <c r="E68" s="28" t="s">
        <v>1692</v>
      </c>
      <c r="F68" s="29" t="s">
        <v>1693</v>
      </c>
      <c r="G68" s="30" t="s">
        <v>809</v>
      </c>
      <c r="H68" s="25"/>
      <c r="I68" s="25" t="s">
        <v>810</v>
      </c>
      <c r="J68" s="367">
        <v>45297</v>
      </c>
      <c r="K68" s="25"/>
      <c r="L68" s="30" t="s">
        <v>50</v>
      </c>
      <c r="M68" s="25" t="s">
        <v>811</v>
      </c>
      <c r="N68" s="38">
        <v>44564</v>
      </c>
      <c r="O68" s="39">
        <v>254545</v>
      </c>
      <c r="P68" s="25">
        <v>3</v>
      </c>
      <c r="Q68" s="41">
        <f>O68*P68</f>
        <v>763635</v>
      </c>
      <c r="R68" s="41">
        <v>275001</v>
      </c>
      <c r="S68" s="41">
        <f t="shared" si="3"/>
        <v>825003</v>
      </c>
    </row>
    <row r="69" spans="1:19">
      <c r="A69" s="18">
        <v>68</v>
      </c>
      <c r="B69" s="25" t="s">
        <v>812</v>
      </c>
      <c r="C69" s="26" t="s">
        <v>813</v>
      </c>
      <c r="D69" s="27" t="s">
        <v>10</v>
      </c>
      <c r="E69" s="28" t="s">
        <v>1702</v>
      </c>
      <c r="F69" s="31" t="s">
        <v>1703</v>
      </c>
      <c r="G69" s="30" t="s">
        <v>814</v>
      </c>
      <c r="H69" s="25" t="s">
        <v>815</v>
      </c>
      <c r="I69" s="25" t="s">
        <v>2</v>
      </c>
      <c r="J69" s="367" t="s">
        <v>2</v>
      </c>
      <c r="K69" s="25"/>
      <c r="L69" s="30" t="s">
        <v>816</v>
      </c>
      <c r="M69" s="25" t="s">
        <v>817</v>
      </c>
      <c r="N69" s="38">
        <v>44568</v>
      </c>
      <c r="O69" s="39">
        <v>22727</v>
      </c>
      <c r="P69" s="25">
        <v>150</v>
      </c>
      <c r="Q69" s="41">
        <f t="shared" ref="Q69:Q205" si="4">O69*P69</f>
        <v>3409050</v>
      </c>
      <c r="R69" s="41">
        <v>29090.91</v>
      </c>
      <c r="S69" s="41">
        <f t="shared" ref="S69:S209" si="5">R69*P69</f>
        <v>4363636.5</v>
      </c>
    </row>
    <row r="70" spans="1:19">
      <c r="A70" s="18">
        <v>69</v>
      </c>
      <c r="B70" s="25" t="s">
        <v>818</v>
      </c>
      <c r="C70" s="26" t="s">
        <v>819</v>
      </c>
      <c r="D70" s="27" t="s">
        <v>9</v>
      </c>
      <c r="E70" s="28" t="s">
        <v>1692</v>
      </c>
      <c r="F70" s="29" t="s">
        <v>1693</v>
      </c>
      <c r="G70" s="30" t="s">
        <v>820</v>
      </c>
      <c r="H70" s="25"/>
      <c r="I70" s="25" t="s">
        <v>821</v>
      </c>
      <c r="J70" s="367">
        <v>45304</v>
      </c>
      <c r="K70" s="25"/>
      <c r="L70" s="30" t="s">
        <v>50</v>
      </c>
      <c r="M70" s="25" t="s">
        <v>822</v>
      </c>
      <c r="N70" s="38">
        <v>44567</v>
      </c>
      <c r="O70" s="39">
        <v>254545</v>
      </c>
      <c r="P70" s="25">
        <v>7</v>
      </c>
      <c r="Q70" s="41">
        <f t="shared" si="4"/>
        <v>1781815</v>
      </c>
      <c r="R70" s="41">
        <v>275000</v>
      </c>
      <c r="S70" s="41">
        <f t="shared" si="5"/>
        <v>1925000</v>
      </c>
    </row>
    <row r="71" spans="1:19">
      <c r="A71" s="18">
        <v>70</v>
      </c>
      <c r="B71" s="25" t="s">
        <v>823</v>
      </c>
      <c r="C71" s="26" t="s">
        <v>824</v>
      </c>
      <c r="D71" s="27" t="s">
        <v>9</v>
      </c>
      <c r="E71" s="28" t="s">
        <v>1692</v>
      </c>
      <c r="F71" s="29" t="s">
        <v>1693</v>
      </c>
      <c r="G71" s="30" t="s">
        <v>825</v>
      </c>
      <c r="H71" s="25"/>
      <c r="I71" s="25" t="s">
        <v>826</v>
      </c>
      <c r="J71" s="367">
        <v>45302</v>
      </c>
      <c r="K71" s="25"/>
      <c r="L71" s="30" t="s">
        <v>50</v>
      </c>
      <c r="M71" s="25" t="s">
        <v>827</v>
      </c>
      <c r="N71" s="38">
        <v>44568</v>
      </c>
      <c r="O71" s="39">
        <v>254545</v>
      </c>
      <c r="P71" s="25">
        <v>3</v>
      </c>
      <c r="Q71" s="41">
        <f t="shared" si="4"/>
        <v>763635</v>
      </c>
      <c r="R71" s="41">
        <v>275000</v>
      </c>
      <c r="S71" s="41">
        <f t="shared" si="5"/>
        <v>825000</v>
      </c>
    </row>
    <row r="72" spans="1:19">
      <c r="A72" s="18">
        <v>71</v>
      </c>
      <c r="B72" s="25" t="s">
        <v>828</v>
      </c>
      <c r="C72" s="26" t="s">
        <v>824</v>
      </c>
      <c r="D72" s="27" t="s">
        <v>9</v>
      </c>
      <c r="E72" s="28" t="s">
        <v>1692</v>
      </c>
      <c r="F72" s="29" t="s">
        <v>1693</v>
      </c>
      <c r="G72" s="30" t="s">
        <v>829</v>
      </c>
      <c r="H72" s="25"/>
      <c r="I72" s="25" t="s">
        <v>826</v>
      </c>
      <c r="J72" s="367">
        <v>45302</v>
      </c>
      <c r="K72" s="25"/>
      <c r="L72" s="30" t="s">
        <v>50</v>
      </c>
      <c r="M72" s="25" t="s">
        <v>830</v>
      </c>
      <c r="N72" s="38">
        <v>44568</v>
      </c>
      <c r="O72" s="39">
        <v>254545</v>
      </c>
      <c r="P72" s="25">
        <v>3</v>
      </c>
      <c r="Q72" s="41">
        <f t="shared" si="4"/>
        <v>763635</v>
      </c>
      <c r="R72" s="41">
        <v>275000</v>
      </c>
      <c r="S72" s="41">
        <f t="shared" si="5"/>
        <v>825000</v>
      </c>
    </row>
    <row r="73" spans="1:19">
      <c r="A73" s="18">
        <v>72</v>
      </c>
      <c r="B73" s="25" t="s">
        <v>831</v>
      </c>
      <c r="C73" s="26" t="s">
        <v>824</v>
      </c>
      <c r="D73" s="27" t="s">
        <v>9</v>
      </c>
      <c r="E73" s="28" t="s">
        <v>1692</v>
      </c>
      <c r="F73" s="29" t="s">
        <v>1693</v>
      </c>
      <c r="G73" s="30" t="s">
        <v>832</v>
      </c>
      <c r="H73" s="25"/>
      <c r="I73" s="25" t="s">
        <v>826</v>
      </c>
      <c r="J73" s="367">
        <v>45302</v>
      </c>
      <c r="K73" s="25"/>
      <c r="L73" s="30" t="s">
        <v>50</v>
      </c>
      <c r="M73" s="25" t="s">
        <v>833</v>
      </c>
      <c r="N73" s="38">
        <v>44568</v>
      </c>
      <c r="O73" s="39">
        <v>254545</v>
      </c>
      <c r="P73" s="25">
        <v>5</v>
      </c>
      <c r="Q73" s="41">
        <f t="shared" si="4"/>
        <v>1272725</v>
      </c>
      <c r="R73" s="41">
        <v>275000</v>
      </c>
      <c r="S73" s="41">
        <f t="shared" si="5"/>
        <v>1375000</v>
      </c>
    </row>
    <row r="74" spans="1:19">
      <c r="A74" s="18">
        <v>73</v>
      </c>
      <c r="B74" s="25" t="s">
        <v>834</v>
      </c>
      <c r="C74" s="26" t="s">
        <v>835</v>
      </c>
      <c r="D74" s="27" t="s">
        <v>9</v>
      </c>
      <c r="E74" s="28" t="s">
        <v>1692</v>
      </c>
      <c r="F74" s="29" t="s">
        <v>1693</v>
      </c>
      <c r="G74" s="30" t="s">
        <v>836</v>
      </c>
      <c r="H74" s="25"/>
      <c r="I74" s="25" t="s">
        <v>837</v>
      </c>
      <c r="J74" s="367">
        <v>45311</v>
      </c>
      <c r="K74" s="25"/>
      <c r="L74" s="30" t="s">
        <v>50</v>
      </c>
      <c r="M74" s="25" t="s">
        <v>838</v>
      </c>
      <c r="N74" s="38">
        <v>44572</v>
      </c>
      <c r="O74" s="39">
        <v>254545</v>
      </c>
      <c r="P74" s="25">
        <v>2</v>
      </c>
      <c r="Q74" s="41">
        <f t="shared" si="4"/>
        <v>509090</v>
      </c>
      <c r="R74" s="41">
        <v>275000</v>
      </c>
      <c r="S74" s="41">
        <f t="shared" si="5"/>
        <v>550000</v>
      </c>
    </row>
    <row r="75" spans="1:19">
      <c r="A75" s="18">
        <v>74</v>
      </c>
      <c r="B75" s="25" t="s">
        <v>839</v>
      </c>
      <c r="C75" s="26" t="s">
        <v>835</v>
      </c>
      <c r="D75" s="27" t="s">
        <v>9</v>
      </c>
      <c r="E75" s="28" t="s">
        <v>1692</v>
      </c>
      <c r="F75" s="29" t="s">
        <v>1693</v>
      </c>
      <c r="G75" s="30" t="s">
        <v>840</v>
      </c>
      <c r="H75" s="25"/>
      <c r="I75" s="25" t="s">
        <v>837</v>
      </c>
      <c r="J75" s="367">
        <v>45311</v>
      </c>
      <c r="K75" s="25"/>
      <c r="L75" s="30" t="s">
        <v>50</v>
      </c>
      <c r="M75" s="25" t="s">
        <v>841</v>
      </c>
      <c r="N75" s="38">
        <v>44572</v>
      </c>
      <c r="O75" s="39">
        <v>254545</v>
      </c>
      <c r="P75" s="25">
        <v>1</v>
      </c>
      <c r="Q75" s="41">
        <f t="shared" si="4"/>
        <v>254545</v>
      </c>
      <c r="R75" s="41">
        <v>275000</v>
      </c>
      <c r="S75" s="41">
        <f t="shared" si="5"/>
        <v>275000</v>
      </c>
    </row>
    <row r="76" spans="1:19">
      <c r="A76" s="18">
        <v>75</v>
      </c>
      <c r="B76" s="25" t="s">
        <v>842</v>
      </c>
      <c r="C76" s="26" t="s">
        <v>835</v>
      </c>
      <c r="D76" s="27" t="s">
        <v>9</v>
      </c>
      <c r="E76" s="28" t="s">
        <v>1692</v>
      </c>
      <c r="F76" s="29" t="s">
        <v>1693</v>
      </c>
      <c r="G76" s="30" t="s">
        <v>843</v>
      </c>
      <c r="H76" s="25"/>
      <c r="I76" s="25" t="s">
        <v>837</v>
      </c>
      <c r="J76" s="367">
        <v>45311</v>
      </c>
      <c r="K76" s="25"/>
      <c r="L76" s="30" t="s">
        <v>50</v>
      </c>
      <c r="M76" s="25" t="s">
        <v>844</v>
      </c>
      <c r="N76" s="38">
        <v>44572</v>
      </c>
      <c r="O76" s="39">
        <v>254545</v>
      </c>
      <c r="P76" s="25">
        <v>1</v>
      </c>
      <c r="Q76" s="41">
        <f t="shared" si="4"/>
        <v>254545</v>
      </c>
      <c r="R76" s="41">
        <v>275000</v>
      </c>
      <c r="S76" s="41">
        <f t="shared" si="5"/>
        <v>275000</v>
      </c>
    </row>
    <row r="77" spans="1:19">
      <c r="A77" s="18">
        <v>76</v>
      </c>
      <c r="B77" s="25" t="s">
        <v>845</v>
      </c>
      <c r="C77" s="26" t="s">
        <v>835</v>
      </c>
      <c r="D77" s="27" t="s">
        <v>9</v>
      </c>
      <c r="E77" s="28" t="s">
        <v>1692</v>
      </c>
      <c r="F77" s="29" t="s">
        <v>1693</v>
      </c>
      <c r="G77" s="30" t="s">
        <v>846</v>
      </c>
      <c r="H77" s="25"/>
      <c r="I77" s="25" t="s">
        <v>847</v>
      </c>
      <c r="J77" s="367">
        <v>45373</v>
      </c>
      <c r="K77" s="25"/>
      <c r="L77" s="30" t="s">
        <v>50</v>
      </c>
      <c r="M77" s="25" t="s">
        <v>848</v>
      </c>
      <c r="N77" s="38">
        <v>44572</v>
      </c>
      <c r="O77" s="39">
        <v>254545</v>
      </c>
      <c r="P77" s="25">
        <v>2</v>
      </c>
      <c r="Q77" s="41">
        <f t="shared" si="4"/>
        <v>509090</v>
      </c>
      <c r="R77" s="41">
        <v>275000</v>
      </c>
      <c r="S77" s="41">
        <f t="shared" si="5"/>
        <v>550000</v>
      </c>
    </row>
    <row r="78" spans="1:19">
      <c r="A78" s="18">
        <v>77</v>
      </c>
      <c r="B78" s="25" t="s">
        <v>849</v>
      </c>
      <c r="C78" s="26" t="s">
        <v>835</v>
      </c>
      <c r="D78" s="27" t="s">
        <v>9</v>
      </c>
      <c r="E78" s="28" t="s">
        <v>1692</v>
      </c>
      <c r="F78" s="29" t="s">
        <v>1693</v>
      </c>
      <c r="G78" s="30" t="s">
        <v>549</v>
      </c>
      <c r="H78" s="25"/>
      <c r="I78" s="25" t="s">
        <v>837</v>
      </c>
      <c r="J78" s="367">
        <v>45311</v>
      </c>
      <c r="K78" s="25"/>
      <c r="L78" s="30" t="s">
        <v>50</v>
      </c>
      <c r="M78" s="25" t="s">
        <v>850</v>
      </c>
      <c r="N78" s="38">
        <v>44572</v>
      </c>
      <c r="O78" s="39">
        <v>254545</v>
      </c>
      <c r="P78" s="25">
        <v>1</v>
      </c>
      <c r="Q78" s="41">
        <f t="shared" si="4"/>
        <v>254545</v>
      </c>
      <c r="R78" s="41">
        <v>275000</v>
      </c>
      <c r="S78" s="41">
        <f t="shared" si="5"/>
        <v>275000</v>
      </c>
    </row>
    <row r="79" spans="1:19">
      <c r="A79" s="18">
        <v>78</v>
      </c>
      <c r="B79" s="25" t="s">
        <v>851</v>
      </c>
      <c r="C79" s="26" t="s">
        <v>835</v>
      </c>
      <c r="D79" s="27" t="s">
        <v>9</v>
      </c>
      <c r="E79" s="28" t="s">
        <v>1692</v>
      </c>
      <c r="F79" s="29" t="s">
        <v>1693</v>
      </c>
      <c r="G79" s="30" t="s">
        <v>141</v>
      </c>
      <c r="H79" s="25"/>
      <c r="I79" s="25" t="s">
        <v>837</v>
      </c>
      <c r="J79" s="367">
        <v>45311</v>
      </c>
      <c r="K79" s="25"/>
      <c r="L79" s="30" t="s">
        <v>50</v>
      </c>
      <c r="M79" s="25" t="s">
        <v>852</v>
      </c>
      <c r="N79" s="38">
        <v>44572</v>
      </c>
      <c r="O79" s="39">
        <v>254545</v>
      </c>
      <c r="P79" s="25">
        <v>1</v>
      </c>
      <c r="Q79" s="41">
        <f t="shared" si="4"/>
        <v>254545</v>
      </c>
      <c r="R79" s="41">
        <v>275000</v>
      </c>
      <c r="S79" s="41">
        <f t="shared" si="5"/>
        <v>275000</v>
      </c>
    </row>
    <row r="80" spans="1:19">
      <c r="A80" s="18">
        <v>79</v>
      </c>
      <c r="B80" s="25" t="s">
        <v>856</v>
      </c>
      <c r="C80" s="26" t="s">
        <v>857</v>
      </c>
      <c r="D80" s="27" t="s">
        <v>9</v>
      </c>
      <c r="E80" s="28" t="s">
        <v>1692</v>
      </c>
      <c r="F80" s="29" t="s">
        <v>1693</v>
      </c>
      <c r="G80" s="30" t="s">
        <v>858</v>
      </c>
      <c r="H80" s="25"/>
      <c r="I80" s="25" t="s">
        <v>859</v>
      </c>
      <c r="J80" s="367">
        <v>45318</v>
      </c>
      <c r="K80" s="25"/>
      <c r="L80" s="30" t="s">
        <v>50</v>
      </c>
      <c r="M80" s="25" t="s">
        <v>860</v>
      </c>
      <c r="N80" s="38">
        <v>44579</v>
      </c>
      <c r="O80" s="39">
        <v>254545</v>
      </c>
      <c r="P80" s="25">
        <v>4</v>
      </c>
      <c r="Q80" s="41">
        <f t="shared" si="4"/>
        <v>1018180</v>
      </c>
      <c r="R80" s="41">
        <v>275000</v>
      </c>
      <c r="S80" s="41">
        <f t="shared" si="5"/>
        <v>1100000</v>
      </c>
    </row>
    <row r="81" spans="1:19">
      <c r="A81" s="18">
        <v>80</v>
      </c>
      <c r="B81" s="25" t="s">
        <v>861</v>
      </c>
      <c r="C81" s="26" t="s">
        <v>857</v>
      </c>
      <c r="D81" s="27" t="s">
        <v>9</v>
      </c>
      <c r="E81" s="28" t="s">
        <v>1692</v>
      </c>
      <c r="F81" s="29" t="s">
        <v>1693</v>
      </c>
      <c r="G81" s="30" t="s">
        <v>862</v>
      </c>
      <c r="H81" s="25"/>
      <c r="I81" s="25" t="s">
        <v>863</v>
      </c>
      <c r="J81" s="367">
        <v>45381</v>
      </c>
      <c r="K81" s="25"/>
      <c r="L81" s="30" t="s">
        <v>50</v>
      </c>
      <c r="M81" s="25" t="s">
        <v>864</v>
      </c>
      <c r="N81" s="38">
        <v>44579</v>
      </c>
      <c r="O81" s="39">
        <v>254545</v>
      </c>
      <c r="P81" s="25">
        <v>3</v>
      </c>
      <c r="Q81" s="41">
        <f t="shared" si="4"/>
        <v>763635</v>
      </c>
      <c r="R81" s="41">
        <v>275000</v>
      </c>
      <c r="S81" s="41">
        <f t="shared" si="5"/>
        <v>825000</v>
      </c>
    </row>
    <row r="82" spans="1:19">
      <c r="A82" s="18">
        <v>81</v>
      </c>
      <c r="B82" s="25" t="s">
        <v>865</v>
      </c>
      <c r="C82" s="26" t="s">
        <v>857</v>
      </c>
      <c r="D82" s="27" t="s">
        <v>9</v>
      </c>
      <c r="E82" s="28" t="s">
        <v>1692</v>
      </c>
      <c r="F82" s="29" t="s">
        <v>1693</v>
      </c>
      <c r="G82" s="30" t="s">
        <v>866</v>
      </c>
      <c r="H82" s="25"/>
      <c r="I82" s="25" t="s">
        <v>837</v>
      </c>
      <c r="J82" s="367">
        <v>45311</v>
      </c>
      <c r="K82" s="25"/>
      <c r="L82" s="30" t="s">
        <v>50</v>
      </c>
      <c r="M82" s="25" t="s">
        <v>867</v>
      </c>
      <c r="N82" s="38">
        <v>44579</v>
      </c>
      <c r="O82" s="39">
        <v>254545</v>
      </c>
      <c r="P82" s="25">
        <v>2</v>
      </c>
      <c r="Q82" s="41">
        <f t="shared" si="4"/>
        <v>509090</v>
      </c>
      <c r="R82" s="41">
        <v>275000</v>
      </c>
      <c r="S82" s="41">
        <f t="shared" si="5"/>
        <v>550000</v>
      </c>
    </row>
    <row r="83" spans="1:19">
      <c r="A83" s="18">
        <v>82</v>
      </c>
      <c r="B83" s="25" t="s">
        <v>868</v>
      </c>
      <c r="C83" s="26" t="s">
        <v>869</v>
      </c>
      <c r="D83" s="27" t="s">
        <v>9</v>
      </c>
      <c r="E83" s="28" t="s">
        <v>1692</v>
      </c>
      <c r="F83" s="29" t="s">
        <v>1693</v>
      </c>
      <c r="G83" s="30" t="s">
        <v>870</v>
      </c>
      <c r="H83" s="25"/>
      <c r="I83" s="25" t="s">
        <v>871</v>
      </c>
      <c r="J83" s="367">
        <v>45341</v>
      </c>
      <c r="K83" s="25"/>
      <c r="L83" s="30" t="s">
        <v>50</v>
      </c>
      <c r="M83" s="25" t="s">
        <v>872</v>
      </c>
      <c r="N83" s="38">
        <v>44579</v>
      </c>
      <c r="O83" s="39">
        <v>254545</v>
      </c>
      <c r="P83" s="25">
        <v>1</v>
      </c>
      <c r="Q83" s="41">
        <f t="shared" si="4"/>
        <v>254545</v>
      </c>
      <c r="R83" s="41">
        <v>275000</v>
      </c>
      <c r="S83" s="41">
        <f t="shared" si="5"/>
        <v>275000</v>
      </c>
    </row>
    <row r="84" spans="1:19">
      <c r="A84" s="18">
        <v>83</v>
      </c>
      <c r="B84" s="25" t="s">
        <v>873</v>
      </c>
      <c r="C84" s="26" t="s">
        <v>874</v>
      </c>
      <c r="D84" s="27" t="s">
        <v>9</v>
      </c>
      <c r="E84" s="28" t="s">
        <v>1692</v>
      </c>
      <c r="F84" s="29" t="s">
        <v>1693</v>
      </c>
      <c r="G84" s="30" t="s">
        <v>875</v>
      </c>
      <c r="H84" s="25"/>
      <c r="I84" s="25" t="s">
        <v>876</v>
      </c>
      <c r="J84" s="367">
        <v>45316</v>
      </c>
      <c r="K84" s="25"/>
      <c r="L84" s="30" t="s">
        <v>50</v>
      </c>
      <c r="M84" s="25" t="s">
        <v>877</v>
      </c>
      <c r="N84" s="38">
        <v>44580</v>
      </c>
      <c r="O84" s="39">
        <v>254545</v>
      </c>
      <c r="P84" s="25">
        <v>140</v>
      </c>
      <c r="Q84" s="41">
        <f t="shared" si="4"/>
        <v>35636300</v>
      </c>
      <c r="R84" s="41">
        <v>275000</v>
      </c>
      <c r="S84" s="41">
        <f t="shared" si="5"/>
        <v>38500000</v>
      </c>
    </row>
    <row r="85" spans="1:19">
      <c r="A85" s="18">
        <v>84</v>
      </c>
      <c r="B85" s="25" t="s">
        <v>878</v>
      </c>
      <c r="C85" s="26" t="s">
        <v>879</v>
      </c>
      <c r="D85" s="27" t="s">
        <v>11</v>
      </c>
      <c r="E85" s="28" t="s">
        <v>1696</v>
      </c>
      <c r="F85" s="31" t="s">
        <v>1697</v>
      </c>
      <c r="G85" s="30" t="s">
        <v>880</v>
      </c>
      <c r="H85" s="25"/>
      <c r="I85" s="25" t="s">
        <v>881</v>
      </c>
      <c r="J85" s="367">
        <v>45315</v>
      </c>
      <c r="K85" s="25"/>
      <c r="L85" s="30" t="s">
        <v>882</v>
      </c>
      <c r="M85" s="25" t="s">
        <v>883</v>
      </c>
      <c r="N85" s="38">
        <v>44585</v>
      </c>
      <c r="O85" s="39">
        <v>213150</v>
      </c>
      <c r="P85" s="25">
        <v>6</v>
      </c>
      <c r="Q85" s="41">
        <f t="shared" si="4"/>
        <v>1278900</v>
      </c>
      <c r="R85" s="41">
        <v>232527</v>
      </c>
      <c r="S85" s="41">
        <f t="shared" si="5"/>
        <v>1395162</v>
      </c>
    </row>
    <row r="86" spans="1:19">
      <c r="A86" s="18">
        <v>85</v>
      </c>
      <c r="B86" s="25" t="s">
        <v>884</v>
      </c>
      <c r="C86" s="26" t="s">
        <v>885</v>
      </c>
      <c r="D86" s="27" t="s">
        <v>11</v>
      </c>
      <c r="E86" s="28" t="s">
        <v>1696</v>
      </c>
      <c r="F86" s="31" t="s">
        <v>1697</v>
      </c>
      <c r="G86" s="30" t="s">
        <v>880</v>
      </c>
      <c r="H86" s="25"/>
      <c r="I86" s="25" t="s">
        <v>881</v>
      </c>
      <c r="J86" s="367">
        <v>45315</v>
      </c>
      <c r="K86" s="25"/>
      <c r="L86" s="30" t="s">
        <v>886</v>
      </c>
      <c r="M86" s="25" t="s">
        <v>887</v>
      </c>
      <c r="N86" s="38">
        <v>44585</v>
      </c>
      <c r="O86" s="39">
        <v>184875</v>
      </c>
      <c r="P86" s="25">
        <v>6</v>
      </c>
      <c r="Q86" s="41">
        <f t="shared" si="4"/>
        <v>1109250</v>
      </c>
      <c r="R86" s="41">
        <v>201682</v>
      </c>
      <c r="S86" s="41">
        <f t="shared" si="5"/>
        <v>1210092</v>
      </c>
    </row>
    <row r="87" spans="1:19">
      <c r="A87" s="18">
        <v>86</v>
      </c>
      <c r="B87" s="25" t="s">
        <v>888</v>
      </c>
      <c r="C87" s="26" t="s">
        <v>889</v>
      </c>
      <c r="D87" s="27" t="s">
        <v>19</v>
      </c>
      <c r="E87" s="28" t="s">
        <v>1704</v>
      </c>
      <c r="F87" s="31" t="s">
        <v>1705</v>
      </c>
      <c r="G87" s="30" t="s">
        <v>462</v>
      </c>
      <c r="H87" s="25"/>
      <c r="I87" s="25" t="s">
        <v>890</v>
      </c>
      <c r="J87" s="366">
        <v>45114</v>
      </c>
      <c r="K87" s="25"/>
      <c r="L87" s="30" t="s">
        <v>85</v>
      </c>
      <c r="M87" s="25" t="s">
        <v>891</v>
      </c>
      <c r="N87" s="38">
        <v>44586</v>
      </c>
      <c r="O87" s="39">
        <v>222727</v>
      </c>
      <c r="P87" s="25">
        <v>1</v>
      </c>
      <c r="Q87" s="41">
        <f t="shared" si="4"/>
        <v>222727</v>
      </c>
      <c r="R87" s="41">
        <v>279090.90999999997</v>
      </c>
      <c r="S87" s="41">
        <f t="shared" si="5"/>
        <v>279090.90999999997</v>
      </c>
    </row>
    <row r="88" spans="1:19">
      <c r="A88" s="18">
        <v>87</v>
      </c>
      <c r="B88" s="25" t="s">
        <v>892</v>
      </c>
      <c r="C88" s="26" t="s">
        <v>893</v>
      </c>
      <c r="D88" s="27" t="s">
        <v>9</v>
      </c>
      <c r="E88" s="28" t="s">
        <v>1692</v>
      </c>
      <c r="F88" s="29" t="s">
        <v>1693</v>
      </c>
      <c r="G88" s="30" t="s">
        <v>894</v>
      </c>
      <c r="H88" s="25"/>
      <c r="I88" s="25" t="s">
        <v>895</v>
      </c>
      <c r="J88" s="367">
        <v>45321</v>
      </c>
      <c r="K88" s="25"/>
      <c r="L88" s="30" t="s">
        <v>50</v>
      </c>
      <c r="M88" s="25" t="s">
        <v>896</v>
      </c>
      <c r="N88" s="38">
        <v>44579</v>
      </c>
      <c r="O88" s="39">
        <v>254545</v>
      </c>
      <c r="P88" s="25">
        <v>7</v>
      </c>
      <c r="Q88" s="41">
        <f t="shared" si="4"/>
        <v>1781815</v>
      </c>
      <c r="R88" s="41">
        <v>275000</v>
      </c>
      <c r="S88" s="41">
        <f t="shared" si="5"/>
        <v>1925000</v>
      </c>
    </row>
    <row r="89" spans="1:19">
      <c r="A89" s="18">
        <v>88</v>
      </c>
      <c r="B89" s="25" t="s">
        <v>900</v>
      </c>
      <c r="C89" s="26" t="s">
        <v>901</v>
      </c>
      <c r="D89" s="27" t="s">
        <v>9</v>
      </c>
      <c r="E89" s="28" t="s">
        <v>1692</v>
      </c>
      <c r="F89" s="29" t="s">
        <v>1693</v>
      </c>
      <c r="G89" s="27" t="s">
        <v>902</v>
      </c>
      <c r="H89" s="25"/>
      <c r="I89" s="25" t="s">
        <v>903</v>
      </c>
      <c r="J89" s="367">
        <v>45360</v>
      </c>
      <c r="K89" s="25"/>
      <c r="L89" s="30" t="s">
        <v>50</v>
      </c>
      <c r="M89" s="25" t="s">
        <v>904</v>
      </c>
      <c r="N89" s="38">
        <v>44588</v>
      </c>
      <c r="O89" s="39">
        <v>254545</v>
      </c>
      <c r="P89" s="25">
        <v>1</v>
      </c>
      <c r="Q89" s="41">
        <f t="shared" si="4"/>
        <v>254545</v>
      </c>
      <c r="R89" s="41">
        <v>275000</v>
      </c>
      <c r="S89" s="41">
        <f t="shared" si="5"/>
        <v>275000</v>
      </c>
    </row>
    <row r="90" spans="1:19">
      <c r="A90" s="18">
        <v>89</v>
      </c>
      <c r="B90" s="25" t="s">
        <v>905</v>
      </c>
      <c r="C90" s="26" t="s">
        <v>901</v>
      </c>
      <c r="D90" s="27" t="s">
        <v>9</v>
      </c>
      <c r="E90" s="28" t="s">
        <v>1692</v>
      </c>
      <c r="F90" s="29" t="s">
        <v>1693</v>
      </c>
      <c r="G90" s="27" t="s">
        <v>906</v>
      </c>
      <c r="H90" s="25"/>
      <c r="I90" s="25" t="s">
        <v>903</v>
      </c>
      <c r="J90" s="367">
        <v>45360</v>
      </c>
      <c r="K90" s="25"/>
      <c r="L90" s="30" t="s">
        <v>50</v>
      </c>
      <c r="M90" s="25" t="s">
        <v>907</v>
      </c>
      <c r="N90" s="38">
        <v>44588</v>
      </c>
      <c r="O90" s="39">
        <v>254545</v>
      </c>
      <c r="P90" s="25">
        <v>3</v>
      </c>
      <c r="Q90" s="41">
        <f t="shared" si="4"/>
        <v>763635</v>
      </c>
      <c r="R90" s="41">
        <v>275000</v>
      </c>
      <c r="S90" s="41">
        <f t="shared" si="5"/>
        <v>825000</v>
      </c>
    </row>
    <row r="91" spans="1:19">
      <c r="A91" s="18">
        <v>90</v>
      </c>
      <c r="B91" s="25" t="s">
        <v>908</v>
      </c>
      <c r="C91" s="26" t="s">
        <v>909</v>
      </c>
      <c r="D91" s="27" t="s">
        <v>10</v>
      </c>
      <c r="E91" s="28" t="s">
        <v>1702</v>
      </c>
      <c r="F91" s="31" t="s">
        <v>1703</v>
      </c>
      <c r="G91" s="30" t="s">
        <v>814</v>
      </c>
      <c r="H91" s="25" t="s">
        <v>910</v>
      </c>
      <c r="I91" s="25" t="s">
        <v>2</v>
      </c>
      <c r="J91" s="366" t="s">
        <v>2</v>
      </c>
      <c r="K91" s="25"/>
      <c r="L91" s="30" t="s">
        <v>816</v>
      </c>
      <c r="M91" s="25" t="s">
        <v>817</v>
      </c>
      <c r="N91" s="38">
        <v>44588</v>
      </c>
      <c r="O91" s="39">
        <v>22727</v>
      </c>
      <c r="P91" s="25">
        <v>150</v>
      </c>
      <c r="Q91" s="41">
        <f t="shared" si="4"/>
        <v>3409050</v>
      </c>
      <c r="R91" s="41">
        <v>29090.91</v>
      </c>
      <c r="S91" s="41">
        <f t="shared" si="5"/>
        <v>4363636.5</v>
      </c>
    </row>
    <row r="92" spans="1:19">
      <c r="A92" s="18">
        <v>91</v>
      </c>
      <c r="B92" s="25" t="s">
        <v>911</v>
      </c>
      <c r="C92" s="26" t="s">
        <v>912</v>
      </c>
      <c r="D92" s="27" t="s">
        <v>11</v>
      </c>
      <c r="E92" s="28" t="s">
        <v>1696</v>
      </c>
      <c r="F92" s="31" t="s">
        <v>1697</v>
      </c>
      <c r="G92" s="30" t="s">
        <v>733</v>
      </c>
      <c r="H92" s="25"/>
      <c r="I92" s="25" t="s">
        <v>913</v>
      </c>
      <c r="J92" s="367">
        <v>44953</v>
      </c>
      <c r="K92" s="25"/>
      <c r="L92" s="30" t="s">
        <v>85</v>
      </c>
      <c r="M92" s="25" t="s">
        <v>914</v>
      </c>
      <c r="N92" s="38">
        <v>44588</v>
      </c>
      <c r="O92" s="39">
        <v>222727</v>
      </c>
      <c r="P92" s="25">
        <v>15</v>
      </c>
      <c r="Q92" s="41">
        <f t="shared" si="4"/>
        <v>3340905</v>
      </c>
      <c r="R92" s="41">
        <v>297091</v>
      </c>
      <c r="S92" s="41">
        <f t="shared" si="5"/>
        <v>4456365</v>
      </c>
    </row>
    <row r="93" spans="1:19">
      <c r="A93" s="18">
        <v>92</v>
      </c>
      <c r="B93" s="19" t="s">
        <v>915</v>
      </c>
      <c r="C93" s="20" t="s">
        <v>916</v>
      </c>
      <c r="D93" s="21" t="s">
        <v>9</v>
      </c>
      <c r="E93" s="22" t="s">
        <v>1692</v>
      </c>
      <c r="F93" s="23" t="s">
        <v>1693</v>
      </c>
      <c r="G93" s="24" t="s">
        <v>917</v>
      </c>
      <c r="H93" s="19"/>
      <c r="I93" s="19" t="s">
        <v>918</v>
      </c>
      <c r="J93" s="367">
        <v>45328</v>
      </c>
      <c r="K93" s="19"/>
      <c r="L93" s="24" t="s">
        <v>50</v>
      </c>
      <c r="M93" s="19" t="s">
        <v>919</v>
      </c>
      <c r="N93" s="36">
        <v>44594</v>
      </c>
      <c r="O93" s="37">
        <v>254545</v>
      </c>
      <c r="P93" s="19">
        <v>1</v>
      </c>
      <c r="Q93" s="40">
        <f t="shared" si="4"/>
        <v>254545</v>
      </c>
      <c r="R93" s="40">
        <v>275000</v>
      </c>
      <c r="S93" s="40">
        <f t="shared" si="5"/>
        <v>275000</v>
      </c>
    </row>
    <row r="94" spans="1:19">
      <c r="A94" s="18">
        <v>93</v>
      </c>
      <c r="B94" s="19" t="s">
        <v>920</v>
      </c>
      <c r="C94" s="20" t="s">
        <v>916</v>
      </c>
      <c r="D94" s="21" t="s">
        <v>9</v>
      </c>
      <c r="E94" s="22" t="s">
        <v>1692</v>
      </c>
      <c r="F94" s="23" t="s">
        <v>1693</v>
      </c>
      <c r="G94" s="24" t="s">
        <v>921</v>
      </c>
      <c r="H94" s="19"/>
      <c r="I94" s="19" t="s">
        <v>922</v>
      </c>
      <c r="J94" s="367">
        <v>45356</v>
      </c>
      <c r="K94" s="19"/>
      <c r="L94" s="24" t="s">
        <v>50</v>
      </c>
      <c r="M94" s="19" t="s">
        <v>923</v>
      </c>
      <c r="N94" s="36">
        <v>44594</v>
      </c>
      <c r="O94" s="37">
        <v>254545</v>
      </c>
      <c r="P94" s="19">
        <v>1</v>
      </c>
      <c r="Q94" s="40">
        <f t="shared" si="4"/>
        <v>254545</v>
      </c>
      <c r="R94" s="40">
        <v>275000</v>
      </c>
      <c r="S94" s="40">
        <f t="shared" si="5"/>
        <v>275000</v>
      </c>
    </row>
    <row r="95" spans="1:19">
      <c r="A95" s="18">
        <v>94</v>
      </c>
      <c r="B95" s="19" t="s">
        <v>924</v>
      </c>
      <c r="C95" s="20" t="s">
        <v>916</v>
      </c>
      <c r="D95" s="21" t="s">
        <v>9</v>
      </c>
      <c r="E95" s="22" t="s">
        <v>1692</v>
      </c>
      <c r="F95" s="23" t="s">
        <v>1693</v>
      </c>
      <c r="G95" s="24" t="s">
        <v>925</v>
      </c>
      <c r="H95" s="19"/>
      <c r="I95" s="19" t="s">
        <v>926</v>
      </c>
      <c r="J95" s="367">
        <v>45326</v>
      </c>
      <c r="K95" s="19"/>
      <c r="L95" s="24" t="s">
        <v>50</v>
      </c>
      <c r="M95" s="19" t="s">
        <v>927</v>
      </c>
      <c r="N95" s="36">
        <v>44594</v>
      </c>
      <c r="O95" s="37">
        <v>254545</v>
      </c>
      <c r="P95" s="19">
        <v>2</v>
      </c>
      <c r="Q95" s="40">
        <f t="shared" si="4"/>
        <v>509090</v>
      </c>
      <c r="R95" s="40">
        <v>275000</v>
      </c>
      <c r="S95" s="40">
        <f t="shared" si="5"/>
        <v>550000</v>
      </c>
    </row>
    <row r="96" spans="1:19">
      <c r="A96" s="18">
        <v>95</v>
      </c>
      <c r="B96" s="19" t="s">
        <v>928</v>
      </c>
      <c r="C96" s="20" t="s">
        <v>929</v>
      </c>
      <c r="D96" s="21" t="s">
        <v>9</v>
      </c>
      <c r="E96" s="22" t="s">
        <v>1692</v>
      </c>
      <c r="F96" s="23" t="s">
        <v>1693</v>
      </c>
      <c r="G96" s="24" t="s">
        <v>930</v>
      </c>
      <c r="H96" s="19"/>
      <c r="I96" s="19" t="s">
        <v>931</v>
      </c>
      <c r="J96" s="367">
        <v>45330</v>
      </c>
      <c r="K96" s="19"/>
      <c r="L96" s="24" t="s">
        <v>50</v>
      </c>
      <c r="M96" s="19" t="s">
        <v>932</v>
      </c>
      <c r="N96" s="36">
        <v>44594</v>
      </c>
      <c r="O96" s="37">
        <v>254545</v>
      </c>
      <c r="P96" s="19">
        <v>3</v>
      </c>
      <c r="Q96" s="40">
        <f t="shared" si="4"/>
        <v>763635</v>
      </c>
      <c r="R96" s="40">
        <v>275000</v>
      </c>
      <c r="S96" s="40">
        <f t="shared" si="5"/>
        <v>825000</v>
      </c>
    </row>
    <row r="97" spans="1:19">
      <c r="A97" s="18">
        <v>96</v>
      </c>
      <c r="B97" s="19" t="s">
        <v>933</v>
      </c>
      <c r="C97" s="20" t="s">
        <v>929</v>
      </c>
      <c r="D97" s="21" t="s">
        <v>9</v>
      </c>
      <c r="E97" s="22" t="s">
        <v>1692</v>
      </c>
      <c r="F97" s="23" t="s">
        <v>1693</v>
      </c>
      <c r="G97" s="24" t="s">
        <v>934</v>
      </c>
      <c r="H97" s="19"/>
      <c r="I97" s="19" t="s">
        <v>931</v>
      </c>
      <c r="J97" s="367">
        <v>45330</v>
      </c>
      <c r="K97" s="19"/>
      <c r="L97" s="24" t="s">
        <v>50</v>
      </c>
      <c r="M97" s="19" t="s">
        <v>935</v>
      </c>
      <c r="N97" s="36">
        <v>44594</v>
      </c>
      <c r="O97" s="37">
        <v>254545</v>
      </c>
      <c r="P97" s="19">
        <v>5</v>
      </c>
      <c r="Q97" s="40">
        <f t="shared" si="4"/>
        <v>1272725</v>
      </c>
      <c r="R97" s="40">
        <v>275000</v>
      </c>
      <c r="S97" s="40">
        <f t="shared" si="5"/>
        <v>1375000</v>
      </c>
    </row>
    <row r="98" spans="1:19">
      <c r="A98" s="18">
        <v>97</v>
      </c>
      <c r="B98" s="19" t="s">
        <v>948</v>
      </c>
      <c r="C98" s="20" t="s">
        <v>949</v>
      </c>
      <c r="D98" s="21" t="s">
        <v>9</v>
      </c>
      <c r="E98" s="22" t="s">
        <v>1692</v>
      </c>
      <c r="F98" s="23" t="s">
        <v>1693</v>
      </c>
      <c r="G98" s="24" t="s">
        <v>950</v>
      </c>
      <c r="H98" s="19"/>
      <c r="I98" s="19" t="s">
        <v>951</v>
      </c>
      <c r="J98" s="367">
        <v>45335</v>
      </c>
      <c r="K98" s="19"/>
      <c r="L98" s="24" t="s">
        <v>50</v>
      </c>
      <c r="M98" s="19" t="s">
        <v>952</v>
      </c>
      <c r="N98" s="36">
        <v>44601</v>
      </c>
      <c r="O98" s="37">
        <v>254545</v>
      </c>
      <c r="P98" s="19">
        <v>3</v>
      </c>
      <c r="Q98" s="40">
        <f t="shared" si="4"/>
        <v>763635</v>
      </c>
      <c r="R98" s="40">
        <v>275000</v>
      </c>
      <c r="S98" s="40">
        <f t="shared" si="5"/>
        <v>825000</v>
      </c>
    </row>
    <row r="99" spans="1:19">
      <c r="A99" s="18">
        <v>98</v>
      </c>
      <c r="B99" s="19" t="s">
        <v>953</v>
      </c>
      <c r="C99" s="20" t="s">
        <v>949</v>
      </c>
      <c r="D99" s="21" t="s">
        <v>9</v>
      </c>
      <c r="E99" s="22" t="s">
        <v>1692</v>
      </c>
      <c r="F99" s="23" t="s">
        <v>1693</v>
      </c>
      <c r="G99" s="24" t="s">
        <v>684</v>
      </c>
      <c r="H99" s="19"/>
      <c r="I99" s="19" t="s">
        <v>954</v>
      </c>
      <c r="J99" s="366">
        <v>45440</v>
      </c>
      <c r="K99" s="19"/>
      <c r="L99" s="24" t="s">
        <v>50</v>
      </c>
      <c r="M99" s="19" t="s">
        <v>955</v>
      </c>
      <c r="N99" s="36">
        <v>44601</v>
      </c>
      <c r="O99" s="37">
        <v>254545</v>
      </c>
      <c r="P99" s="19">
        <v>1</v>
      </c>
      <c r="Q99" s="40">
        <f t="shared" si="4"/>
        <v>254545</v>
      </c>
      <c r="R99" s="40">
        <v>275000</v>
      </c>
      <c r="S99" s="40">
        <f t="shared" si="5"/>
        <v>275000</v>
      </c>
    </row>
    <row r="100" spans="1:19">
      <c r="A100" s="18">
        <v>99</v>
      </c>
      <c r="B100" s="19" t="s">
        <v>956</v>
      </c>
      <c r="C100" s="20" t="s">
        <v>949</v>
      </c>
      <c r="D100" s="21" t="s">
        <v>9</v>
      </c>
      <c r="E100" s="22" t="s">
        <v>1692</v>
      </c>
      <c r="F100" s="23" t="s">
        <v>1693</v>
      </c>
      <c r="G100" s="24" t="s">
        <v>957</v>
      </c>
      <c r="H100" s="19"/>
      <c r="I100" s="19" t="s">
        <v>958</v>
      </c>
      <c r="J100" s="367">
        <v>45339</v>
      </c>
      <c r="K100" s="19"/>
      <c r="L100" s="24" t="s">
        <v>50</v>
      </c>
      <c r="M100" s="19" t="s">
        <v>959</v>
      </c>
      <c r="N100" s="36">
        <v>44601</v>
      </c>
      <c r="O100" s="37">
        <v>254545</v>
      </c>
      <c r="P100" s="19">
        <v>9</v>
      </c>
      <c r="Q100" s="40">
        <f t="shared" si="4"/>
        <v>2290905</v>
      </c>
      <c r="R100" s="40">
        <v>275000</v>
      </c>
      <c r="S100" s="40">
        <f t="shared" si="5"/>
        <v>2475000</v>
      </c>
    </row>
    <row r="101" spans="1:19">
      <c r="A101" s="18">
        <v>100</v>
      </c>
      <c r="B101" s="19" t="s">
        <v>960</v>
      </c>
      <c r="C101" s="20" t="s">
        <v>949</v>
      </c>
      <c r="D101" s="21" t="s">
        <v>9</v>
      </c>
      <c r="E101" s="22" t="s">
        <v>1692</v>
      </c>
      <c r="F101" s="23" t="s">
        <v>1693</v>
      </c>
      <c r="G101" s="24" t="s">
        <v>961</v>
      </c>
      <c r="H101" s="19"/>
      <c r="I101" s="19" t="s">
        <v>951</v>
      </c>
      <c r="J101" s="367">
        <v>45335</v>
      </c>
      <c r="K101" s="19"/>
      <c r="L101" s="24" t="s">
        <v>50</v>
      </c>
      <c r="M101" s="19" t="s">
        <v>962</v>
      </c>
      <c r="N101" s="36">
        <v>44601</v>
      </c>
      <c r="O101" s="37">
        <v>254545</v>
      </c>
      <c r="P101" s="19">
        <v>2</v>
      </c>
      <c r="Q101" s="40">
        <f t="shared" si="4"/>
        <v>509090</v>
      </c>
      <c r="R101" s="40">
        <v>275000</v>
      </c>
      <c r="S101" s="40">
        <f t="shared" si="5"/>
        <v>550000</v>
      </c>
    </row>
    <row r="102" spans="1:19">
      <c r="A102" s="18">
        <v>101</v>
      </c>
      <c r="B102" s="19" t="s">
        <v>966</v>
      </c>
      <c r="C102" s="20" t="s">
        <v>967</v>
      </c>
      <c r="D102" s="21" t="s">
        <v>11</v>
      </c>
      <c r="E102" s="22" t="s">
        <v>1696</v>
      </c>
      <c r="F102" s="32" t="s">
        <v>1697</v>
      </c>
      <c r="G102" s="24" t="s">
        <v>880</v>
      </c>
      <c r="H102" s="19"/>
      <c r="I102" s="19" t="s">
        <v>968</v>
      </c>
      <c r="J102" s="367">
        <v>45336</v>
      </c>
      <c r="K102" s="19"/>
      <c r="L102" s="24" t="s">
        <v>886</v>
      </c>
      <c r="M102" s="19" t="s">
        <v>969</v>
      </c>
      <c r="N102" s="36">
        <v>44607</v>
      </c>
      <c r="O102" s="37">
        <v>184875</v>
      </c>
      <c r="P102" s="19">
        <v>25</v>
      </c>
      <c r="Q102" s="40">
        <f t="shared" si="4"/>
        <v>4621875</v>
      </c>
      <c r="R102" s="40">
        <v>201682</v>
      </c>
      <c r="S102" s="40">
        <f t="shared" si="5"/>
        <v>5042050</v>
      </c>
    </row>
    <row r="103" spans="1:19">
      <c r="A103" s="18">
        <v>102</v>
      </c>
      <c r="B103" s="19" t="s">
        <v>970</v>
      </c>
      <c r="C103" s="20" t="s">
        <v>971</v>
      </c>
      <c r="D103" s="21" t="s">
        <v>10</v>
      </c>
      <c r="E103" s="22" t="s">
        <v>1702</v>
      </c>
      <c r="F103" s="31" t="s">
        <v>1703</v>
      </c>
      <c r="G103" s="24" t="s">
        <v>814</v>
      </c>
      <c r="H103" s="19" t="s">
        <v>972</v>
      </c>
      <c r="I103" s="19" t="s">
        <v>2</v>
      </c>
      <c r="J103" s="367" t="s">
        <v>2</v>
      </c>
      <c r="K103" s="19"/>
      <c r="L103" s="24" t="s">
        <v>816</v>
      </c>
      <c r="M103" s="19" t="s">
        <v>973</v>
      </c>
      <c r="N103" s="36">
        <v>44607</v>
      </c>
      <c r="O103" s="37">
        <v>22727</v>
      </c>
      <c r="P103" s="19">
        <v>120</v>
      </c>
      <c r="Q103" s="40">
        <f t="shared" si="4"/>
        <v>2727240</v>
      </c>
      <c r="R103" s="40">
        <v>29090.91</v>
      </c>
      <c r="S103" s="40">
        <f t="shared" si="5"/>
        <v>3490909.2</v>
      </c>
    </row>
    <row r="104" spans="1:19">
      <c r="A104" s="18">
        <v>103</v>
      </c>
      <c r="B104" s="19" t="s">
        <v>977</v>
      </c>
      <c r="C104" s="20" t="s">
        <v>978</v>
      </c>
      <c r="D104" s="21" t="s">
        <v>9</v>
      </c>
      <c r="E104" s="22" t="s">
        <v>1692</v>
      </c>
      <c r="F104" s="23" t="s">
        <v>1693</v>
      </c>
      <c r="G104" s="24" t="s">
        <v>979</v>
      </c>
      <c r="H104" s="19"/>
      <c r="I104" s="19" t="s">
        <v>801</v>
      </c>
      <c r="J104" s="367">
        <v>45394</v>
      </c>
      <c r="K104" s="19"/>
      <c r="L104" s="24" t="s">
        <v>50</v>
      </c>
      <c r="M104" s="19" t="s">
        <v>980</v>
      </c>
      <c r="N104" s="36">
        <v>44609</v>
      </c>
      <c r="O104" s="37">
        <v>254545</v>
      </c>
      <c r="P104" s="19">
        <v>1</v>
      </c>
      <c r="Q104" s="40">
        <f t="shared" si="4"/>
        <v>254545</v>
      </c>
      <c r="R104" s="40">
        <v>275000</v>
      </c>
      <c r="S104" s="40">
        <f t="shared" si="5"/>
        <v>275000</v>
      </c>
    </row>
    <row r="105" spans="1:19">
      <c r="A105" s="18">
        <v>104</v>
      </c>
      <c r="B105" s="19" t="s">
        <v>981</v>
      </c>
      <c r="C105" s="20" t="s">
        <v>978</v>
      </c>
      <c r="D105" s="21" t="s">
        <v>9</v>
      </c>
      <c r="E105" s="22" t="s">
        <v>1692</v>
      </c>
      <c r="F105" s="23" t="s">
        <v>1693</v>
      </c>
      <c r="G105" s="24" t="s">
        <v>982</v>
      </c>
      <c r="H105" s="19"/>
      <c r="I105" s="19" t="s">
        <v>983</v>
      </c>
      <c r="J105" s="367">
        <v>45344</v>
      </c>
      <c r="K105" s="19"/>
      <c r="L105" s="24" t="s">
        <v>50</v>
      </c>
      <c r="M105" s="19" t="s">
        <v>984</v>
      </c>
      <c r="N105" s="36">
        <v>44609</v>
      </c>
      <c r="O105" s="37">
        <v>254545</v>
      </c>
      <c r="P105" s="19">
        <v>1</v>
      </c>
      <c r="Q105" s="40">
        <f t="shared" si="4"/>
        <v>254545</v>
      </c>
      <c r="R105" s="40">
        <v>275000</v>
      </c>
      <c r="S105" s="40">
        <f t="shared" si="5"/>
        <v>275000</v>
      </c>
    </row>
    <row r="106" spans="1:19">
      <c r="A106" s="18">
        <v>105</v>
      </c>
      <c r="B106" s="19" t="s">
        <v>985</v>
      </c>
      <c r="C106" s="20" t="s">
        <v>978</v>
      </c>
      <c r="D106" s="21" t="s">
        <v>9</v>
      </c>
      <c r="E106" s="22" t="s">
        <v>1692</v>
      </c>
      <c r="F106" s="23" t="s">
        <v>1693</v>
      </c>
      <c r="G106" s="24" t="s">
        <v>986</v>
      </c>
      <c r="H106" s="19"/>
      <c r="I106" s="19" t="s">
        <v>983</v>
      </c>
      <c r="J106" s="367">
        <v>45344</v>
      </c>
      <c r="K106" s="19"/>
      <c r="L106" s="24" t="s">
        <v>50</v>
      </c>
      <c r="M106" s="19" t="s">
        <v>987</v>
      </c>
      <c r="N106" s="36">
        <v>44609</v>
      </c>
      <c r="O106" s="37">
        <v>254545</v>
      </c>
      <c r="P106" s="19">
        <v>4</v>
      </c>
      <c r="Q106" s="40">
        <f t="shared" si="4"/>
        <v>1018180</v>
      </c>
      <c r="R106" s="40">
        <v>275000</v>
      </c>
      <c r="S106" s="40">
        <f t="shared" si="5"/>
        <v>1100000</v>
      </c>
    </row>
    <row r="107" spans="1:19">
      <c r="A107" s="18">
        <v>106</v>
      </c>
      <c r="B107" s="19" t="s">
        <v>988</v>
      </c>
      <c r="C107" s="20" t="s">
        <v>989</v>
      </c>
      <c r="D107" s="21" t="s">
        <v>16</v>
      </c>
      <c r="E107" s="22" t="s">
        <v>1706</v>
      </c>
      <c r="F107" s="32" t="s">
        <v>1707</v>
      </c>
      <c r="G107" s="24" t="s">
        <v>165</v>
      </c>
      <c r="H107" s="19"/>
      <c r="I107" s="19" t="s">
        <v>990</v>
      </c>
      <c r="J107" s="367">
        <v>45345</v>
      </c>
      <c r="K107" s="19"/>
      <c r="L107" s="24" t="s">
        <v>85</v>
      </c>
      <c r="M107" s="19" t="s">
        <v>991</v>
      </c>
      <c r="N107" s="36">
        <v>44613</v>
      </c>
      <c r="O107" s="37">
        <v>222727</v>
      </c>
      <c r="P107" s="19">
        <v>160</v>
      </c>
      <c r="Q107" s="40">
        <f t="shared" si="4"/>
        <v>35636320</v>
      </c>
      <c r="R107" s="40">
        <v>279090.90999999997</v>
      </c>
      <c r="S107" s="40">
        <f t="shared" si="5"/>
        <v>44654545.599999994</v>
      </c>
    </row>
    <row r="108" spans="1:19">
      <c r="A108" s="18">
        <v>107</v>
      </c>
      <c r="B108" s="19" t="s">
        <v>992</v>
      </c>
      <c r="C108" s="20" t="s">
        <v>978</v>
      </c>
      <c r="D108" s="21" t="s">
        <v>9</v>
      </c>
      <c r="E108" s="22" t="s">
        <v>1692</v>
      </c>
      <c r="F108" s="23" t="s">
        <v>1693</v>
      </c>
      <c r="G108" s="24" t="s">
        <v>445</v>
      </c>
      <c r="H108" s="19"/>
      <c r="I108" s="19" t="s">
        <v>993</v>
      </c>
      <c r="J108" s="367">
        <v>45367</v>
      </c>
      <c r="K108" s="19"/>
      <c r="L108" s="24" t="s">
        <v>50</v>
      </c>
      <c r="M108" s="19" t="s">
        <v>994</v>
      </c>
      <c r="N108" s="36">
        <v>44613</v>
      </c>
      <c r="O108" s="37">
        <v>254545</v>
      </c>
      <c r="P108" s="19">
        <v>3</v>
      </c>
      <c r="Q108" s="40">
        <f t="shared" si="4"/>
        <v>763635</v>
      </c>
      <c r="R108" s="40">
        <v>275000</v>
      </c>
      <c r="S108" s="40">
        <f t="shared" si="5"/>
        <v>825000</v>
      </c>
    </row>
    <row r="109" spans="1:19">
      <c r="A109" s="18">
        <v>108</v>
      </c>
      <c r="B109" s="19" t="s">
        <v>995</v>
      </c>
      <c r="C109" s="20" t="s">
        <v>978</v>
      </c>
      <c r="D109" s="21" t="s">
        <v>9</v>
      </c>
      <c r="E109" s="22" t="s">
        <v>1692</v>
      </c>
      <c r="F109" s="23" t="s">
        <v>1693</v>
      </c>
      <c r="G109" s="24" t="s">
        <v>445</v>
      </c>
      <c r="H109" s="19"/>
      <c r="I109" s="19" t="s">
        <v>996</v>
      </c>
      <c r="J109" s="367">
        <v>45374</v>
      </c>
      <c r="K109" s="19"/>
      <c r="L109" s="24" t="s">
        <v>50</v>
      </c>
      <c r="M109" s="19" t="s">
        <v>997</v>
      </c>
      <c r="N109" s="36">
        <v>44613</v>
      </c>
      <c r="O109" s="37">
        <v>254545</v>
      </c>
      <c r="P109" s="19">
        <v>3</v>
      </c>
      <c r="Q109" s="40">
        <f t="shared" si="4"/>
        <v>763635</v>
      </c>
      <c r="R109" s="40">
        <v>275000</v>
      </c>
      <c r="S109" s="40">
        <f t="shared" si="5"/>
        <v>825000</v>
      </c>
    </row>
    <row r="110" spans="1:19">
      <c r="A110" s="18">
        <v>109</v>
      </c>
      <c r="B110" s="19" t="s">
        <v>998</v>
      </c>
      <c r="C110" s="20" t="s">
        <v>978</v>
      </c>
      <c r="D110" s="21" t="s">
        <v>9</v>
      </c>
      <c r="E110" s="22" t="s">
        <v>1692</v>
      </c>
      <c r="F110" s="23" t="s">
        <v>1693</v>
      </c>
      <c r="G110" s="24" t="s">
        <v>999</v>
      </c>
      <c r="H110" s="19"/>
      <c r="I110" s="19" t="s">
        <v>1000</v>
      </c>
      <c r="J110" s="367">
        <v>45346</v>
      </c>
      <c r="K110" s="19"/>
      <c r="L110" s="24" t="s">
        <v>50</v>
      </c>
      <c r="M110" s="19" t="s">
        <v>1001</v>
      </c>
      <c r="N110" s="36">
        <v>44613</v>
      </c>
      <c r="O110" s="37">
        <v>254545</v>
      </c>
      <c r="P110" s="19">
        <v>2</v>
      </c>
      <c r="Q110" s="40">
        <f t="shared" si="4"/>
        <v>509090</v>
      </c>
      <c r="R110" s="40">
        <v>275000</v>
      </c>
      <c r="S110" s="40">
        <f t="shared" si="5"/>
        <v>550000</v>
      </c>
    </row>
    <row r="111" spans="1:19">
      <c r="A111" s="18">
        <v>110</v>
      </c>
      <c r="B111" s="19" t="s">
        <v>1002</v>
      </c>
      <c r="C111" s="20" t="s">
        <v>978</v>
      </c>
      <c r="D111" s="21" t="s">
        <v>9</v>
      </c>
      <c r="E111" s="22" t="s">
        <v>1692</v>
      </c>
      <c r="F111" s="23" t="s">
        <v>1693</v>
      </c>
      <c r="G111" s="24" t="s">
        <v>1003</v>
      </c>
      <c r="H111" s="19"/>
      <c r="I111" s="19" t="s">
        <v>996</v>
      </c>
      <c r="J111" s="367">
        <v>45374</v>
      </c>
      <c r="K111" s="19"/>
      <c r="L111" s="24" t="s">
        <v>50</v>
      </c>
      <c r="M111" s="19" t="s">
        <v>1004</v>
      </c>
      <c r="N111" s="36">
        <v>44613</v>
      </c>
      <c r="O111" s="37">
        <v>254545</v>
      </c>
      <c r="P111" s="19">
        <v>8</v>
      </c>
      <c r="Q111" s="40">
        <f t="shared" si="4"/>
        <v>2036360</v>
      </c>
      <c r="R111" s="40">
        <v>275000</v>
      </c>
      <c r="S111" s="40">
        <f t="shared" si="5"/>
        <v>2200000</v>
      </c>
    </row>
    <row r="112" spans="1:19">
      <c r="A112" s="18">
        <v>111</v>
      </c>
      <c r="B112" s="19" t="s">
        <v>1005</v>
      </c>
      <c r="C112" s="20" t="s">
        <v>978</v>
      </c>
      <c r="D112" s="21" t="s">
        <v>9</v>
      </c>
      <c r="E112" s="22" t="s">
        <v>1692</v>
      </c>
      <c r="F112" s="23" t="s">
        <v>1693</v>
      </c>
      <c r="G112" s="24" t="s">
        <v>1006</v>
      </c>
      <c r="H112" s="19"/>
      <c r="I112" s="19" t="s">
        <v>1000</v>
      </c>
      <c r="J112" s="367">
        <v>45346</v>
      </c>
      <c r="K112" s="19"/>
      <c r="L112" s="24" t="s">
        <v>50</v>
      </c>
      <c r="M112" s="19" t="s">
        <v>1007</v>
      </c>
      <c r="N112" s="36">
        <v>44613</v>
      </c>
      <c r="O112" s="37">
        <v>254545</v>
      </c>
      <c r="P112" s="19">
        <v>1</v>
      </c>
      <c r="Q112" s="40">
        <f t="shared" si="4"/>
        <v>254545</v>
      </c>
      <c r="R112" s="40">
        <v>275000</v>
      </c>
      <c r="S112" s="40">
        <f t="shared" si="5"/>
        <v>275000</v>
      </c>
    </row>
    <row r="113" spans="1:19">
      <c r="A113" s="18">
        <v>112</v>
      </c>
      <c r="B113" s="19" t="s">
        <v>1008</v>
      </c>
      <c r="C113" s="20" t="s">
        <v>1009</v>
      </c>
      <c r="D113" s="21" t="s">
        <v>9</v>
      </c>
      <c r="E113" s="22" t="s">
        <v>1692</v>
      </c>
      <c r="F113" s="23" t="s">
        <v>1693</v>
      </c>
      <c r="G113" s="24" t="s">
        <v>925</v>
      </c>
      <c r="H113" s="19"/>
      <c r="I113" s="19" t="s">
        <v>1010</v>
      </c>
      <c r="J113" s="367">
        <v>45354</v>
      </c>
      <c r="K113" s="19"/>
      <c r="L113" s="24" t="s">
        <v>50</v>
      </c>
      <c r="M113" s="19" t="s">
        <v>1011</v>
      </c>
      <c r="N113" s="36">
        <v>44617</v>
      </c>
      <c r="O113" s="37">
        <v>254545</v>
      </c>
      <c r="P113" s="19">
        <v>3</v>
      </c>
      <c r="Q113" s="40">
        <f t="shared" si="4"/>
        <v>763635</v>
      </c>
      <c r="R113" s="40">
        <v>275000</v>
      </c>
      <c r="S113" s="40">
        <f t="shared" si="5"/>
        <v>825000</v>
      </c>
    </row>
    <row r="114" spans="1:19">
      <c r="A114" s="18">
        <v>113</v>
      </c>
      <c r="B114" s="19" t="s">
        <v>1012</v>
      </c>
      <c r="C114" s="20" t="s">
        <v>1009</v>
      </c>
      <c r="D114" s="21" t="s">
        <v>9</v>
      </c>
      <c r="E114" s="22" t="s">
        <v>1692</v>
      </c>
      <c r="F114" s="23" t="s">
        <v>1693</v>
      </c>
      <c r="G114" s="24" t="s">
        <v>1013</v>
      </c>
      <c r="H114" s="19"/>
      <c r="I114" s="19" t="s">
        <v>1010</v>
      </c>
      <c r="J114" s="367">
        <v>45354</v>
      </c>
      <c r="K114" s="19"/>
      <c r="L114" s="24" t="s">
        <v>50</v>
      </c>
      <c r="M114" s="19" t="s">
        <v>1014</v>
      </c>
      <c r="N114" s="36">
        <v>44617</v>
      </c>
      <c r="O114" s="37">
        <v>254545</v>
      </c>
      <c r="P114" s="19">
        <v>2</v>
      </c>
      <c r="Q114" s="40">
        <f t="shared" si="4"/>
        <v>509090</v>
      </c>
      <c r="R114" s="40">
        <v>275000</v>
      </c>
      <c r="S114" s="40">
        <f t="shared" si="5"/>
        <v>550000</v>
      </c>
    </row>
    <row r="115" spans="1:19">
      <c r="A115" s="18">
        <v>114</v>
      </c>
      <c r="B115" s="25" t="s">
        <v>1019</v>
      </c>
      <c r="C115" s="26" t="s">
        <v>1020</v>
      </c>
      <c r="D115" s="27" t="s">
        <v>9</v>
      </c>
      <c r="E115" s="28" t="s">
        <v>1692</v>
      </c>
      <c r="F115" s="29" t="s">
        <v>1693</v>
      </c>
      <c r="G115" s="30" t="s">
        <v>1021</v>
      </c>
      <c r="H115" s="25"/>
      <c r="I115" s="25" t="s">
        <v>1022</v>
      </c>
      <c r="J115" s="367">
        <v>45446</v>
      </c>
      <c r="K115" s="25"/>
      <c r="L115" s="30" t="s">
        <v>50</v>
      </c>
      <c r="M115" s="25" t="s">
        <v>1023</v>
      </c>
      <c r="N115" s="38">
        <v>44628</v>
      </c>
      <c r="O115" s="39">
        <v>254545</v>
      </c>
      <c r="P115" s="25">
        <v>1</v>
      </c>
      <c r="Q115" s="41">
        <f t="shared" si="4"/>
        <v>254545</v>
      </c>
      <c r="R115" s="41">
        <v>275000</v>
      </c>
      <c r="S115" s="41">
        <f t="shared" si="5"/>
        <v>275000</v>
      </c>
    </row>
    <row r="116" spans="1:19">
      <c r="A116" s="18">
        <v>115</v>
      </c>
      <c r="B116" s="25" t="s">
        <v>1024</v>
      </c>
      <c r="C116" s="26" t="s">
        <v>1020</v>
      </c>
      <c r="D116" s="27" t="s">
        <v>9</v>
      </c>
      <c r="E116" s="28" t="s">
        <v>1692</v>
      </c>
      <c r="F116" s="29" t="s">
        <v>1693</v>
      </c>
      <c r="G116" s="30" t="s">
        <v>1025</v>
      </c>
      <c r="H116" s="25"/>
      <c r="I116" s="25" t="s">
        <v>1026</v>
      </c>
      <c r="J116" s="367">
        <v>45362</v>
      </c>
      <c r="K116" s="25"/>
      <c r="L116" s="30" t="s">
        <v>50</v>
      </c>
      <c r="M116" s="25" t="s">
        <v>1027</v>
      </c>
      <c r="N116" s="38">
        <v>44628</v>
      </c>
      <c r="O116" s="39">
        <v>254545</v>
      </c>
      <c r="P116" s="25">
        <v>1</v>
      </c>
      <c r="Q116" s="41">
        <f t="shared" si="4"/>
        <v>254545</v>
      </c>
      <c r="R116" s="41">
        <v>275000</v>
      </c>
      <c r="S116" s="41">
        <f t="shared" si="5"/>
        <v>275000</v>
      </c>
    </row>
    <row r="117" spans="1:19">
      <c r="A117" s="18">
        <v>116</v>
      </c>
      <c r="B117" s="25" t="s">
        <v>1028</v>
      </c>
      <c r="C117" s="26" t="s">
        <v>1020</v>
      </c>
      <c r="D117" s="27" t="s">
        <v>9</v>
      </c>
      <c r="E117" s="28" t="s">
        <v>1692</v>
      </c>
      <c r="F117" s="29" t="s">
        <v>1693</v>
      </c>
      <c r="G117" s="30" t="s">
        <v>1029</v>
      </c>
      <c r="H117" s="25"/>
      <c r="I117" s="25" t="s">
        <v>1030</v>
      </c>
      <c r="J117" s="367">
        <v>45361</v>
      </c>
      <c r="K117" s="25"/>
      <c r="L117" s="30" t="s">
        <v>50</v>
      </c>
      <c r="M117" s="25" t="s">
        <v>1031</v>
      </c>
      <c r="N117" s="38">
        <v>44628</v>
      </c>
      <c r="O117" s="39">
        <v>254545</v>
      </c>
      <c r="P117" s="25">
        <v>2</v>
      </c>
      <c r="Q117" s="41">
        <f t="shared" si="4"/>
        <v>509090</v>
      </c>
      <c r="R117" s="41">
        <v>275000</v>
      </c>
      <c r="S117" s="41">
        <f t="shared" si="5"/>
        <v>550000</v>
      </c>
    </row>
    <row r="118" spans="1:19">
      <c r="A118" s="18">
        <v>117</v>
      </c>
      <c r="B118" s="25" t="s">
        <v>1032</v>
      </c>
      <c r="C118" s="26" t="s">
        <v>1020</v>
      </c>
      <c r="D118" s="27" t="s">
        <v>9</v>
      </c>
      <c r="E118" s="28" t="s">
        <v>1692</v>
      </c>
      <c r="F118" s="29" t="s">
        <v>1693</v>
      </c>
      <c r="G118" s="30" t="s">
        <v>1033</v>
      </c>
      <c r="H118" s="25"/>
      <c r="I118" s="25" t="s">
        <v>1030</v>
      </c>
      <c r="J118" s="367">
        <v>45361</v>
      </c>
      <c r="K118" s="25"/>
      <c r="L118" s="30" t="s">
        <v>50</v>
      </c>
      <c r="M118" s="25" t="s">
        <v>1034</v>
      </c>
      <c r="N118" s="38">
        <v>44628</v>
      </c>
      <c r="O118" s="39">
        <v>254545</v>
      </c>
      <c r="P118" s="25">
        <v>1</v>
      </c>
      <c r="Q118" s="41">
        <f t="shared" si="4"/>
        <v>254545</v>
      </c>
      <c r="R118" s="41">
        <v>275000</v>
      </c>
      <c r="S118" s="41">
        <f t="shared" si="5"/>
        <v>275000</v>
      </c>
    </row>
    <row r="119" spans="1:19">
      <c r="A119" s="18">
        <v>118</v>
      </c>
      <c r="B119" s="25" t="s">
        <v>1035</v>
      </c>
      <c r="C119" s="26" t="s">
        <v>1036</v>
      </c>
      <c r="D119" s="27" t="s">
        <v>11</v>
      </c>
      <c r="E119" s="28" t="s">
        <v>1696</v>
      </c>
      <c r="F119" s="31" t="s">
        <v>1697</v>
      </c>
      <c r="G119" s="30" t="s">
        <v>880</v>
      </c>
      <c r="H119" s="25"/>
      <c r="I119" s="25" t="s">
        <v>1037</v>
      </c>
      <c r="J119" s="367">
        <v>45360</v>
      </c>
      <c r="K119" s="25"/>
      <c r="L119" s="30" t="s">
        <v>1038</v>
      </c>
      <c r="M119" s="25" t="s">
        <v>1039</v>
      </c>
      <c r="N119" s="38">
        <v>44629</v>
      </c>
      <c r="O119" s="39">
        <v>184875</v>
      </c>
      <c r="P119" s="25">
        <v>15</v>
      </c>
      <c r="Q119" s="41">
        <f t="shared" si="4"/>
        <v>2773125</v>
      </c>
      <c r="R119" s="41">
        <v>201682</v>
      </c>
      <c r="S119" s="41">
        <f t="shared" si="5"/>
        <v>3025230</v>
      </c>
    </row>
    <row r="120" spans="1:19">
      <c r="A120" s="18">
        <v>119</v>
      </c>
      <c r="B120" s="25" t="s">
        <v>1040</v>
      </c>
      <c r="C120" s="26" t="s">
        <v>1041</v>
      </c>
      <c r="D120" s="27" t="s">
        <v>9</v>
      </c>
      <c r="E120" s="28" t="s">
        <v>1692</v>
      </c>
      <c r="F120" s="29" t="s">
        <v>1693</v>
      </c>
      <c r="G120" s="30" t="s">
        <v>1042</v>
      </c>
      <c r="H120" s="25"/>
      <c r="I120" s="25" t="s">
        <v>1043</v>
      </c>
      <c r="J120" s="367">
        <v>45366</v>
      </c>
      <c r="K120" s="25"/>
      <c r="L120" s="30" t="s">
        <v>50</v>
      </c>
      <c r="M120" s="25" t="s">
        <v>1044</v>
      </c>
      <c r="N120" s="38">
        <v>44631</v>
      </c>
      <c r="O120" s="39">
        <v>254545</v>
      </c>
      <c r="P120" s="25">
        <v>1</v>
      </c>
      <c r="Q120" s="41">
        <f t="shared" si="4"/>
        <v>254545</v>
      </c>
      <c r="R120" s="41">
        <v>275000</v>
      </c>
      <c r="S120" s="41">
        <f t="shared" si="5"/>
        <v>275000</v>
      </c>
    </row>
    <row r="121" spans="1:19">
      <c r="A121" s="18">
        <v>120</v>
      </c>
      <c r="B121" s="25" t="s">
        <v>1045</v>
      </c>
      <c r="C121" s="26" t="s">
        <v>1046</v>
      </c>
      <c r="D121" s="27" t="s">
        <v>9</v>
      </c>
      <c r="E121" s="28" t="s">
        <v>1692</v>
      </c>
      <c r="F121" s="29" t="s">
        <v>1693</v>
      </c>
      <c r="G121" s="30" t="s">
        <v>1047</v>
      </c>
      <c r="H121" s="25"/>
      <c r="I121" s="25" t="s">
        <v>1048</v>
      </c>
      <c r="J121" s="367">
        <v>45371</v>
      </c>
      <c r="K121" s="25"/>
      <c r="L121" s="30" t="s">
        <v>50</v>
      </c>
      <c r="M121" s="25" t="s">
        <v>1049</v>
      </c>
      <c r="N121" s="38">
        <v>44635</v>
      </c>
      <c r="O121" s="39">
        <v>254545</v>
      </c>
      <c r="P121" s="25">
        <v>1</v>
      </c>
      <c r="Q121" s="41">
        <f t="shared" si="4"/>
        <v>254545</v>
      </c>
      <c r="R121" s="41">
        <v>275000</v>
      </c>
      <c r="S121" s="41">
        <f t="shared" si="5"/>
        <v>275000</v>
      </c>
    </row>
    <row r="122" spans="1:19">
      <c r="A122" s="18">
        <v>121</v>
      </c>
      <c r="B122" s="25" t="s">
        <v>1050</v>
      </c>
      <c r="C122" s="26" t="s">
        <v>1046</v>
      </c>
      <c r="D122" s="27" t="s">
        <v>9</v>
      </c>
      <c r="E122" s="28" t="s">
        <v>1692</v>
      </c>
      <c r="F122" s="29" t="s">
        <v>1693</v>
      </c>
      <c r="G122" s="30" t="s">
        <v>1051</v>
      </c>
      <c r="H122" s="25"/>
      <c r="I122" s="25" t="s">
        <v>1048</v>
      </c>
      <c r="J122" s="367">
        <v>45371</v>
      </c>
      <c r="K122" s="25"/>
      <c r="L122" s="30" t="s">
        <v>50</v>
      </c>
      <c r="M122" s="25" t="s">
        <v>1052</v>
      </c>
      <c r="N122" s="38">
        <v>44635</v>
      </c>
      <c r="O122" s="39">
        <v>254545</v>
      </c>
      <c r="P122" s="25">
        <v>1</v>
      </c>
      <c r="Q122" s="41">
        <f t="shared" si="4"/>
        <v>254545</v>
      </c>
      <c r="R122" s="41">
        <v>275000</v>
      </c>
      <c r="S122" s="41">
        <f t="shared" si="5"/>
        <v>275000</v>
      </c>
    </row>
    <row r="123" spans="1:19">
      <c r="A123" s="18">
        <v>122</v>
      </c>
      <c r="B123" s="25" t="s">
        <v>1053</v>
      </c>
      <c r="C123" s="26" t="s">
        <v>1054</v>
      </c>
      <c r="D123" s="27" t="s">
        <v>6</v>
      </c>
      <c r="E123" s="28" t="s">
        <v>1694</v>
      </c>
      <c r="F123" s="31" t="s">
        <v>1695</v>
      </c>
      <c r="G123" s="30" t="s">
        <v>509</v>
      </c>
      <c r="H123" s="25"/>
      <c r="I123" s="25" t="s">
        <v>1055</v>
      </c>
      <c r="J123" s="367">
        <v>45376</v>
      </c>
      <c r="K123" s="25"/>
      <c r="L123" s="30" t="s">
        <v>50</v>
      </c>
      <c r="M123" s="25" t="s">
        <v>1056</v>
      </c>
      <c r="N123" s="38">
        <v>44637</v>
      </c>
      <c r="O123" s="39">
        <v>444545</v>
      </c>
      <c r="P123" s="25">
        <v>116</v>
      </c>
      <c r="Q123" s="41">
        <f t="shared" si="4"/>
        <v>51567220</v>
      </c>
      <c r="R123" s="41">
        <v>556363.64</v>
      </c>
      <c r="S123" s="41">
        <f t="shared" si="5"/>
        <v>64538182.240000002</v>
      </c>
    </row>
    <row r="124" spans="1:19">
      <c r="A124" s="18">
        <v>123</v>
      </c>
      <c r="B124" s="25" t="s">
        <v>1057</v>
      </c>
      <c r="C124" s="26" t="s">
        <v>1058</v>
      </c>
      <c r="D124" s="27" t="s">
        <v>9</v>
      </c>
      <c r="E124" s="28" t="s">
        <v>1692</v>
      </c>
      <c r="F124" s="29" t="s">
        <v>1693</v>
      </c>
      <c r="G124" s="30" t="s">
        <v>1059</v>
      </c>
      <c r="H124" s="25"/>
      <c r="I124" s="25" t="s">
        <v>1060</v>
      </c>
      <c r="J124" s="367">
        <v>45374</v>
      </c>
      <c r="K124" s="25"/>
      <c r="L124" s="30" t="s">
        <v>50</v>
      </c>
      <c r="M124" s="25" t="s">
        <v>1061</v>
      </c>
      <c r="N124" s="38">
        <v>44641</v>
      </c>
      <c r="O124" s="39">
        <v>254545</v>
      </c>
      <c r="P124" s="25">
        <v>7</v>
      </c>
      <c r="Q124" s="41">
        <f t="shared" si="4"/>
        <v>1781815</v>
      </c>
      <c r="R124" s="41">
        <v>275000</v>
      </c>
      <c r="S124" s="41">
        <f t="shared" si="5"/>
        <v>1925000</v>
      </c>
    </row>
    <row r="125" spans="1:19">
      <c r="A125" s="18">
        <v>124</v>
      </c>
      <c r="B125" s="25" t="s">
        <v>1062</v>
      </c>
      <c r="C125" s="26" t="s">
        <v>1058</v>
      </c>
      <c r="D125" s="27" t="s">
        <v>9</v>
      </c>
      <c r="E125" s="28" t="s">
        <v>1692</v>
      </c>
      <c r="F125" s="29" t="s">
        <v>1693</v>
      </c>
      <c r="G125" s="30" t="s">
        <v>1063</v>
      </c>
      <c r="H125" s="25"/>
      <c r="I125" s="25" t="s">
        <v>1060</v>
      </c>
      <c r="J125" s="367">
        <v>45374</v>
      </c>
      <c r="K125" s="25"/>
      <c r="L125" s="30" t="s">
        <v>50</v>
      </c>
      <c r="M125" s="25" t="s">
        <v>1064</v>
      </c>
      <c r="N125" s="38">
        <v>44641</v>
      </c>
      <c r="O125" s="39">
        <v>254545</v>
      </c>
      <c r="P125" s="25">
        <v>2</v>
      </c>
      <c r="Q125" s="41">
        <f t="shared" si="4"/>
        <v>509090</v>
      </c>
      <c r="R125" s="41">
        <v>275000</v>
      </c>
      <c r="S125" s="41">
        <f t="shared" si="5"/>
        <v>550000</v>
      </c>
    </row>
    <row r="126" spans="1:19">
      <c r="A126" s="18">
        <v>125</v>
      </c>
      <c r="B126" s="25" t="s">
        <v>1065</v>
      </c>
      <c r="C126" s="26" t="s">
        <v>1058</v>
      </c>
      <c r="D126" s="27" t="s">
        <v>9</v>
      </c>
      <c r="E126" s="28" t="s">
        <v>1692</v>
      </c>
      <c r="F126" s="29" t="s">
        <v>1693</v>
      </c>
      <c r="G126" s="30" t="s">
        <v>832</v>
      </c>
      <c r="H126" s="25"/>
      <c r="I126" s="25" t="s">
        <v>1060</v>
      </c>
      <c r="J126" s="367">
        <v>45374</v>
      </c>
      <c r="K126" s="25"/>
      <c r="L126" s="30" t="s">
        <v>50</v>
      </c>
      <c r="M126" s="25" t="s">
        <v>1066</v>
      </c>
      <c r="N126" s="38">
        <v>44641</v>
      </c>
      <c r="O126" s="39">
        <v>254545</v>
      </c>
      <c r="P126" s="25">
        <v>3</v>
      </c>
      <c r="Q126" s="41">
        <f t="shared" si="4"/>
        <v>763635</v>
      </c>
      <c r="R126" s="41">
        <v>275000</v>
      </c>
      <c r="S126" s="41">
        <f t="shared" si="5"/>
        <v>825000</v>
      </c>
    </row>
    <row r="127" spans="1:19">
      <c r="A127" s="18">
        <v>126</v>
      </c>
      <c r="B127" s="25" t="s">
        <v>1067</v>
      </c>
      <c r="C127" s="26" t="s">
        <v>1068</v>
      </c>
      <c r="D127" s="27" t="s">
        <v>9</v>
      </c>
      <c r="E127" s="28" t="s">
        <v>1692</v>
      </c>
      <c r="F127" s="29" t="s">
        <v>1693</v>
      </c>
      <c r="G127" s="30" t="s">
        <v>1069</v>
      </c>
      <c r="H127" s="25"/>
      <c r="I127" s="25" t="s">
        <v>1070</v>
      </c>
      <c r="J127" s="367">
        <v>45380</v>
      </c>
      <c r="K127" s="25"/>
      <c r="L127" s="30" t="s">
        <v>50</v>
      </c>
      <c r="M127" s="25" t="s">
        <v>1071</v>
      </c>
      <c r="N127" s="38">
        <v>44644</v>
      </c>
      <c r="O127" s="39">
        <v>254545</v>
      </c>
      <c r="P127" s="25">
        <v>1</v>
      </c>
      <c r="Q127" s="41">
        <f t="shared" si="4"/>
        <v>254545</v>
      </c>
      <c r="R127" s="41">
        <v>275000</v>
      </c>
      <c r="S127" s="41">
        <f t="shared" si="5"/>
        <v>275000</v>
      </c>
    </row>
    <row r="128" spans="1:19">
      <c r="A128" s="18">
        <v>127</v>
      </c>
      <c r="B128" s="25" t="s">
        <v>1072</v>
      </c>
      <c r="C128" s="26" t="s">
        <v>1068</v>
      </c>
      <c r="D128" s="27" t="s">
        <v>9</v>
      </c>
      <c r="E128" s="28" t="s">
        <v>1692</v>
      </c>
      <c r="F128" s="29" t="s">
        <v>1693</v>
      </c>
      <c r="G128" s="30" t="s">
        <v>1073</v>
      </c>
      <c r="H128" s="25"/>
      <c r="I128" s="25" t="s">
        <v>1070</v>
      </c>
      <c r="J128" s="367">
        <v>45380</v>
      </c>
      <c r="K128" s="25"/>
      <c r="L128" s="30" t="s">
        <v>50</v>
      </c>
      <c r="M128" s="25" t="s">
        <v>1074</v>
      </c>
      <c r="N128" s="38">
        <v>44644</v>
      </c>
      <c r="O128" s="39">
        <v>254545</v>
      </c>
      <c r="P128" s="25">
        <v>1</v>
      </c>
      <c r="Q128" s="41">
        <f t="shared" si="4"/>
        <v>254545</v>
      </c>
      <c r="R128" s="41">
        <v>275000</v>
      </c>
      <c r="S128" s="41">
        <f t="shared" si="5"/>
        <v>275000</v>
      </c>
    </row>
    <row r="129" spans="1:19">
      <c r="A129" s="18">
        <v>128</v>
      </c>
      <c r="B129" s="25" t="s">
        <v>1075</v>
      </c>
      <c r="C129" s="26" t="s">
        <v>1068</v>
      </c>
      <c r="D129" s="27" t="s">
        <v>9</v>
      </c>
      <c r="E129" s="28" t="s">
        <v>1692</v>
      </c>
      <c r="F129" s="29" t="s">
        <v>1693</v>
      </c>
      <c r="G129" s="30" t="s">
        <v>206</v>
      </c>
      <c r="H129" s="25"/>
      <c r="I129" s="25" t="s">
        <v>1070</v>
      </c>
      <c r="J129" s="367">
        <v>45380</v>
      </c>
      <c r="K129" s="25"/>
      <c r="L129" s="30" t="s">
        <v>50</v>
      </c>
      <c r="M129" s="25" t="s">
        <v>1076</v>
      </c>
      <c r="N129" s="38">
        <v>44644</v>
      </c>
      <c r="O129" s="39">
        <v>254545</v>
      </c>
      <c r="P129" s="25">
        <v>2</v>
      </c>
      <c r="Q129" s="41">
        <f t="shared" si="4"/>
        <v>509090</v>
      </c>
      <c r="R129" s="41">
        <v>275000</v>
      </c>
      <c r="S129" s="41">
        <f t="shared" si="5"/>
        <v>550000</v>
      </c>
    </row>
    <row r="130" spans="1:19">
      <c r="A130" s="18">
        <v>129</v>
      </c>
      <c r="B130" s="25" t="s">
        <v>1077</v>
      </c>
      <c r="C130" s="26" t="s">
        <v>1078</v>
      </c>
      <c r="D130" s="27" t="s">
        <v>9</v>
      </c>
      <c r="E130" s="28" t="s">
        <v>1692</v>
      </c>
      <c r="F130" s="29" t="s">
        <v>1693</v>
      </c>
      <c r="G130" s="30" t="s">
        <v>645</v>
      </c>
      <c r="H130" s="25"/>
      <c r="I130" s="25" t="s">
        <v>1079</v>
      </c>
      <c r="J130" s="367">
        <v>45381</v>
      </c>
      <c r="K130" s="25"/>
      <c r="L130" s="30" t="s">
        <v>50</v>
      </c>
      <c r="M130" s="25" t="s">
        <v>1080</v>
      </c>
      <c r="N130" s="38">
        <v>44645</v>
      </c>
      <c r="O130" s="39">
        <v>254545</v>
      </c>
      <c r="P130" s="25">
        <v>2</v>
      </c>
      <c r="Q130" s="41">
        <f t="shared" si="4"/>
        <v>509090</v>
      </c>
      <c r="R130" s="41">
        <v>275000</v>
      </c>
      <c r="S130" s="41">
        <f t="shared" si="5"/>
        <v>550000</v>
      </c>
    </row>
    <row r="131" spans="1:19">
      <c r="A131" s="18">
        <v>130</v>
      </c>
      <c r="B131" s="25" t="s">
        <v>1081</v>
      </c>
      <c r="C131" s="26" t="s">
        <v>1078</v>
      </c>
      <c r="D131" s="27" t="s">
        <v>9</v>
      </c>
      <c r="E131" s="28" t="s">
        <v>1692</v>
      </c>
      <c r="F131" s="29" t="s">
        <v>1693</v>
      </c>
      <c r="G131" s="30" t="s">
        <v>1082</v>
      </c>
      <c r="H131" s="25"/>
      <c r="I131" s="25" t="s">
        <v>1070</v>
      </c>
      <c r="J131" s="367">
        <v>45380</v>
      </c>
      <c r="K131" s="25"/>
      <c r="L131" s="30" t="s">
        <v>50</v>
      </c>
      <c r="M131" s="25" t="s">
        <v>1083</v>
      </c>
      <c r="N131" s="38">
        <v>44645</v>
      </c>
      <c r="O131" s="39">
        <v>254545</v>
      </c>
      <c r="P131" s="25">
        <v>3</v>
      </c>
      <c r="Q131" s="41">
        <f t="shared" si="4"/>
        <v>763635</v>
      </c>
      <c r="R131" s="41">
        <v>275000</v>
      </c>
      <c r="S131" s="41">
        <f t="shared" si="5"/>
        <v>825000</v>
      </c>
    </row>
    <row r="132" spans="1:19">
      <c r="A132" s="18">
        <v>131</v>
      </c>
      <c r="B132" s="25" t="s">
        <v>1084</v>
      </c>
      <c r="C132" s="26" t="s">
        <v>1078</v>
      </c>
      <c r="D132" s="27" t="s">
        <v>9</v>
      </c>
      <c r="E132" s="28" t="s">
        <v>1692</v>
      </c>
      <c r="F132" s="29" t="s">
        <v>1693</v>
      </c>
      <c r="G132" s="30" t="s">
        <v>1082</v>
      </c>
      <c r="H132" s="25"/>
      <c r="I132" s="25" t="s">
        <v>1070</v>
      </c>
      <c r="J132" s="367">
        <v>45380</v>
      </c>
      <c r="K132" s="25"/>
      <c r="L132" s="30" t="s">
        <v>50</v>
      </c>
      <c r="M132" s="25" t="s">
        <v>1085</v>
      </c>
      <c r="N132" s="38">
        <v>44645</v>
      </c>
      <c r="O132" s="39">
        <v>254545</v>
      </c>
      <c r="P132" s="25">
        <v>1</v>
      </c>
      <c r="Q132" s="41">
        <f t="shared" si="4"/>
        <v>254545</v>
      </c>
      <c r="R132" s="41">
        <v>275000</v>
      </c>
      <c r="S132" s="41">
        <f t="shared" si="5"/>
        <v>275000</v>
      </c>
    </row>
    <row r="133" spans="1:19">
      <c r="A133" s="18">
        <v>132</v>
      </c>
      <c r="B133" s="25" t="s">
        <v>1086</v>
      </c>
      <c r="C133" s="26" t="s">
        <v>1087</v>
      </c>
      <c r="D133" s="27" t="s">
        <v>9</v>
      </c>
      <c r="E133" s="28" t="s">
        <v>1692</v>
      </c>
      <c r="F133" s="29" t="s">
        <v>1693</v>
      </c>
      <c r="G133" s="30" t="s">
        <v>1003</v>
      </c>
      <c r="H133" s="25"/>
      <c r="I133" s="25" t="s">
        <v>1088</v>
      </c>
      <c r="J133" s="367">
        <v>45386</v>
      </c>
      <c r="K133" s="25"/>
      <c r="L133" s="30" t="s">
        <v>50</v>
      </c>
      <c r="M133" s="25" t="s">
        <v>1089</v>
      </c>
      <c r="N133" s="38">
        <v>44649</v>
      </c>
      <c r="O133" s="39">
        <v>254545</v>
      </c>
      <c r="P133" s="25">
        <v>5</v>
      </c>
      <c r="Q133" s="41">
        <f t="shared" si="4"/>
        <v>1272725</v>
      </c>
      <c r="R133" s="41">
        <v>275000</v>
      </c>
      <c r="S133" s="41">
        <f t="shared" si="5"/>
        <v>1375000</v>
      </c>
    </row>
    <row r="134" spans="1:19">
      <c r="A134" s="18">
        <v>133</v>
      </c>
      <c r="B134" s="25" t="s">
        <v>1090</v>
      </c>
      <c r="C134" s="26" t="s">
        <v>1087</v>
      </c>
      <c r="D134" s="27" t="s">
        <v>9</v>
      </c>
      <c r="E134" s="28" t="s">
        <v>1692</v>
      </c>
      <c r="F134" s="29" t="s">
        <v>1693</v>
      </c>
      <c r="G134" s="30" t="s">
        <v>1091</v>
      </c>
      <c r="H134" s="25"/>
      <c r="I134" s="25" t="s">
        <v>1088</v>
      </c>
      <c r="J134" s="367">
        <v>45386</v>
      </c>
      <c r="K134" s="25"/>
      <c r="L134" s="30" t="s">
        <v>50</v>
      </c>
      <c r="M134" s="25" t="s">
        <v>1092</v>
      </c>
      <c r="N134" s="38">
        <v>44649</v>
      </c>
      <c r="O134" s="39">
        <v>254545</v>
      </c>
      <c r="P134" s="25">
        <v>1</v>
      </c>
      <c r="Q134" s="41">
        <f t="shared" si="4"/>
        <v>254545</v>
      </c>
      <c r="R134" s="41">
        <v>275000</v>
      </c>
      <c r="S134" s="41">
        <f t="shared" si="5"/>
        <v>275000</v>
      </c>
    </row>
    <row r="135" spans="1:19">
      <c r="A135" s="18">
        <v>134</v>
      </c>
      <c r="B135" s="25" t="s">
        <v>1093</v>
      </c>
      <c r="C135" s="26" t="s">
        <v>1087</v>
      </c>
      <c r="D135" s="27" t="s">
        <v>9</v>
      </c>
      <c r="E135" s="28" t="s">
        <v>1692</v>
      </c>
      <c r="F135" s="29" t="s">
        <v>1693</v>
      </c>
      <c r="G135" s="30" t="s">
        <v>1094</v>
      </c>
      <c r="H135" s="25"/>
      <c r="I135" s="25" t="s">
        <v>1088</v>
      </c>
      <c r="J135" s="367">
        <v>45386</v>
      </c>
      <c r="K135" s="25"/>
      <c r="L135" s="30" t="s">
        <v>50</v>
      </c>
      <c r="M135" s="25" t="s">
        <v>1095</v>
      </c>
      <c r="N135" s="38">
        <v>44649</v>
      </c>
      <c r="O135" s="39">
        <v>254545</v>
      </c>
      <c r="P135" s="25">
        <v>1</v>
      </c>
      <c r="Q135" s="41">
        <f t="shared" si="4"/>
        <v>254545</v>
      </c>
      <c r="R135" s="41">
        <v>275000</v>
      </c>
      <c r="S135" s="41">
        <f t="shared" si="5"/>
        <v>275000</v>
      </c>
    </row>
    <row r="136" spans="1:19">
      <c r="A136" s="18">
        <v>135</v>
      </c>
      <c r="B136" s="25" t="s">
        <v>1096</v>
      </c>
      <c r="C136" s="26" t="s">
        <v>1087</v>
      </c>
      <c r="D136" s="27" t="s">
        <v>9</v>
      </c>
      <c r="E136" s="28" t="s">
        <v>1692</v>
      </c>
      <c r="F136" s="29" t="s">
        <v>1693</v>
      </c>
      <c r="G136" s="30" t="s">
        <v>1091</v>
      </c>
      <c r="H136" s="25"/>
      <c r="I136" s="25" t="s">
        <v>1088</v>
      </c>
      <c r="J136" s="367">
        <v>45386</v>
      </c>
      <c r="K136" s="25"/>
      <c r="L136" s="30" t="s">
        <v>50</v>
      </c>
      <c r="M136" s="25" t="s">
        <v>1097</v>
      </c>
      <c r="N136" s="38">
        <v>44649</v>
      </c>
      <c r="O136" s="39">
        <v>254545</v>
      </c>
      <c r="P136" s="25">
        <v>1</v>
      </c>
      <c r="Q136" s="41">
        <f t="shared" si="4"/>
        <v>254545</v>
      </c>
      <c r="R136" s="41">
        <v>275000</v>
      </c>
      <c r="S136" s="41">
        <f t="shared" si="5"/>
        <v>275000</v>
      </c>
    </row>
    <row r="137" spans="1:19">
      <c r="A137" s="18">
        <v>136</v>
      </c>
      <c r="B137" s="25" t="s">
        <v>1098</v>
      </c>
      <c r="C137" s="26" t="s">
        <v>1087</v>
      </c>
      <c r="D137" s="27" t="s">
        <v>9</v>
      </c>
      <c r="E137" s="28" t="s">
        <v>1692</v>
      </c>
      <c r="F137" s="29" t="s">
        <v>1693</v>
      </c>
      <c r="G137" s="30" t="s">
        <v>1094</v>
      </c>
      <c r="H137" s="25"/>
      <c r="I137" s="25" t="s">
        <v>1088</v>
      </c>
      <c r="J137" s="367">
        <v>45386</v>
      </c>
      <c r="K137" s="25"/>
      <c r="L137" s="30" t="s">
        <v>50</v>
      </c>
      <c r="M137" s="25" t="s">
        <v>1099</v>
      </c>
      <c r="N137" s="38">
        <v>44649</v>
      </c>
      <c r="O137" s="39">
        <v>254545</v>
      </c>
      <c r="P137" s="25">
        <v>2</v>
      </c>
      <c r="Q137" s="41">
        <f t="shared" si="4"/>
        <v>509090</v>
      </c>
      <c r="R137" s="41">
        <v>275000</v>
      </c>
      <c r="S137" s="41">
        <f t="shared" si="5"/>
        <v>550000</v>
      </c>
    </row>
    <row r="138" spans="1:19">
      <c r="A138" s="18">
        <v>137</v>
      </c>
      <c r="B138" s="25" t="s">
        <v>1100</v>
      </c>
      <c r="C138" s="26" t="s">
        <v>1087</v>
      </c>
      <c r="D138" s="27" t="s">
        <v>9</v>
      </c>
      <c r="E138" s="28" t="s">
        <v>1692</v>
      </c>
      <c r="F138" s="29" t="s">
        <v>1693</v>
      </c>
      <c r="G138" s="30" t="s">
        <v>1101</v>
      </c>
      <c r="H138" s="25"/>
      <c r="I138" s="25" t="s">
        <v>1088</v>
      </c>
      <c r="J138" s="367">
        <v>45386</v>
      </c>
      <c r="K138" s="25"/>
      <c r="L138" s="30" t="s">
        <v>50</v>
      </c>
      <c r="M138" s="25" t="s">
        <v>1102</v>
      </c>
      <c r="N138" s="38">
        <v>44649</v>
      </c>
      <c r="O138" s="39">
        <v>254545</v>
      </c>
      <c r="P138" s="25">
        <v>1</v>
      </c>
      <c r="Q138" s="41">
        <f t="shared" si="4"/>
        <v>254545</v>
      </c>
      <c r="R138" s="41">
        <v>275000</v>
      </c>
      <c r="S138" s="41">
        <f t="shared" si="5"/>
        <v>275000</v>
      </c>
    </row>
    <row r="139" spans="1:19">
      <c r="A139" s="18">
        <v>138</v>
      </c>
      <c r="B139" s="25" t="s">
        <v>1103</v>
      </c>
      <c r="C139" s="26" t="s">
        <v>1087</v>
      </c>
      <c r="D139" s="27" t="s">
        <v>9</v>
      </c>
      <c r="E139" s="28" t="s">
        <v>1692</v>
      </c>
      <c r="F139" s="29" t="s">
        <v>1693</v>
      </c>
      <c r="G139" s="30" t="s">
        <v>1104</v>
      </c>
      <c r="H139" s="25"/>
      <c r="I139" s="25" t="s">
        <v>1088</v>
      </c>
      <c r="J139" s="367">
        <v>45386</v>
      </c>
      <c r="K139" s="25"/>
      <c r="L139" s="30" t="s">
        <v>50</v>
      </c>
      <c r="M139" s="25" t="s">
        <v>1105</v>
      </c>
      <c r="N139" s="38">
        <v>44649</v>
      </c>
      <c r="O139" s="39">
        <v>254545</v>
      </c>
      <c r="P139" s="25">
        <v>6</v>
      </c>
      <c r="Q139" s="41">
        <f t="shared" si="4"/>
        <v>1527270</v>
      </c>
      <c r="R139" s="41">
        <v>275000</v>
      </c>
      <c r="S139" s="41">
        <f t="shared" si="5"/>
        <v>1650000</v>
      </c>
    </row>
    <row r="140" spans="1:19">
      <c r="A140" s="18">
        <v>139</v>
      </c>
      <c r="B140" s="25" t="s">
        <v>1106</v>
      </c>
      <c r="C140" s="26" t="s">
        <v>1087</v>
      </c>
      <c r="D140" s="27" t="s">
        <v>9</v>
      </c>
      <c r="E140" s="28" t="s">
        <v>1692</v>
      </c>
      <c r="F140" s="29" t="s">
        <v>1693</v>
      </c>
      <c r="G140" s="30" t="s">
        <v>1107</v>
      </c>
      <c r="H140" s="25"/>
      <c r="I140" s="25" t="s">
        <v>1088</v>
      </c>
      <c r="J140" s="367">
        <v>45386</v>
      </c>
      <c r="K140" s="25"/>
      <c r="L140" s="30" t="s">
        <v>50</v>
      </c>
      <c r="M140" s="25" t="s">
        <v>1108</v>
      </c>
      <c r="N140" s="38">
        <v>44649</v>
      </c>
      <c r="O140" s="39">
        <v>254545</v>
      </c>
      <c r="P140" s="25">
        <v>1</v>
      </c>
      <c r="Q140" s="41">
        <f t="shared" si="4"/>
        <v>254545</v>
      </c>
      <c r="R140" s="41">
        <v>275000</v>
      </c>
      <c r="S140" s="41">
        <f t="shared" si="5"/>
        <v>275000</v>
      </c>
    </row>
    <row r="141" spans="1:19">
      <c r="A141" s="18">
        <v>140</v>
      </c>
      <c r="B141" s="25" t="s">
        <v>1109</v>
      </c>
      <c r="C141" s="26" t="s">
        <v>1087</v>
      </c>
      <c r="D141" s="27" t="s">
        <v>9</v>
      </c>
      <c r="E141" s="28" t="s">
        <v>1692</v>
      </c>
      <c r="F141" s="29" t="s">
        <v>1693</v>
      </c>
      <c r="G141" s="30" t="s">
        <v>1110</v>
      </c>
      <c r="H141" s="25"/>
      <c r="I141" s="25" t="s">
        <v>1088</v>
      </c>
      <c r="J141" s="367">
        <v>45386</v>
      </c>
      <c r="K141" s="25"/>
      <c r="L141" s="30" t="s">
        <v>50</v>
      </c>
      <c r="M141" s="25" t="s">
        <v>1111</v>
      </c>
      <c r="N141" s="38">
        <v>44649</v>
      </c>
      <c r="O141" s="39">
        <v>254545</v>
      </c>
      <c r="P141" s="25">
        <v>1</v>
      </c>
      <c r="Q141" s="41">
        <f t="shared" si="4"/>
        <v>254545</v>
      </c>
      <c r="R141" s="41">
        <v>275000</v>
      </c>
      <c r="S141" s="41">
        <f t="shared" si="5"/>
        <v>275000</v>
      </c>
    </row>
    <row r="142" spans="1:19">
      <c r="A142" s="18">
        <v>141</v>
      </c>
      <c r="B142" s="25" t="s">
        <v>1112</v>
      </c>
      <c r="C142" s="26" t="s">
        <v>1113</v>
      </c>
      <c r="D142" s="27" t="s">
        <v>9</v>
      </c>
      <c r="E142" s="28" t="s">
        <v>1692</v>
      </c>
      <c r="F142" s="29" t="s">
        <v>1693</v>
      </c>
      <c r="G142" s="30" t="s">
        <v>222</v>
      </c>
      <c r="H142" s="25"/>
      <c r="I142" s="25" t="s">
        <v>1114</v>
      </c>
      <c r="J142" s="367">
        <v>45387</v>
      </c>
      <c r="K142" s="25"/>
      <c r="L142" s="30" t="s">
        <v>50</v>
      </c>
      <c r="M142" s="25" t="s">
        <v>1115</v>
      </c>
      <c r="N142" s="38">
        <v>44651</v>
      </c>
      <c r="O142" s="39">
        <v>254545</v>
      </c>
      <c r="P142" s="25">
        <v>1</v>
      </c>
      <c r="Q142" s="41">
        <f t="shared" si="4"/>
        <v>254545</v>
      </c>
      <c r="R142" s="41">
        <v>275000</v>
      </c>
      <c r="S142" s="41">
        <f t="shared" si="5"/>
        <v>275000</v>
      </c>
    </row>
    <row r="143" spans="1:19">
      <c r="A143" s="18">
        <v>142</v>
      </c>
      <c r="B143" s="25" t="s">
        <v>1116</v>
      </c>
      <c r="C143" s="26" t="s">
        <v>1113</v>
      </c>
      <c r="D143" s="27" t="s">
        <v>9</v>
      </c>
      <c r="E143" s="28" t="s">
        <v>1692</v>
      </c>
      <c r="F143" s="29" t="s">
        <v>1693</v>
      </c>
      <c r="G143" s="30" t="s">
        <v>1117</v>
      </c>
      <c r="H143" s="25"/>
      <c r="I143" s="25" t="s">
        <v>1114</v>
      </c>
      <c r="J143" s="367">
        <v>45387</v>
      </c>
      <c r="K143" s="25"/>
      <c r="L143" s="30" t="s">
        <v>50</v>
      </c>
      <c r="M143" s="25" t="s">
        <v>1118</v>
      </c>
      <c r="N143" s="38">
        <v>44651</v>
      </c>
      <c r="O143" s="39">
        <v>254545</v>
      </c>
      <c r="P143" s="25">
        <v>2</v>
      </c>
      <c r="Q143" s="41">
        <f t="shared" si="4"/>
        <v>509090</v>
      </c>
      <c r="R143" s="41">
        <v>275000</v>
      </c>
      <c r="S143" s="41">
        <f t="shared" si="5"/>
        <v>550000</v>
      </c>
    </row>
    <row r="144" spans="1:19">
      <c r="A144" s="18">
        <v>143</v>
      </c>
      <c r="B144" s="19" t="s">
        <v>1119</v>
      </c>
      <c r="C144" s="20" t="s">
        <v>1120</v>
      </c>
      <c r="D144" s="21" t="s">
        <v>9</v>
      </c>
      <c r="E144" s="22" t="s">
        <v>1692</v>
      </c>
      <c r="F144" s="23" t="s">
        <v>1693</v>
      </c>
      <c r="G144" s="24" t="s">
        <v>1121</v>
      </c>
      <c r="H144" s="19"/>
      <c r="I144" s="19" t="s">
        <v>1114</v>
      </c>
      <c r="J144" s="367">
        <v>45387</v>
      </c>
      <c r="K144" s="19"/>
      <c r="L144" s="24" t="s">
        <v>50</v>
      </c>
      <c r="M144" s="19" t="s">
        <v>1122</v>
      </c>
      <c r="N144" s="36">
        <v>44652</v>
      </c>
      <c r="O144" s="37">
        <v>254545</v>
      </c>
      <c r="P144" s="19">
        <v>2</v>
      </c>
      <c r="Q144" s="40">
        <f t="shared" si="4"/>
        <v>509090</v>
      </c>
      <c r="R144" s="40">
        <v>275000</v>
      </c>
      <c r="S144" s="40">
        <f t="shared" si="5"/>
        <v>550000</v>
      </c>
    </row>
    <row r="145" spans="1:19">
      <c r="A145" s="18">
        <v>144</v>
      </c>
      <c r="B145" s="19" t="s">
        <v>1123</v>
      </c>
      <c r="C145" s="20" t="s">
        <v>1120</v>
      </c>
      <c r="D145" s="21" t="s">
        <v>9</v>
      </c>
      <c r="E145" s="22" t="s">
        <v>1692</v>
      </c>
      <c r="F145" s="23" t="s">
        <v>1693</v>
      </c>
      <c r="G145" s="24" t="s">
        <v>1124</v>
      </c>
      <c r="H145" s="19"/>
      <c r="I145" s="19" t="s">
        <v>1114</v>
      </c>
      <c r="J145" s="367">
        <v>45387</v>
      </c>
      <c r="K145" s="19"/>
      <c r="L145" s="24" t="s">
        <v>50</v>
      </c>
      <c r="M145" s="19" t="s">
        <v>1125</v>
      </c>
      <c r="N145" s="36">
        <v>44652</v>
      </c>
      <c r="O145" s="37">
        <v>254545</v>
      </c>
      <c r="P145" s="19">
        <v>9</v>
      </c>
      <c r="Q145" s="40">
        <f t="shared" si="4"/>
        <v>2290905</v>
      </c>
      <c r="R145" s="40">
        <v>275000</v>
      </c>
      <c r="S145" s="40">
        <f t="shared" si="5"/>
        <v>2475000</v>
      </c>
    </row>
    <row r="146" spans="1:19">
      <c r="A146" s="18">
        <v>145</v>
      </c>
      <c r="B146" s="19" t="s">
        <v>1126</v>
      </c>
      <c r="C146" s="20" t="s">
        <v>1120</v>
      </c>
      <c r="D146" s="21" t="s">
        <v>9</v>
      </c>
      <c r="E146" s="22" t="s">
        <v>1692</v>
      </c>
      <c r="F146" s="23" t="s">
        <v>1693</v>
      </c>
      <c r="G146" s="24" t="s">
        <v>1127</v>
      </c>
      <c r="H146" s="19"/>
      <c r="I146" s="19" t="s">
        <v>1114</v>
      </c>
      <c r="J146" s="367">
        <v>45387</v>
      </c>
      <c r="K146" s="19"/>
      <c r="L146" s="24" t="s">
        <v>50</v>
      </c>
      <c r="M146" s="19" t="s">
        <v>1128</v>
      </c>
      <c r="N146" s="36">
        <v>44652</v>
      </c>
      <c r="O146" s="37">
        <v>254545</v>
      </c>
      <c r="P146" s="19">
        <v>3</v>
      </c>
      <c r="Q146" s="40">
        <f t="shared" si="4"/>
        <v>763635</v>
      </c>
      <c r="R146" s="40">
        <v>275000</v>
      </c>
      <c r="S146" s="40">
        <f t="shared" si="5"/>
        <v>825000</v>
      </c>
    </row>
    <row r="147" spans="1:19">
      <c r="A147" s="18">
        <v>146</v>
      </c>
      <c r="B147" s="19" t="s">
        <v>1129</v>
      </c>
      <c r="C147" s="20" t="s">
        <v>1120</v>
      </c>
      <c r="D147" s="21" t="s">
        <v>9</v>
      </c>
      <c r="E147" s="22" t="s">
        <v>1692</v>
      </c>
      <c r="F147" s="23" t="s">
        <v>1693</v>
      </c>
      <c r="G147" s="24" t="s">
        <v>1130</v>
      </c>
      <c r="H147" s="19"/>
      <c r="I147" s="19" t="s">
        <v>1114</v>
      </c>
      <c r="J147" s="367">
        <v>45387</v>
      </c>
      <c r="K147" s="19"/>
      <c r="L147" s="24" t="s">
        <v>50</v>
      </c>
      <c r="M147" s="19" t="s">
        <v>1131</v>
      </c>
      <c r="N147" s="36">
        <v>44652</v>
      </c>
      <c r="O147" s="37">
        <v>254545</v>
      </c>
      <c r="P147" s="19">
        <v>2</v>
      </c>
      <c r="Q147" s="40">
        <f t="shared" si="4"/>
        <v>509090</v>
      </c>
      <c r="R147" s="40">
        <v>275000</v>
      </c>
      <c r="S147" s="40">
        <f t="shared" si="5"/>
        <v>550000</v>
      </c>
    </row>
    <row r="148" spans="1:19">
      <c r="A148" s="18">
        <v>147</v>
      </c>
      <c r="B148" s="19" t="s">
        <v>1132</v>
      </c>
      <c r="C148" s="20" t="s">
        <v>1120</v>
      </c>
      <c r="D148" s="21" t="s">
        <v>9</v>
      </c>
      <c r="E148" s="22" t="s">
        <v>1692</v>
      </c>
      <c r="F148" s="23" t="s">
        <v>1693</v>
      </c>
      <c r="G148" s="24" t="s">
        <v>1133</v>
      </c>
      <c r="H148" s="19"/>
      <c r="I148" s="19" t="s">
        <v>1114</v>
      </c>
      <c r="J148" s="367">
        <v>45387</v>
      </c>
      <c r="K148" s="19"/>
      <c r="L148" s="24" t="s">
        <v>50</v>
      </c>
      <c r="M148" s="19" t="s">
        <v>1134</v>
      </c>
      <c r="N148" s="36">
        <v>44652</v>
      </c>
      <c r="O148" s="37">
        <v>254545</v>
      </c>
      <c r="P148" s="19">
        <v>4</v>
      </c>
      <c r="Q148" s="40">
        <f t="shared" si="4"/>
        <v>1018180</v>
      </c>
      <c r="R148" s="40">
        <v>275000</v>
      </c>
      <c r="S148" s="40">
        <f t="shared" si="5"/>
        <v>1100000</v>
      </c>
    </row>
    <row r="149" spans="1:19">
      <c r="A149" s="18">
        <v>148</v>
      </c>
      <c r="B149" s="19" t="s">
        <v>1135</v>
      </c>
      <c r="C149" s="20" t="s">
        <v>1120</v>
      </c>
      <c r="D149" s="21" t="s">
        <v>9</v>
      </c>
      <c r="E149" s="22" t="s">
        <v>1692</v>
      </c>
      <c r="F149" s="23" t="s">
        <v>1693</v>
      </c>
      <c r="G149" s="24" t="s">
        <v>1136</v>
      </c>
      <c r="H149" s="19"/>
      <c r="I149" s="19" t="s">
        <v>1114</v>
      </c>
      <c r="J149" s="367">
        <v>45387</v>
      </c>
      <c r="K149" s="19"/>
      <c r="L149" s="24" t="s">
        <v>50</v>
      </c>
      <c r="M149" s="19" t="s">
        <v>1137</v>
      </c>
      <c r="N149" s="36">
        <v>44652</v>
      </c>
      <c r="O149" s="37">
        <v>254545</v>
      </c>
      <c r="P149" s="19">
        <v>4</v>
      </c>
      <c r="Q149" s="40">
        <f t="shared" si="4"/>
        <v>1018180</v>
      </c>
      <c r="R149" s="40">
        <v>275000</v>
      </c>
      <c r="S149" s="40">
        <f t="shared" si="5"/>
        <v>1100000</v>
      </c>
    </row>
    <row r="150" spans="1:19">
      <c r="A150" s="18">
        <v>149</v>
      </c>
      <c r="B150" s="19" t="s">
        <v>1138</v>
      </c>
      <c r="C150" s="20" t="s">
        <v>1139</v>
      </c>
      <c r="D150" s="21" t="s">
        <v>9</v>
      </c>
      <c r="E150" s="22" t="s">
        <v>1692</v>
      </c>
      <c r="F150" s="23" t="s">
        <v>1693</v>
      </c>
      <c r="G150" s="24" t="s">
        <v>1140</v>
      </c>
      <c r="H150" s="19"/>
      <c r="I150" s="19" t="s">
        <v>1141</v>
      </c>
      <c r="J150" s="367">
        <v>45392</v>
      </c>
      <c r="K150" s="19"/>
      <c r="L150" s="24" t="s">
        <v>50</v>
      </c>
      <c r="M150" s="19" t="s">
        <v>1142</v>
      </c>
      <c r="N150" s="36">
        <v>44657</v>
      </c>
      <c r="O150" s="37">
        <v>254545</v>
      </c>
      <c r="P150" s="19">
        <v>4</v>
      </c>
      <c r="Q150" s="40">
        <f t="shared" si="4"/>
        <v>1018180</v>
      </c>
      <c r="R150" s="40">
        <v>275000</v>
      </c>
      <c r="S150" s="40">
        <f t="shared" si="5"/>
        <v>1100000</v>
      </c>
    </row>
    <row r="151" spans="1:19">
      <c r="A151" s="18">
        <v>150</v>
      </c>
      <c r="B151" s="19" t="s">
        <v>1143</v>
      </c>
      <c r="C151" s="20" t="s">
        <v>1139</v>
      </c>
      <c r="D151" s="21" t="s">
        <v>9</v>
      </c>
      <c r="E151" s="22" t="s">
        <v>1692</v>
      </c>
      <c r="F151" s="23" t="s">
        <v>1693</v>
      </c>
      <c r="G151" s="24" t="s">
        <v>1144</v>
      </c>
      <c r="H151" s="19"/>
      <c r="I151" s="19" t="s">
        <v>1141</v>
      </c>
      <c r="J151" s="367">
        <v>45392</v>
      </c>
      <c r="K151" s="19"/>
      <c r="L151" s="24" t="s">
        <v>50</v>
      </c>
      <c r="M151" s="19" t="s">
        <v>1145</v>
      </c>
      <c r="N151" s="36">
        <v>44657</v>
      </c>
      <c r="O151" s="37">
        <v>254545</v>
      </c>
      <c r="P151" s="19">
        <v>2</v>
      </c>
      <c r="Q151" s="40">
        <f t="shared" si="4"/>
        <v>509090</v>
      </c>
      <c r="R151" s="40">
        <v>275000</v>
      </c>
      <c r="S151" s="40">
        <f t="shared" si="5"/>
        <v>550000</v>
      </c>
    </row>
    <row r="152" spans="1:19">
      <c r="A152" s="18">
        <v>151</v>
      </c>
      <c r="B152" s="19" t="s">
        <v>1146</v>
      </c>
      <c r="C152" s="20" t="s">
        <v>1139</v>
      </c>
      <c r="D152" s="21" t="s">
        <v>9</v>
      </c>
      <c r="E152" s="22" t="s">
        <v>1692</v>
      </c>
      <c r="F152" s="23" t="s">
        <v>1693</v>
      </c>
      <c r="G152" s="24" t="s">
        <v>1147</v>
      </c>
      <c r="H152" s="19"/>
      <c r="I152" s="19" t="s">
        <v>1141</v>
      </c>
      <c r="J152" s="367">
        <v>45392</v>
      </c>
      <c r="K152" s="19"/>
      <c r="L152" s="24" t="s">
        <v>50</v>
      </c>
      <c r="M152" s="19" t="s">
        <v>1148</v>
      </c>
      <c r="N152" s="36">
        <v>44657</v>
      </c>
      <c r="O152" s="37">
        <v>254545</v>
      </c>
      <c r="P152" s="19">
        <v>12</v>
      </c>
      <c r="Q152" s="40">
        <f t="shared" si="4"/>
        <v>3054540</v>
      </c>
      <c r="R152" s="40">
        <v>275000</v>
      </c>
      <c r="S152" s="40">
        <f t="shared" si="5"/>
        <v>3300000</v>
      </c>
    </row>
    <row r="153" spans="1:19">
      <c r="A153" s="18">
        <v>152</v>
      </c>
      <c r="B153" s="19" t="s">
        <v>1149</v>
      </c>
      <c r="C153" s="20" t="s">
        <v>1139</v>
      </c>
      <c r="D153" s="21" t="s">
        <v>9</v>
      </c>
      <c r="E153" s="22" t="s">
        <v>1692</v>
      </c>
      <c r="F153" s="23" t="s">
        <v>1693</v>
      </c>
      <c r="G153" s="24" t="s">
        <v>1150</v>
      </c>
      <c r="H153" s="19"/>
      <c r="I153" s="19" t="s">
        <v>1141</v>
      </c>
      <c r="J153" s="367">
        <v>45392</v>
      </c>
      <c r="K153" s="19"/>
      <c r="L153" s="24" t="s">
        <v>50</v>
      </c>
      <c r="M153" s="19" t="s">
        <v>1151</v>
      </c>
      <c r="N153" s="36">
        <v>44657</v>
      </c>
      <c r="O153" s="37">
        <v>254545</v>
      </c>
      <c r="P153" s="19">
        <v>3</v>
      </c>
      <c r="Q153" s="40">
        <f t="shared" si="4"/>
        <v>763635</v>
      </c>
      <c r="R153" s="40">
        <v>275000</v>
      </c>
      <c r="S153" s="40">
        <f t="shared" si="5"/>
        <v>825000</v>
      </c>
    </row>
    <row r="154" spans="1:19">
      <c r="A154" s="18">
        <v>153</v>
      </c>
      <c r="B154" s="19" t="s">
        <v>1152</v>
      </c>
      <c r="C154" s="20" t="s">
        <v>1139</v>
      </c>
      <c r="D154" s="21" t="s">
        <v>9</v>
      </c>
      <c r="E154" s="22" t="s">
        <v>1692</v>
      </c>
      <c r="F154" s="23" t="s">
        <v>1693</v>
      </c>
      <c r="G154" s="24" t="s">
        <v>1153</v>
      </c>
      <c r="H154" s="19"/>
      <c r="I154" s="19" t="s">
        <v>1141</v>
      </c>
      <c r="J154" s="367">
        <v>45392</v>
      </c>
      <c r="K154" s="19"/>
      <c r="L154" s="24" t="s">
        <v>50</v>
      </c>
      <c r="M154" s="19" t="s">
        <v>1154</v>
      </c>
      <c r="N154" s="36">
        <v>44657</v>
      </c>
      <c r="O154" s="37">
        <v>254545</v>
      </c>
      <c r="P154" s="19">
        <v>8</v>
      </c>
      <c r="Q154" s="40">
        <f t="shared" si="4"/>
        <v>2036360</v>
      </c>
      <c r="R154" s="40">
        <v>275000</v>
      </c>
      <c r="S154" s="40">
        <f t="shared" si="5"/>
        <v>2200000</v>
      </c>
    </row>
    <row r="155" spans="1:19">
      <c r="A155" s="18">
        <v>154</v>
      </c>
      <c r="B155" s="19" t="s">
        <v>1155</v>
      </c>
      <c r="C155" s="20" t="s">
        <v>1139</v>
      </c>
      <c r="D155" s="21" t="s">
        <v>9</v>
      </c>
      <c r="E155" s="22" t="s">
        <v>1692</v>
      </c>
      <c r="F155" s="23" t="s">
        <v>1693</v>
      </c>
      <c r="G155" s="24" t="s">
        <v>1156</v>
      </c>
      <c r="H155" s="19"/>
      <c r="I155" s="19" t="s">
        <v>1141</v>
      </c>
      <c r="J155" s="367">
        <v>45392</v>
      </c>
      <c r="K155" s="19"/>
      <c r="L155" s="24" t="s">
        <v>50</v>
      </c>
      <c r="M155" s="19" t="s">
        <v>1157</v>
      </c>
      <c r="N155" s="36">
        <v>44657</v>
      </c>
      <c r="O155" s="37">
        <v>254545</v>
      </c>
      <c r="P155" s="19">
        <v>1</v>
      </c>
      <c r="Q155" s="40">
        <f t="shared" si="4"/>
        <v>254545</v>
      </c>
      <c r="R155" s="40">
        <v>275000</v>
      </c>
      <c r="S155" s="40">
        <f t="shared" si="5"/>
        <v>275000</v>
      </c>
    </row>
    <row r="156" spans="1:19">
      <c r="A156" s="18">
        <v>155</v>
      </c>
      <c r="B156" s="19" t="s">
        <v>1158</v>
      </c>
      <c r="C156" s="20" t="s">
        <v>1139</v>
      </c>
      <c r="D156" s="21" t="s">
        <v>9</v>
      </c>
      <c r="E156" s="22" t="s">
        <v>1692</v>
      </c>
      <c r="F156" s="23" t="s">
        <v>1693</v>
      </c>
      <c r="G156" s="24" t="s">
        <v>1159</v>
      </c>
      <c r="H156" s="19"/>
      <c r="I156" s="19" t="s">
        <v>1141</v>
      </c>
      <c r="J156" s="367">
        <v>45392</v>
      </c>
      <c r="K156" s="19"/>
      <c r="L156" s="24" t="s">
        <v>50</v>
      </c>
      <c r="M156" s="19" t="s">
        <v>1160</v>
      </c>
      <c r="N156" s="36">
        <v>44657</v>
      </c>
      <c r="O156" s="37">
        <v>254545</v>
      </c>
      <c r="P156" s="19">
        <v>1</v>
      </c>
      <c r="Q156" s="40">
        <f t="shared" si="4"/>
        <v>254545</v>
      </c>
      <c r="R156" s="40">
        <v>275000</v>
      </c>
      <c r="S156" s="40">
        <f t="shared" si="5"/>
        <v>275000</v>
      </c>
    </row>
    <row r="157" spans="1:19">
      <c r="A157" s="18">
        <v>156</v>
      </c>
      <c r="B157" s="19" t="s">
        <v>1161</v>
      </c>
      <c r="C157" s="20" t="s">
        <v>1139</v>
      </c>
      <c r="D157" s="21" t="s">
        <v>9</v>
      </c>
      <c r="E157" s="22" t="s">
        <v>1692</v>
      </c>
      <c r="F157" s="23" t="s">
        <v>1693</v>
      </c>
      <c r="G157" s="24" t="s">
        <v>1162</v>
      </c>
      <c r="H157" s="19"/>
      <c r="I157" s="19" t="s">
        <v>1141</v>
      </c>
      <c r="J157" s="367">
        <v>45392</v>
      </c>
      <c r="K157" s="19"/>
      <c r="L157" s="24" t="s">
        <v>50</v>
      </c>
      <c r="M157" s="19" t="s">
        <v>1163</v>
      </c>
      <c r="N157" s="36">
        <v>44657</v>
      </c>
      <c r="O157" s="37">
        <v>254545</v>
      </c>
      <c r="P157" s="19">
        <v>1</v>
      </c>
      <c r="Q157" s="40">
        <f t="shared" si="4"/>
        <v>254545</v>
      </c>
      <c r="R157" s="40">
        <v>275000</v>
      </c>
      <c r="S157" s="40">
        <f t="shared" si="5"/>
        <v>275000</v>
      </c>
    </row>
    <row r="158" spans="1:19">
      <c r="A158" s="18">
        <v>157</v>
      </c>
      <c r="B158" s="19" t="s">
        <v>1164</v>
      </c>
      <c r="C158" s="20" t="s">
        <v>1165</v>
      </c>
      <c r="D158" s="21" t="s">
        <v>11</v>
      </c>
      <c r="E158" s="22" t="s">
        <v>1696</v>
      </c>
      <c r="F158" s="32" t="s">
        <v>1697</v>
      </c>
      <c r="G158" s="24" t="s">
        <v>733</v>
      </c>
      <c r="H158" s="19"/>
      <c r="I158" s="19" t="s">
        <v>1166</v>
      </c>
      <c r="J158" s="367">
        <v>45388</v>
      </c>
      <c r="K158" s="19"/>
      <c r="L158" s="24" t="s">
        <v>85</v>
      </c>
      <c r="M158" s="19" t="s">
        <v>1167</v>
      </c>
      <c r="N158" s="36">
        <v>44657</v>
      </c>
      <c r="O158" s="37">
        <v>222727</v>
      </c>
      <c r="P158" s="19">
        <v>5</v>
      </c>
      <c r="Q158" s="40">
        <f t="shared" si="4"/>
        <v>1113635</v>
      </c>
      <c r="R158" s="40">
        <v>279091</v>
      </c>
      <c r="S158" s="40">
        <f t="shared" si="5"/>
        <v>1395455</v>
      </c>
    </row>
    <row r="159" spans="1:19">
      <c r="A159" s="18">
        <v>158</v>
      </c>
      <c r="B159" s="19" t="s">
        <v>1168</v>
      </c>
      <c r="C159" s="20" t="s">
        <v>1169</v>
      </c>
      <c r="D159" s="21" t="s">
        <v>9</v>
      </c>
      <c r="E159" s="22" t="s">
        <v>1692</v>
      </c>
      <c r="F159" s="23" t="s">
        <v>1693</v>
      </c>
      <c r="G159" s="24" t="s">
        <v>1170</v>
      </c>
      <c r="H159" s="19"/>
      <c r="I159" s="19" t="s">
        <v>801</v>
      </c>
      <c r="J159" s="367">
        <v>45394</v>
      </c>
      <c r="K159" s="19"/>
      <c r="L159" s="24" t="s">
        <v>50</v>
      </c>
      <c r="M159" s="19" t="s">
        <v>1171</v>
      </c>
      <c r="N159" s="36">
        <v>44659</v>
      </c>
      <c r="O159" s="37">
        <v>254545</v>
      </c>
      <c r="P159" s="19">
        <v>4</v>
      </c>
      <c r="Q159" s="40">
        <f t="shared" si="4"/>
        <v>1018180</v>
      </c>
      <c r="R159" s="40">
        <v>275000</v>
      </c>
      <c r="S159" s="40">
        <f t="shared" si="5"/>
        <v>1100000</v>
      </c>
    </row>
    <row r="160" spans="1:19">
      <c r="A160" s="18">
        <v>159</v>
      </c>
      <c r="B160" s="19" t="s">
        <v>1172</v>
      </c>
      <c r="C160" s="20" t="s">
        <v>1169</v>
      </c>
      <c r="D160" s="21" t="s">
        <v>9</v>
      </c>
      <c r="E160" s="22" t="s">
        <v>1692</v>
      </c>
      <c r="F160" s="23" t="s">
        <v>1693</v>
      </c>
      <c r="G160" s="24" t="s">
        <v>1173</v>
      </c>
      <c r="H160" s="19"/>
      <c r="I160" s="19" t="s">
        <v>801</v>
      </c>
      <c r="J160" s="367">
        <v>45394</v>
      </c>
      <c r="K160" s="19"/>
      <c r="L160" s="24" t="s">
        <v>50</v>
      </c>
      <c r="M160" s="19" t="s">
        <v>1174</v>
      </c>
      <c r="N160" s="36">
        <v>44659</v>
      </c>
      <c r="O160" s="37">
        <v>254545</v>
      </c>
      <c r="P160" s="19">
        <v>4</v>
      </c>
      <c r="Q160" s="40">
        <f t="shared" si="4"/>
        <v>1018180</v>
      </c>
      <c r="R160" s="40">
        <v>275000</v>
      </c>
      <c r="S160" s="40">
        <f t="shared" si="5"/>
        <v>1100000</v>
      </c>
    </row>
    <row r="161" spans="1:19">
      <c r="A161" s="18">
        <v>160</v>
      </c>
      <c r="B161" s="19" t="s">
        <v>1175</v>
      </c>
      <c r="C161" s="20" t="s">
        <v>1169</v>
      </c>
      <c r="D161" s="21" t="s">
        <v>9</v>
      </c>
      <c r="E161" s="22" t="s">
        <v>1692</v>
      </c>
      <c r="F161" s="23" t="s">
        <v>1693</v>
      </c>
      <c r="G161" s="24" t="s">
        <v>1176</v>
      </c>
      <c r="H161" s="19"/>
      <c r="I161" s="19" t="s">
        <v>801</v>
      </c>
      <c r="J161" s="367">
        <v>45394</v>
      </c>
      <c r="K161" s="19"/>
      <c r="L161" s="24" t="s">
        <v>50</v>
      </c>
      <c r="M161" s="19" t="s">
        <v>1177</v>
      </c>
      <c r="N161" s="36">
        <v>44659</v>
      </c>
      <c r="O161" s="37">
        <v>254545</v>
      </c>
      <c r="P161" s="19">
        <v>8</v>
      </c>
      <c r="Q161" s="40">
        <f t="shared" si="4"/>
        <v>2036360</v>
      </c>
      <c r="R161" s="40">
        <v>275000</v>
      </c>
      <c r="S161" s="40">
        <f t="shared" si="5"/>
        <v>2200000</v>
      </c>
    </row>
    <row r="162" spans="1:19">
      <c r="A162" s="18">
        <v>161</v>
      </c>
      <c r="B162" s="19" t="s">
        <v>1178</v>
      </c>
      <c r="C162" s="20" t="s">
        <v>1169</v>
      </c>
      <c r="D162" s="21" t="s">
        <v>9</v>
      </c>
      <c r="E162" s="22" t="s">
        <v>1692</v>
      </c>
      <c r="F162" s="23" t="s">
        <v>1693</v>
      </c>
      <c r="G162" s="24" t="s">
        <v>1179</v>
      </c>
      <c r="H162" s="19"/>
      <c r="I162" s="19" t="s">
        <v>801</v>
      </c>
      <c r="J162" s="367">
        <v>45394</v>
      </c>
      <c r="K162" s="19"/>
      <c r="L162" s="24" t="s">
        <v>50</v>
      </c>
      <c r="M162" s="19" t="s">
        <v>1180</v>
      </c>
      <c r="N162" s="36">
        <v>44659</v>
      </c>
      <c r="O162" s="37">
        <v>254545</v>
      </c>
      <c r="P162" s="19">
        <v>5</v>
      </c>
      <c r="Q162" s="40">
        <f t="shared" si="4"/>
        <v>1272725</v>
      </c>
      <c r="R162" s="40">
        <v>275000</v>
      </c>
      <c r="S162" s="40">
        <f t="shared" si="5"/>
        <v>1375000</v>
      </c>
    </row>
    <row r="163" spans="1:19">
      <c r="A163" s="18">
        <v>162</v>
      </c>
      <c r="B163" s="19" t="s">
        <v>1181</v>
      </c>
      <c r="C163" s="20" t="s">
        <v>1169</v>
      </c>
      <c r="D163" s="21" t="s">
        <v>9</v>
      </c>
      <c r="E163" s="22" t="s">
        <v>1692</v>
      </c>
      <c r="F163" s="23" t="s">
        <v>1693</v>
      </c>
      <c r="G163" s="24" t="s">
        <v>1182</v>
      </c>
      <c r="H163" s="19"/>
      <c r="I163" s="19" t="s">
        <v>801</v>
      </c>
      <c r="J163" s="367">
        <v>45394</v>
      </c>
      <c r="K163" s="19"/>
      <c r="L163" s="24" t="s">
        <v>50</v>
      </c>
      <c r="M163" s="19" t="s">
        <v>1183</v>
      </c>
      <c r="N163" s="36">
        <v>44659</v>
      </c>
      <c r="O163" s="37">
        <v>254545</v>
      </c>
      <c r="P163" s="19">
        <v>4</v>
      </c>
      <c r="Q163" s="40">
        <f t="shared" si="4"/>
        <v>1018180</v>
      </c>
      <c r="R163" s="40">
        <v>275000</v>
      </c>
      <c r="S163" s="40">
        <f t="shared" si="5"/>
        <v>1100000</v>
      </c>
    </row>
    <row r="164" spans="1:19">
      <c r="A164" s="18">
        <v>163</v>
      </c>
      <c r="B164" s="19" t="s">
        <v>1184</v>
      </c>
      <c r="C164" s="20" t="s">
        <v>1169</v>
      </c>
      <c r="D164" s="21" t="s">
        <v>9</v>
      </c>
      <c r="E164" s="22" t="s">
        <v>1692</v>
      </c>
      <c r="F164" s="23" t="s">
        <v>1693</v>
      </c>
      <c r="G164" s="24" t="s">
        <v>999</v>
      </c>
      <c r="H164" s="19"/>
      <c r="I164" s="19" t="s">
        <v>801</v>
      </c>
      <c r="J164" s="367">
        <v>45394</v>
      </c>
      <c r="K164" s="19"/>
      <c r="L164" s="24" t="s">
        <v>50</v>
      </c>
      <c r="M164" s="19" t="s">
        <v>1185</v>
      </c>
      <c r="N164" s="36">
        <v>44659</v>
      </c>
      <c r="O164" s="37">
        <v>254545</v>
      </c>
      <c r="P164" s="19">
        <v>1</v>
      </c>
      <c r="Q164" s="40">
        <f>O164*P164</f>
        <v>254545</v>
      </c>
      <c r="R164" s="40">
        <v>275000</v>
      </c>
      <c r="S164" s="40">
        <f t="shared" si="5"/>
        <v>275000</v>
      </c>
    </row>
    <row r="165" spans="1:19">
      <c r="A165" s="18">
        <v>164</v>
      </c>
      <c r="B165" s="19" t="s">
        <v>1186</v>
      </c>
      <c r="C165" s="20" t="s">
        <v>1187</v>
      </c>
      <c r="D165" s="21" t="s">
        <v>11</v>
      </c>
      <c r="E165" s="22" t="s">
        <v>1696</v>
      </c>
      <c r="F165" s="32" t="s">
        <v>1697</v>
      </c>
      <c r="G165" s="24" t="s">
        <v>1188</v>
      </c>
      <c r="H165" s="19"/>
      <c r="I165" s="19" t="s">
        <v>801</v>
      </c>
      <c r="J165" s="367">
        <v>45394</v>
      </c>
      <c r="K165" s="19"/>
      <c r="L165" s="24" t="s">
        <v>50</v>
      </c>
      <c r="M165" s="19" t="s">
        <v>1189</v>
      </c>
      <c r="N165" s="36">
        <v>44662</v>
      </c>
      <c r="O165" s="37">
        <v>444545</v>
      </c>
      <c r="P165" s="19">
        <v>2</v>
      </c>
      <c r="Q165" s="40">
        <f t="shared" ref="Q165:Q191" si="6">O165*P165</f>
        <v>889090</v>
      </c>
      <c r="R165" s="40">
        <v>556363.63</v>
      </c>
      <c r="S165" s="40">
        <f t="shared" si="5"/>
        <v>1112727.26</v>
      </c>
    </row>
    <row r="166" spans="1:19">
      <c r="A166" s="18">
        <v>165</v>
      </c>
      <c r="B166" s="19" t="s">
        <v>1186</v>
      </c>
      <c r="C166" s="20" t="s">
        <v>1187</v>
      </c>
      <c r="D166" s="21" t="s">
        <v>11</v>
      </c>
      <c r="E166" s="22" t="s">
        <v>1696</v>
      </c>
      <c r="F166" s="32" t="s">
        <v>1697</v>
      </c>
      <c r="G166" s="24" t="s">
        <v>1188</v>
      </c>
      <c r="H166" s="19"/>
      <c r="I166" s="19" t="s">
        <v>1190</v>
      </c>
      <c r="J166" s="367">
        <v>45407</v>
      </c>
      <c r="K166" s="19"/>
      <c r="L166" s="24" t="s">
        <v>50</v>
      </c>
      <c r="M166" s="19" t="s">
        <v>1191</v>
      </c>
      <c r="N166" s="36">
        <v>44662</v>
      </c>
      <c r="O166" s="37">
        <v>444545</v>
      </c>
      <c r="P166" s="19">
        <v>5</v>
      </c>
      <c r="Q166" s="40">
        <f t="shared" si="6"/>
        <v>2222725</v>
      </c>
      <c r="R166" s="40">
        <v>556363.63</v>
      </c>
      <c r="S166" s="40">
        <f t="shared" si="5"/>
        <v>2781818.15</v>
      </c>
    </row>
    <row r="167" spans="1:19">
      <c r="A167" s="18">
        <v>166</v>
      </c>
      <c r="B167" s="19" t="s">
        <v>1186</v>
      </c>
      <c r="C167" s="20" t="s">
        <v>1187</v>
      </c>
      <c r="D167" s="21" t="s">
        <v>11</v>
      </c>
      <c r="E167" s="22" t="s">
        <v>1696</v>
      </c>
      <c r="F167" s="32" t="s">
        <v>1697</v>
      </c>
      <c r="G167" s="24" t="s">
        <v>1188</v>
      </c>
      <c r="H167" s="19"/>
      <c r="I167" s="19" t="s">
        <v>1192</v>
      </c>
      <c r="J167" s="366">
        <v>45423</v>
      </c>
      <c r="K167" s="19"/>
      <c r="L167" s="24" t="s">
        <v>50</v>
      </c>
      <c r="M167" s="19" t="s">
        <v>1193</v>
      </c>
      <c r="N167" s="36">
        <v>44662</v>
      </c>
      <c r="O167" s="37">
        <v>444545</v>
      </c>
      <c r="P167" s="19">
        <v>5</v>
      </c>
      <c r="Q167" s="40">
        <f t="shared" si="6"/>
        <v>2222725</v>
      </c>
      <c r="R167" s="40">
        <v>556363.63</v>
      </c>
      <c r="S167" s="40">
        <f t="shared" si="5"/>
        <v>2781818.15</v>
      </c>
    </row>
    <row r="168" spans="1:19">
      <c r="A168" s="18">
        <v>167</v>
      </c>
      <c r="B168" s="19" t="s">
        <v>1194</v>
      </c>
      <c r="C168" s="20" t="s">
        <v>1195</v>
      </c>
      <c r="D168" s="21" t="s">
        <v>9</v>
      </c>
      <c r="E168" s="22" t="s">
        <v>1692</v>
      </c>
      <c r="F168" s="23" t="s">
        <v>1693</v>
      </c>
      <c r="G168" s="24" t="s">
        <v>1196</v>
      </c>
      <c r="H168" s="19"/>
      <c r="I168" s="19" t="s">
        <v>1197</v>
      </c>
      <c r="J168" s="367">
        <v>45400</v>
      </c>
      <c r="K168" s="19"/>
      <c r="L168" s="24" t="s">
        <v>50</v>
      </c>
      <c r="M168" s="19" t="s">
        <v>1198</v>
      </c>
      <c r="N168" s="36">
        <v>44663</v>
      </c>
      <c r="O168" s="37">
        <v>254545</v>
      </c>
      <c r="P168" s="19">
        <v>1</v>
      </c>
      <c r="Q168" s="40">
        <f t="shared" si="6"/>
        <v>254545</v>
      </c>
      <c r="R168" s="40">
        <v>275000</v>
      </c>
      <c r="S168" s="40">
        <f t="shared" si="5"/>
        <v>275000</v>
      </c>
    </row>
    <row r="169" spans="1:19">
      <c r="A169" s="18">
        <v>168</v>
      </c>
      <c r="B169" s="19" t="s">
        <v>1199</v>
      </c>
      <c r="C169" s="20" t="s">
        <v>1195</v>
      </c>
      <c r="D169" s="21" t="s">
        <v>9</v>
      </c>
      <c r="E169" s="22" t="s">
        <v>1692</v>
      </c>
      <c r="F169" s="23" t="s">
        <v>1693</v>
      </c>
      <c r="G169" s="24" t="s">
        <v>1063</v>
      </c>
      <c r="H169" s="19"/>
      <c r="I169" s="19" t="s">
        <v>1197</v>
      </c>
      <c r="J169" s="367">
        <v>45400</v>
      </c>
      <c r="K169" s="19"/>
      <c r="L169" s="24" t="s">
        <v>50</v>
      </c>
      <c r="M169" s="19" t="s">
        <v>1200</v>
      </c>
      <c r="N169" s="36">
        <v>44663</v>
      </c>
      <c r="O169" s="37">
        <v>254545</v>
      </c>
      <c r="P169" s="19">
        <v>1</v>
      </c>
      <c r="Q169" s="40">
        <f t="shared" si="6"/>
        <v>254545</v>
      </c>
      <c r="R169" s="40">
        <v>275000</v>
      </c>
      <c r="S169" s="40">
        <f t="shared" si="5"/>
        <v>275000</v>
      </c>
    </row>
    <row r="170" spans="1:19">
      <c r="A170" s="18">
        <v>169</v>
      </c>
      <c r="B170" s="19" t="s">
        <v>1201</v>
      </c>
      <c r="C170" s="20" t="s">
        <v>1202</v>
      </c>
      <c r="D170" s="21" t="s">
        <v>9</v>
      </c>
      <c r="E170" s="22" t="s">
        <v>1692</v>
      </c>
      <c r="F170" s="23" t="s">
        <v>1693</v>
      </c>
      <c r="G170" s="24" t="s">
        <v>1203</v>
      </c>
      <c r="H170" s="19"/>
      <c r="I170" s="19" t="s">
        <v>1204</v>
      </c>
      <c r="J170" s="367">
        <v>45403</v>
      </c>
      <c r="K170" s="19"/>
      <c r="L170" s="24" t="s">
        <v>50</v>
      </c>
      <c r="M170" s="19" t="s">
        <v>1205</v>
      </c>
      <c r="N170" s="36">
        <v>44669</v>
      </c>
      <c r="O170" s="37">
        <v>254545</v>
      </c>
      <c r="P170" s="19">
        <v>1</v>
      </c>
      <c r="Q170" s="40">
        <f t="shared" si="6"/>
        <v>254545</v>
      </c>
      <c r="R170" s="40">
        <v>275000</v>
      </c>
      <c r="S170" s="40">
        <f t="shared" si="5"/>
        <v>275000</v>
      </c>
    </row>
    <row r="171" spans="1:19">
      <c r="A171" s="18">
        <v>170</v>
      </c>
      <c r="B171" s="19" t="s">
        <v>1206</v>
      </c>
      <c r="C171" s="20" t="s">
        <v>1202</v>
      </c>
      <c r="D171" s="21" t="s">
        <v>9</v>
      </c>
      <c r="E171" s="22" t="s">
        <v>1692</v>
      </c>
      <c r="F171" s="23" t="s">
        <v>1693</v>
      </c>
      <c r="G171" s="24" t="s">
        <v>1207</v>
      </c>
      <c r="H171" s="19"/>
      <c r="I171" s="19" t="s">
        <v>1204</v>
      </c>
      <c r="J171" s="367">
        <v>45403</v>
      </c>
      <c r="K171" s="19"/>
      <c r="L171" s="24" t="s">
        <v>50</v>
      </c>
      <c r="M171" s="19" t="s">
        <v>1208</v>
      </c>
      <c r="N171" s="36">
        <v>44669</v>
      </c>
      <c r="O171" s="37">
        <v>254545</v>
      </c>
      <c r="P171" s="19">
        <v>9</v>
      </c>
      <c r="Q171" s="40">
        <f t="shared" si="6"/>
        <v>2290905</v>
      </c>
      <c r="R171" s="40">
        <v>275000</v>
      </c>
      <c r="S171" s="40">
        <f t="shared" si="5"/>
        <v>2475000</v>
      </c>
    </row>
    <row r="172" spans="1:19">
      <c r="A172" s="18">
        <v>171</v>
      </c>
      <c r="B172" s="19" t="s">
        <v>1209</v>
      </c>
      <c r="C172" s="20" t="s">
        <v>1202</v>
      </c>
      <c r="D172" s="21" t="s">
        <v>9</v>
      </c>
      <c r="E172" s="22" t="s">
        <v>1692</v>
      </c>
      <c r="F172" s="23" t="s">
        <v>1693</v>
      </c>
      <c r="G172" s="24" t="s">
        <v>1210</v>
      </c>
      <c r="H172" s="19"/>
      <c r="I172" s="19" t="s">
        <v>1204</v>
      </c>
      <c r="J172" s="367">
        <v>45403</v>
      </c>
      <c r="K172" s="19"/>
      <c r="L172" s="24" t="s">
        <v>50</v>
      </c>
      <c r="M172" s="19" t="s">
        <v>1211</v>
      </c>
      <c r="N172" s="36">
        <v>44669</v>
      </c>
      <c r="O172" s="37">
        <v>254545</v>
      </c>
      <c r="P172" s="19">
        <v>2</v>
      </c>
      <c r="Q172" s="40">
        <f t="shared" si="6"/>
        <v>509090</v>
      </c>
      <c r="R172" s="40">
        <v>275000</v>
      </c>
      <c r="S172" s="40">
        <f t="shared" si="5"/>
        <v>550000</v>
      </c>
    </row>
    <row r="173" spans="1:19">
      <c r="A173" s="18">
        <v>172</v>
      </c>
      <c r="B173" s="19" t="s">
        <v>1212</v>
      </c>
      <c r="C173" s="20" t="s">
        <v>1213</v>
      </c>
      <c r="D173" s="21" t="s">
        <v>9</v>
      </c>
      <c r="E173" s="22" t="s">
        <v>1692</v>
      </c>
      <c r="F173" s="23" t="s">
        <v>1693</v>
      </c>
      <c r="G173" s="24" t="s">
        <v>1214</v>
      </c>
      <c r="H173" s="19"/>
      <c r="I173" s="19" t="s">
        <v>1215</v>
      </c>
      <c r="J173" s="367">
        <v>45409</v>
      </c>
      <c r="K173" s="19"/>
      <c r="L173" s="24" t="s">
        <v>50</v>
      </c>
      <c r="M173" s="19" t="s">
        <v>1216</v>
      </c>
      <c r="N173" s="36">
        <v>44676</v>
      </c>
      <c r="O173" s="37">
        <v>254545</v>
      </c>
      <c r="P173" s="19">
        <v>2</v>
      </c>
      <c r="Q173" s="40">
        <f t="shared" si="6"/>
        <v>509090</v>
      </c>
      <c r="R173" s="40">
        <v>275000</v>
      </c>
      <c r="S173" s="40">
        <f t="shared" si="5"/>
        <v>550000</v>
      </c>
    </row>
    <row r="174" spans="1:19">
      <c r="A174" s="18">
        <v>173</v>
      </c>
      <c r="B174" s="19" t="s">
        <v>1217</v>
      </c>
      <c r="C174" s="20" t="s">
        <v>1213</v>
      </c>
      <c r="D174" s="21" t="s">
        <v>9</v>
      </c>
      <c r="E174" s="22" t="s">
        <v>1692</v>
      </c>
      <c r="F174" s="23" t="s">
        <v>1693</v>
      </c>
      <c r="G174" s="24" t="s">
        <v>1218</v>
      </c>
      <c r="H174" s="19"/>
      <c r="I174" s="19" t="s">
        <v>1215</v>
      </c>
      <c r="J174" s="367">
        <v>45409</v>
      </c>
      <c r="K174" s="19"/>
      <c r="L174" s="24" t="s">
        <v>50</v>
      </c>
      <c r="M174" s="19" t="s">
        <v>1219</v>
      </c>
      <c r="N174" s="36">
        <v>44676</v>
      </c>
      <c r="O174" s="37">
        <v>254545</v>
      </c>
      <c r="P174" s="19">
        <v>2</v>
      </c>
      <c r="Q174" s="40">
        <f t="shared" si="6"/>
        <v>509090</v>
      </c>
      <c r="R174" s="40">
        <v>275000</v>
      </c>
      <c r="S174" s="40">
        <f t="shared" si="5"/>
        <v>550000</v>
      </c>
    </row>
    <row r="175" spans="1:19">
      <c r="A175" s="18">
        <v>174</v>
      </c>
      <c r="B175" s="19" t="s">
        <v>1220</v>
      </c>
      <c r="C175" s="20" t="s">
        <v>1213</v>
      </c>
      <c r="D175" s="21" t="s">
        <v>9</v>
      </c>
      <c r="E175" s="22" t="s">
        <v>1692</v>
      </c>
      <c r="F175" s="23" t="s">
        <v>1693</v>
      </c>
      <c r="G175" s="24" t="s">
        <v>445</v>
      </c>
      <c r="H175" s="19"/>
      <c r="I175" s="19" t="s">
        <v>1221</v>
      </c>
      <c r="J175" s="367">
        <v>45468</v>
      </c>
      <c r="K175" s="19"/>
      <c r="L175" s="24" t="s">
        <v>50</v>
      </c>
      <c r="M175" s="19" t="s">
        <v>1222</v>
      </c>
      <c r="N175" s="36">
        <v>44676</v>
      </c>
      <c r="O175" s="37">
        <v>254545</v>
      </c>
      <c r="P175" s="19">
        <v>1</v>
      </c>
      <c r="Q175" s="40">
        <f t="shared" si="6"/>
        <v>254545</v>
      </c>
      <c r="R175" s="40">
        <v>275000</v>
      </c>
      <c r="S175" s="40">
        <f t="shared" si="5"/>
        <v>275000</v>
      </c>
    </row>
    <row r="176" spans="1:19">
      <c r="A176" s="18">
        <v>175</v>
      </c>
      <c r="B176" s="25" t="s">
        <v>1223</v>
      </c>
      <c r="C176" s="26" t="s">
        <v>1224</v>
      </c>
      <c r="D176" s="27" t="s">
        <v>9</v>
      </c>
      <c r="E176" s="28" t="s">
        <v>1692</v>
      </c>
      <c r="F176" s="29" t="s">
        <v>1693</v>
      </c>
      <c r="G176" s="30" t="s">
        <v>665</v>
      </c>
      <c r="H176" s="25"/>
      <c r="I176" s="25" t="s">
        <v>1225</v>
      </c>
      <c r="J176" s="367">
        <v>45431</v>
      </c>
      <c r="K176" s="25"/>
      <c r="L176" s="30" t="s">
        <v>50</v>
      </c>
      <c r="M176" s="25" t="s">
        <v>1226</v>
      </c>
      <c r="N176" s="38">
        <v>44690</v>
      </c>
      <c r="O176" s="39">
        <v>254545</v>
      </c>
      <c r="P176" s="25">
        <v>2</v>
      </c>
      <c r="Q176" s="41">
        <f t="shared" si="6"/>
        <v>509090</v>
      </c>
      <c r="R176" s="41">
        <v>275000</v>
      </c>
      <c r="S176" s="41">
        <f t="shared" si="5"/>
        <v>550000</v>
      </c>
    </row>
    <row r="177" spans="1:19">
      <c r="A177" s="18">
        <v>176</v>
      </c>
      <c r="B177" s="25" t="s">
        <v>1227</v>
      </c>
      <c r="C177" s="26" t="s">
        <v>1224</v>
      </c>
      <c r="D177" s="27" t="s">
        <v>9</v>
      </c>
      <c r="E177" s="28" t="s">
        <v>1692</v>
      </c>
      <c r="F177" s="29" t="s">
        <v>1693</v>
      </c>
      <c r="G177" s="30" t="s">
        <v>1228</v>
      </c>
      <c r="H177" s="25"/>
      <c r="I177" s="25" t="s">
        <v>1225</v>
      </c>
      <c r="J177" s="367">
        <v>45431</v>
      </c>
      <c r="K177" s="25"/>
      <c r="L177" s="30" t="s">
        <v>50</v>
      </c>
      <c r="M177" s="25" t="s">
        <v>1229</v>
      </c>
      <c r="N177" s="38">
        <v>44690</v>
      </c>
      <c r="O177" s="39">
        <v>254545</v>
      </c>
      <c r="P177" s="25">
        <v>3</v>
      </c>
      <c r="Q177" s="41">
        <f t="shared" si="6"/>
        <v>763635</v>
      </c>
      <c r="R177" s="41">
        <v>275000</v>
      </c>
      <c r="S177" s="41">
        <f t="shared" si="5"/>
        <v>825000</v>
      </c>
    </row>
    <row r="178" spans="1:19">
      <c r="A178" s="18">
        <v>177</v>
      </c>
      <c r="B178" s="25" t="s">
        <v>1230</v>
      </c>
      <c r="C178" s="26" t="s">
        <v>1231</v>
      </c>
      <c r="D178" s="27" t="s">
        <v>11</v>
      </c>
      <c r="E178" s="28" t="s">
        <v>1696</v>
      </c>
      <c r="F178" s="31" t="s">
        <v>1697</v>
      </c>
      <c r="G178" s="30" t="s">
        <v>6</v>
      </c>
      <c r="H178" s="25"/>
      <c r="I178" s="25" t="s">
        <v>1232</v>
      </c>
      <c r="J178" s="367">
        <v>45421</v>
      </c>
      <c r="K178" s="25"/>
      <c r="L178" s="30" t="s">
        <v>50</v>
      </c>
      <c r="M178" s="25" t="s">
        <v>1233</v>
      </c>
      <c r="N178" s="38">
        <v>44690</v>
      </c>
      <c r="O178" s="39">
        <v>184875</v>
      </c>
      <c r="P178" s="25">
        <v>3</v>
      </c>
      <c r="Q178" s="41">
        <f t="shared" si="6"/>
        <v>554625</v>
      </c>
      <c r="R178" s="41">
        <v>201682</v>
      </c>
      <c r="S178" s="41">
        <f t="shared" si="5"/>
        <v>605046</v>
      </c>
    </row>
    <row r="179" spans="1:19">
      <c r="A179" s="18">
        <v>178</v>
      </c>
      <c r="B179" s="25" t="s">
        <v>1234</v>
      </c>
      <c r="C179" s="26" t="s">
        <v>1235</v>
      </c>
      <c r="D179" s="27" t="s">
        <v>9</v>
      </c>
      <c r="E179" s="28" t="s">
        <v>1692</v>
      </c>
      <c r="F179" s="29" t="s">
        <v>1693</v>
      </c>
      <c r="G179" s="30" t="s">
        <v>1047</v>
      </c>
      <c r="H179" s="25"/>
      <c r="I179" s="25" t="s">
        <v>1236</v>
      </c>
      <c r="J179" s="367">
        <v>45429</v>
      </c>
      <c r="K179" s="25"/>
      <c r="L179" s="30" t="s">
        <v>50</v>
      </c>
      <c r="M179" s="25" t="s">
        <v>1237</v>
      </c>
      <c r="N179" s="38">
        <v>44690</v>
      </c>
      <c r="O179" s="39">
        <v>254545</v>
      </c>
      <c r="P179" s="25">
        <v>1</v>
      </c>
      <c r="Q179" s="41">
        <f t="shared" si="6"/>
        <v>254545</v>
      </c>
      <c r="R179" s="41">
        <v>275000</v>
      </c>
      <c r="S179" s="41">
        <f t="shared" si="5"/>
        <v>275000</v>
      </c>
    </row>
    <row r="180" spans="1:19">
      <c r="A180" s="18">
        <v>179</v>
      </c>
      <c r="B180" s="25" t="s">
        <v>1238</v>
      </c>
      <c r="C180" s="26" t="s">
        <v>1235</v>
      </c>
      <c r="D180" s="27" t="s">
        <v>9</v>
      </c>
      <c r="E180" s="28" t="s">
        <v>1692</v>
      </c>
      <c r="F180" s="29" t="s">
        <v>1693</v>
      </c>
      <c r="G180" s="30" t="s">
        <v>1173</v>
      </c>
      <c r="H180" s="25"/>
      <c r="I180" s="25" t="s">
        <v>1236</v>
      </c>
      <c r="J180" s="367">
        <v>45429</v>
      </c>
      <c r="K180" s="25"/>
      <c r="L180" s="30" t="s">
        <v>50</v>
      </c>
      <c r="M180" s="25" t="s">
        <v>1239</v>
      </c>
      <c r="N180" s="38">
        <v>44690</v>
      </c>
      <c r="O180" s="39">
        <v>254545</v>
      </c>
      <c r="P180" s="25">
        <v>2</v>
      </c>
      <c r="Q180" s="41">
        <f t="shared" si="6"/>
        <v>509090</v>
      </c>
      <c r="R180" s="41">
        <v>275000</v>
      </c>
      <c r="S180" s="41">
        <f t="shared" si="5"/>
        <v>550000</v>
      </c>
    </row>
    <row r="181" spans="1:19">
      <c r="A181" s="18">
        <v>180</v>
      </c>
      <c r="B181" s="25" t="s">
        <v>1240</v>
      </c>
      <c r="C181" s="26" t="s">
        <v>1241</v>
      </c>
      <c r="D181" s="27" t="s">
        <v>9</v>
      </c>
      <c r="E181" s="28" t="s">
        <v>1692</v>
      </c>
      <c r="F181" s="29" t="s">
        <v>1693</v>
      </c>
      <c r="G181" s="30" t="s">
        <v>1242</v>
      </c>
      <c r="H181" s="25"/>
      <c r="I181" s="25" t="s">
        <v>1243</v>
      </c>
      <c r="J181" s="367">
        <v>45431</v>
      </c>
      <c r="K181" s="25"/>
      <c r="L181" s="30" t="s">
        <v>50</v>
      </c>
      <c r="M181" s="25" t="s">
        <v>1244</v>
      </c>
      <c r="N181" s="38">
        <v>44693</v>
      </c>
      <c r="O181" s="39">
        <v>254545</v>
      </c>
      <c r="P181" s="25">
        <v>1</v>
      </c>
      <c r="Q181" s="41">
        <f t="shared" si="6"/>
        <v>254545</v>
      </c>
      <c r="R181" s="41">
        <v>275000</v>
      </c>
      <c r="S181" s="41">
        <f t="shared" si="5"/>
        <v>275000</v>
      </c>
    </row>
    <row r="182" spans="1:19">
      <c r="A182" s="18">
        <v>181</v>
      </c>
      <c r="B182" s="25" t="s">
        <v>1245</v>
      </c>
      <c r="C182" s="26" t="s">
        <v>1241</v>
      </c>
      <c r="D182" s="27" t="s">
        <v>9</v>
      </c>
      <c r="E182" s="28" t="s">
        <v>1692</v>
      </c>
      <c r="F182" s="29" t="s">
        <v>1693</v>
      </c>
      <c r="G182" s="30" t="s">
        <v>1246</v>
      </c>
      <c r="H182" s="25"/>
      <c r="I182" s="25" t="s">
        <v>1247</v>
      </c>
      <c r="J182" s="366">
        <v>45446</v>
      </c>
      <c r="K182" s="25"/>
      <c r="L182" s="30" t="s">
        <v>50</v>
      </c>
      <c r="M182" s="25" t="s">
        <v>1248</v>
      </c>
      <c r="N182" s="38">
        <v>44693</v>
      </c>
      <c r="O182" s="39">
        <v>254545</v>
      </c>
      <c r="P182" s="25">
        <v>1</v>
      </c>
      <c r="Q182" s="41">
        <f t="shared" si="6"/>
        <v>254545</v>
      </c>
      <c r="R182" s="41">
        <v>275000</v>
      </c>
      <c r="S182" s="41">
        <f t="shared" si="5"/>
        <v>275000</v>
      </c>
    </row>
    <row r="183" spans="1:19">
      <c r="A183" s="18">
        <v>182</v>
      </c>
      <c r="B183" s="25" t="s">
        <v>1249</v>
      </c>
      <c r="C183" s="26" t="s">
        <v>1250</v>
      </c>
      <c r="D183" s="27" t="s">
        <v>9</v>
      </c>
      <c r="E183" s="28" t="s">
        <v>1692</v>
      </c>
      <c r="F183" s="29" t="s">
        <v>1693</v>
      </c>
      <c r="G183" s="30" t="s">
        <v>1251</v>
      </c>
      <c r="H183" s="25"/>
      <c r="I183" s="25" t="s">
        <v>1252</v>
      </c>
      <c r="J183" s="367">
        <v>45436</v>
      </c>
      <c r="K183" s="25"/>
      <c r="L183" s="30" t="s">
        <v>50</v>
      </c>
      <c r="M183" s="25" t="s">
        <v>1253</v>
      </c>
      <c r="N183" s="38">
        <v>44701</v>
      </c>
      <c r="O183" s="39">
        <v>254545</v>
      </c>
      <c r="P183" s="25">
        <v>1</v>
      </c>
      <c r="Q183" s="41">
        <f t="shared" si="6"/>
        <v>254545</v>
      </c>
      <c r="R183" s="41">
        <v>275000</v>
      </c>
      <c r="S183" s="41">
        <f t="shared" si="5"/>
        <v>275000</v>
      </c>
    </row>
    <row r="184" spans="1:19">
      <c r="A184" s="18">
        <v>183</v>
      </c>
      <c r="B184" s="25" t="s">
        <v>1254</v>
      </c>
      <c r="C184" s="26" t="s">
        <v>1250</v>
      </c>
      <c r="D184" s="27" t="s">
        <v>9</v>
      </c>
      <c r="E184" s="28" t="s">
        <v>1692</v>
      </c>
      <c r="F184" s="29" t="s">
        <v>1693</v>
      </c>
      <c r="G184" s="30" t="s">
        <v>1255</v>
      </c>
      <c r="H184" s="25"/>
      <c r="I184" s="25" t="s">
        <v>1247</v>
      </c>
      <c r="J184" s="367">
        <v>45446</v>
      </c>
      <c r="K184" s="25"/>
      <c r="L184" s="30" t="s">
        <v>50</v>
      </c>
      <c r="M184" s="25" t="s">
        <v>1256</v>
      </c>
      <c r="N184" s="38">
        <v>44701</v>
      </c>
      <c r="O184" s="39">
        <v>254545</v>
      </c>
      <c r="P184" s="25">
        <v>3</v>
      </c>
      <c r="Q184" s="41">
        <f t="shared" si="6"/>
        <v>763635</v>
      </c>
      <c r="R184" s="41">
        <v>275000</v>
      </c>
      <c r="S184" s="41">
        <f t="shared" si="5"/>
        <v>825000</v>
      </c>
    </row>
    <row r="185" spans="1:19">
      <c r="A185" s="18">
        <v>184</v>
      </c>
      <c r="B185" s="25" t="s">
        <v>1261</v>
      </c>
      <c r="C185" s="26" t="s">
        <v>1262</v>
      </c>
      <c r="D185" s="27" t="s">
        <v>9</v>
      </c>
      <c r="E185" s="28" t="s">
        <v>1692</v>
      </c>
      <c r="F185" s="29" t="s">
        <v>1693</v>
      </c>
      <c r="G185" s="30" t="s">
        <v>1263</v>
      </c>
      <c r="H185" s="25"/>
      <c r="I185" s="25" t="s">
        <v>1264</v>
      </c>
      <c r="J185" s="367">
        <v>45442</v>
      </c>
      <c r="K185" s="25"/>
      <c r="L185" s="30" t="s">
        <v>50</v>
      </c>
      <c r="M185" s="25" t="s">
        <v>1265</v>
      </c>
      <c r="N185" s="38">
        <v>44706</v>
      </c>
      <c r="O185" s="39">
        <v>254545</v>
      </c>
      <c r="P185" s="25">
        <v>6</v>
      </c>
      <c r="Q185" s="41">
        <f t="shared" si="6"/>
        <v>1527270</v>
      </c>
      <c r="R185" s="41">
        <v>275000</v>
      </c>
      <c r="S185" s="41">
        <f t="shared" si="5"/>
        <v>1650000</v>
      </c>
    </row>
    <row r="186" spans="1:19">
      <c r="A186" s="18">
        <v>185</v>
      </c>
      <c r="B186" s="19" t="s">
        <v>1266</v>
      </c>
      <c r="C186" s="20" t="s">
        <v>1267</v>
      </c>
      <c r="D186" s="21" t="s">
        <v>9</v>
      </c>
      <c r="E186" s="22" t="s">
        <v>1692</v>
      </c>
      <c r="F186" s="23" t="s">
        <v>1693</v>
      </c>
      <c r="G186" s="21" t="s">
        <v>660</v>
      </c>
      <c r="H186" s="19"/>
      <c r="I186" s="19" t="s">
        <v>1268</v>
      </c>
      <c r="J186" s="367">
        <v>45472</v>
      </c>
      <c r="K186" s="19"/>
      <c r="L186" s="24" t="s">
        <v>50</v>
      </c>
      <c r="M186" s="19" t="s">
        <v>1269</v>
      </c>
      <c r="N186" s="36">
        <v>44715</v>
      </c>
      <c r="O186" s="37">
        <v>254545</v>
      </c>
      <c r="P186" s="19">
        <v>1</v>
      </c>
      <c r="Q186" s="40">
        <f t="shared" si="6"/>
        <v>254545</v>
      </c>
      <c r="R186" s="40">
        <v>275000</v>
      </c>
      <c r="S186" s="40">
        <f t="shared" si="5"/>
        <v>275000</v>
      </c>
    </row>
    <row r="187" spans="1:19">
      <c r="A187" s="18">
        <v>186</v>
      </c>
      <c r="B187" s="19" t="s">
        <v>1270</v>
      </c>
      <c r="C187" s="20" t="s">
        <v>1267</v>
      </c>
      <c r="D187" s="21" t="s">
        <v>9</v>
      </c>
      <c r="E187" s="22" t="s">
        <v>1692</v>
      </c>
      <c r="F187" s="23" t="s">
        <v>1693</v>
      </c>
      <c r="G187" s="21" t="s">
        <v>1271</v>
      </c>
      <c r="H187" s="19"/>
      <c r="I187" s="19" t="s">
        <v>1272</v>
      </c>
      <c r="J187" s="367">
        <v>45471</v>
      </c>
      <c r="K187" s="19"/>
      <c r="L187" s="24" t="s">
        <v>50</v>
      </c>
      <c r="M187" s="19" t="s">
        <v>1273</v>
      </c>
      <c r="N187" s="36">
        <v>44715</v>
      </c>
      <c r="O187" s="37">
        <v>254545</v>
      </c>
      <c r="P187" s="19">
        <v>3</v>
      </c>
      <c r="Q187" s="40">
        <f t="shared" si="6"/>
        <v>763635</v>
      </c>
      <c r="R187" s="40">
        <v>275000</v>
      </c>
      <c r="S187" s="40">
        <f t="shared" si="5"/>
        <v>825000</v>
      </c>
    </row>
    <row r="188" spans="1:19">
      <c r="A188" s="18">
        <v>187</v>
      </c>
      <c r="B188" s="19" t="s">
        <v>1279</v>
      </c>
      <c r="C188" s="20" t="s">
        <v>1280</v>
      </c>
      <c r="D188" s="21" t="s">
        <v>9</v>
      </c>
      <c r="E188" s="22" t="s">
        <v>1692</v>
      </c>
      <c r="F188" s="23" t="s">
        <v>1693</v>
      </c>
      <c r="G188" s="24" t="s">
        <v>1281</v>
      </c>
      <c r="H188" s="19"/>
      <c r="I188" s="19" t="s">
        <v>1282</v>
      </c>
      <c r="J188" s="367">
        <v>45457</v>
      </c>
      <c r="K188" s="19"/>
      <c r="L188" s="24" t="s">
        <v>50</v>
      </c>
      <c r="M188" s="19" t="s">
        <v>1283</v>
      </c>
      <c r="N188" s="36">
        <v>44720</v>
      </c>
      <c r="O188" s="37">
        <v>254545</v>
      </c>
      <c r="P188" s="19">
        <v>3</v>
      </c>
      <c r="Q188" s="40">
        <f t="shared" si="6"/>
        <v>763635</v>
      </c>
      <c r="R188" s="40">
        <v>275000</v>
      </c>
      <c r="S188" s="40">
        <f t="shared" si="5"/>
        <v>825000</v>
      </c>
    </row>
    <row r="189" spans="1:19">
      <c r="A189" s="18">
        <v>188</v>
      </c>
      <c r="B189" s="19" t="s">
        <v>1284</v>
      </c>
      <c r="C189" s="20" t="s">
        <v>1280</v>
      </c>
      <c r="D189" s="21" t="s">
        <v>9</v>
      </c>
      <c r="E189" s="22" t="s">
        <v>1692</v>
      </c>
      <c r="F189" s="23" t="s">
        <v>1693</v>
      </c>
      <c r="G189" s="24" t="s">
        <v>1285</v>
      </c>
      <c r="H189" s="19"/>
      <c r="I189" s="19" t="s">
        <v>1286</v>
      </c>
      <c r="J189" s="367">
        <v>45509</v>
      </c>
      <c r="K189" s="19"/>
      <c r="L189" s="24" t="s">
        <v>50</v>
      </c>
      <c r="M189" s="19" t="s">
        <v>1287</v>
      </c>
      <c r="N189" s="36">
        <v>44720</v>
      </c>
      <c r="O189" s="37">
        <v>254545</v>
      </c>
      <c r="P189" s="19">
        <v>1</v>
      </c>
      <c r="Q189" s="40">
        <f t="shared" si="6"/>
        <v>254545</v>
      </c>
      <c r="R189" s="40">
        <v>275000</v>
      </c>
      <c r="S189" s="40">
        <f t="shared" si="5"/>
        <v>275000</v>
      </c>
    </row>
    <row r="190" spans="1:19">
      <c r="A190" s="18">
        <v>189</v>
      </c>
      <c r="B190" s="19" t="s">
        <v>1294</v>
      </c>
      <c r="C190" s="20" t="s">
        <v>1295</v>
      </c>
      <c r="D190" s="21" t="s">
        <v>1296</v>
      </c>
      <c r="E190" s="22" t="s">
        <v>1696</v>
      </c>
      <c r="F190" s="32" t="s">
        <v>1697</v>
      </c>
      <c r="G190" s="24" t="s">
        <v>1297</v>
      </c>
      <c r="H190" s="19"/>
      <c r="I190" s="19" t="s">
        <v>1298</v>
      </c>
      <c r="J190" s="367">
        <v>45104</v>
      </c>
      <c r="K190" s="19"/>
      <c r="L190" s="24" t="s">
        <v>85</v>
      </c>
      <c r="M190" s="19" t="s">
        <v>1299</v>
      </c>
      <c r="N190" s="36">
        <v>44739</v>
      </c>
      <c r="O190" s="37">
        <v>222727</v>
      </c>
      <c r="P190" s="19">
        <v>9</v>
      </c>
      <c r="Q190" s="40">
        <f t="shared" si="6"/>
        <v>2004543</v>
      </c>
      <c r="R190" s="40">
        <v>279091</v>
      </c>
      <c r="S190" s="40">
        <f t="shared" si="5"/>
        <v>2511819</v>
      </c>
    </row>
    <row r="191" spans="1:19">
      <c r="A191" s="18">
        <v>190</v>
      </c>
      <c r="B191" s="19" t="s">
        <v>1300</v>
      </c>
      <c r="C191" s="20" t="s">
        <v>1295</v>
      </c>
      <c r="D191" s="21" t="s">
        <v>1296</v>
      </c>
      <c r="E191" s="22" t="s">
        <v>1696</v>
      </c>
      <c r="F191" s="32" t="s">
        <v>1697</v>
      </c>
      <c r="G191" s="24" t="s">
        <v>733</v>
      </c>
      <c r="H191" s="19"/>
      <c r="I191" s="19" t="s">
        <v>1298</v>
      </c>
      <c r="J191" s="367">
        <v>45104</v>
      </c>
      <c r="K191" s="19"/>
      <c r="L191" s="24" t="s">
        <v>85</v>
      </c>
      <c r="M191" s="19" t="s">
        <v>1301</v>
      </c>
      <c r="N191" s="36">
        <v>44739</v>
      </c>
      <c r="O191" s="37">
        <v>222727</v>
      </c>
      <c r="P191" s="19">
        <v>6</v>
      </c>
      <c r="Q191" s="40">
        <f t="shared" si="6"/>
        <v>1336362</v>
      </c>
      <c r="R191" s="40">
        <v>279091</v>
      </c>
      <c r="S191" s="40">
        <f t="shared" si="5"/>
        <v>1674546</v>
      </c>
    </row>
    <row r="192" spans="1:19">
      <c r="A192" s="18">
        <v>191</v>
      </c>
      <c r="B192" s="19" t="s">
        <v>1302</v>
      </c>
      <c r="C192" s="20" t="s">
        <v>1303</v>
      </c>
      <c r="D192" s="21" t="s">
        <v>11</v>
      </c>
      <c r="E192" s="22" t="s">
        <v>1696</v>
      </c>
      <c r="F192" s="32" t="s">
        <v>1697</v>
      </c>
      <c r="G192" s="24" t="s">
        <v>320</v>
      </c>
      <c r="H192" s="19"/>
      <c r="I192" s="19" t="s">
        <v>1304</v>
      </c>
      <c r="J192" s="367">
        <v>45467</v>
      </c>
      <c r="K192" s="19"/>
      <c r="L192" s="24" t="s">
        <v>50</v>
      </c>
      <c r="M192" s="19" t="s">
        <v>1305</v>
      </c>
      <c r="N192" s="36">
        <v>44736</v>
      </c>
      <c r="O192" s="37">
        <v>444545</v>
      </c>
      <c r="P192" s="19">
        <v>35</v>
      </c>
      <c r="Q192" s="40">
        <f t="shared" si="4"/>
        <v>15559075</v>
      </c>
      <c r="R192" s="40">
        <v>556363.63</v>
      </c>
      <c r="S192" s="40">
        <f t="shared" si="5"/>
        <v>19472727.050000001</v>
      </c>
    </row>
    <row r="193" spans="1:19">
      <c r="A193" s="18">
        <v>192</v>
      </c>
      <c r="B193" s="19" t="s">
        <v>1306</v>
      </c>
      <c r="C193" s="20" t="s">
        <v>1307</v>
      </c>
      <c r="D193" s="21" t="s">
        <v>9</v>
      </c>
      <c r="E193" s="22" t="s">
        <v>1692</v>
      </c>
      <c r="F193" s="23" t="s">
        <v>1693</v>
      </c>
      <c r="G193" s="24" t="s">
        <v>1308</v>
      </c>
      <c r="H193" s="19"/>
      <c r="I193" s="19" t="s">
        <v>1309</v>
      </c>
      <c r="J193" s="367">
        <v>45462</v>
      </c>
      <c r="K193" s="19"/>
      <c r="L193" s="24" t="s">
        <v>50</v>
      </c>
      <c r="M193" s="19" t="s">
        <v>1310</v>
      </c>
      <c r="N193" s="36">
        <v>44726</v>
      </c>
      <c r="O193" s="37">
        <v>254545</v>
      </c>
      <c r="P193" s="19">
        <v>1</v>
      </c>
      <c r="Q193" s="40">
        <f t="shared" si="4"/>
        <v>254545</v>
      </c>
      <c r="R193" s="40">
        <v>275000</v>
      </c>
      <c r="S193" s="40">
        <f t="shared" si="5"/>
        <v>275000</v>
      </c>
    </row>
    <row r="194" spans="1:19">
      <c r="A194" s="18">
        <v>193</v>
      </c>
      <c r="B194" s="19" t="s">
        <v>1311</v>
      </c>
      <c r="C194" s="20" t="s">
        <v>1307</v>
      </c>
      <c r="D194" s="21" t="s">
        <v>9</v>
      </c>
      <c r="E194" s="22" t="s">
        <v>1692</v>
      </c>
      <c r="F194" s="23" t="s">
        <v>1693</v>
      </c>
      <c r="G194" s="24" t="s">
        <v>1312</v>
      </c>
      <c r="H194" s="19"/>
      <c r="I194" s="19" t="s">
        <v>1309</v>
      </c>
      <c r="J194" s="367">
        <v>45462</v>
      </c>
      <c r="K194" s="19"/>
      <c r="L194" s="24" t="s">
        <v>50</v>
      </c>
      <c r="M194" s="19" t="s">
        <v>1313</v>
      </c>
      <c r="N194" s="36">
        <v>44726</v>
      </c>
      <c r="O194" s="37">
        <v>254545</v>
      </c>
      <c r="P194" s="19">
        <v>2</v>
      </c>
      <c r="Q194" s="40">
        <f t="shared" si="4"/>
        <v>509090</v>
      </c>
      <c r="R194" s="40">
        <v>275000</v>
      </c>
      <c r="S194" s="40">
        <f t="shared" si="5"/>
        <v>550000</v>
      </c>
    </row>
    <row r="195" spans="1:19">
      <c r="A195" s="18">
        <v>194</v>
      </c>
      <c r="B195" s="19" t="s">
        <v>1314</v>
      </c>
      <c r="C195" s="20" t="s">
        <v>1307</v>
      </c>
      <c r="D195" s="21" t="s">
        <v>9</v>
      </c>
      <c r="E195" s="22" t="s">
        <v>1692</v>
      </c>
      <c r="F195" s="23" t="s">
        <v>1693</v>
      </c>
      <c r="G195" s="24" t="s">
        <v>1312</v>
      </c>
      <c r="H195" s="19"/>
      <c r="I195" s="19" t="s">
        <v>1309</v>
      </c>
      <c r="J195" s="367">
        <v>45462</v>
      </c>
      <c r="K195" s="19"/>
      <c r="L195" s="24" t="s">
        <v>50</v>
      </c>
      <c r="M195" s="19" t="s">
        <v>1315</v>
      </c>
      <c r="N195" s="36">
        <v>44726</v>
      </c>
      <c r="O195" s="37">
        <v>254545</v>
      </c>
      <c r="P195" s="19">
        <v>1</v>
      </c>
      <c r="Q195" s="40">
        <f t="shared" si="4"/>
        <v>254545</v>
      </c>
      <c r="R195" s="40">
        <v>275000</v>
      </c>
      <c r="S195" s="40">
        <f t="shared" si="5"/>
        <v>275000</v>
      </c>
    </row>
    <row r="196" spans="1:19">
      <c r="A196" s="18">
        <v>195</v>
      </c>
      <c r="B196" s="19" t="s">
        <v>1316</v>
      </c>
      <c r="C196" s="20" t="s">
        <v>1317</v>
      </c>
      <c r="D196" s="21" t="s">
        <v>9</v>
      </c>
      <c r="E196" s="22" t="s">
        <v>1692</v>
      </c>
      <c r="F196" s="23" t="s">
        <v>1693</v>
      </c>
      <c r="G196" s="24" t="s">
        <v>1312</v>
      </c>
      <c r="H196" s="19"/>
      <c r="I196" s="19" t="s">
        <v>1318</v>
      </c>
      <c r="J196" s="367">
        <v>45463</v>
      </c>
      <c r="K196" s="19"/>
      <c r="L196" s="24" t="s">
        <v>50</v>
      </c>
      <c r="M196" s="19" t="s">
        <v>1319</v>
      </c>
      <c r="N196" s="36">
        <v>44728</v>
      </c>
      <c r="O196" s="37">
        <v>254545</v>
      </c>
      <c r="P196" s="19">
        <v>5</v>
      </c>
      <c r="Q196" s="40">
        <f t="shared" si="4"/>
        <v>1272725</v>
      </c>
      <c r="R196" s="40">
        <v>275000</v>
      </c>
      <c r="S196" s="40">
        <f t="shared" si="5"/>
        <v>1375000</v>
      </c>
    </row>
    <row r="197" spans="1:19">
      <c r="A197" s="18">
        <v>196</v>
      </c>
      <c r="B197" s="19" t="s">
        <v>1320</v>
      </c>
      <c r="C197" s="20">
        <v>82472</v>
      </c>
      <c r="D197" s="21" t="s">
        <v>17</v>
      </c>
      <c r="E197" s="22" t="s">
        <v>1708</v>
      </c>
      <c r="F197" s="32" t="s">
        <v>1709</v>
      </c>
      <c r="G197" s="24" t="s">
        <v>114</v>
      </c>
      <c r="H197" s="19"/>
      <c r="I197" s="19" t="s">
        <v>1321</v>
      </c>
      <c r="J197" s="367">
        <v>45462</v>
      </c>
      <c r="K197" s="19"/>
      <c r="L197" s="24" t="s">
        <v>85</v>
      </c>
      <c r="M197" s="19" t="s">
        <v>311</v>
      </c>
      <c r="N197" s="36">
        <v>44729</v>
      </c>
      <c r="O197" s="37">
        <v>222727</v>
      </c>
      <c r="P197" s="19">
        <v>4</v>
      </c>
      <c r="Q197" s="40">
        <f t="shared" si="4"/>
        <v>890908</v>
      </c>
      <c r="R197" s="40">
        <v>278378.38</v>
      </c>
      <c r="S197" s="40">
        <f t="shared" si="5"/>
        <v>1113513.52</v>
      </c>
    </row>
    <row r="198" spans="1:19">
      <c r="A198" s="18">
        <v>197</v>
      </c>
      <c r="B198" s="19" t="s">
        <v>1322</v>
      </c>
      <c r="C198" s="20">
        <v>82472</v>
      </c>
      <c r="D198" s="21" t="s">
        <v>17</v>
      </c>
      <c r="E198" s="22" t="s">
        <v>1708</v>
      </c>
      <c r="F198" s="32" t="s">
        <v>1709</v>
      </c>
      <c r="G198" s="24" t="s">
        <v>114</v>
      </c>
      <c r="H198" s="19"/>
      <c r="I198" s="19" t="s">
        <v>1321</v>
      </c>
      <c r="J198" s="367">
        <v>45462</v>
      </c>
      <c r="K198" s="19"/>
      <c r="L198" s="24" t="s">
        <v>92</v>
      </c>
      <c r="M198" s="19" t="s">
        <v>303</v>
      </c>
      <c r="N198" s="36">
        <v>44729</v>
      </c>
      <c r="O198" s="37">
        <v>46364</v>
      </c>
      <c r="P198" s="19">
        <v>4</v>
      </c>
      <c r="Q198" s="40">
        <f t="shared" si="4"/>
        <v>185456</v>
      </c>
      <c r="R198" s="40">
        <v>57657.66</v>
      </c>
      <c r="S198" s="40">
        <f t="shared" si="5"/>
        <v>230630.64</v>
      </c>
    </row>
    <row r="199" spans="1:19">
      <c r="A199" s="18">
        <v>198</v>
      </c>
      <c r="B199" s="19" t="s">
        <v>1323</v>
      </c>
      <c r="C199" s="20">
        <v>82472</v>
      </c>
      <c r="D199" s="21" t="s">
        <v>17</v>
      </c>
      <c r="E199" s="22" t="s">
        <v>1708</v>
      </c>
      <c r="F199" s="32" t="s">
        <v>1709</v>
      </c>
      <c r="G199" s="24" t="s">
        <v>114</v>
      </c>
      <c r="H199" s="19"/>
      <c r="I199" s="19" t="s">
        <v>1324</v>
      </c>
      <c r="J199" s="367">
        <v>45125</v>
      </c>
      <c r="K199" s="19"/>
      <c r="L199" s="24" t="s">
        <v>85</v>
      </c>
      <c r="M199" s="19" t="s">
        <v>386</v>
      </c>
      <c r="N199" s="36">
        <v>44729</v>
      </c>
      <c r="O199" s="37">
        <v>222727</v>
      </c>
      <c r="P199" s="19">
        <v>1</v>
      </c>
      <c r="Q199" s="40">
        <f t="shared" si="4"/>
        <v>222727</v>
      </c>
      <c r="R199" s="40">
        <v>278378.38</v>
      </c>
      <c r="S199" s="40">
        <f t="shared" si="5"/>
        <v>278378.38</v>
      </c>
    </row>
    <row r="200" spans="1:19">
      <c r="A200" s="18">
        <v>199</v>
      </c>
      <c r="B200" s="19" t="s">
        <v>1325</v>
      </c>
      <c r="C200" s="20">
        <v>82472</v>
      </c>
      <c r="D200" s="21" t="s">
        <v>17</v>
      </c>
      <c r="E200" s="22" t="s">
        <v>1708</v>
      </c>
      <c r="F200" s="32" t="s">
        <v>1709</v>
      </c>
      <c r="G200" s="24" t="s">
        <v>114</v>
      </c>
      <c r="H200" s="19"/>
      <c r="I200" s="19" t="s">
        <v>1324</v>
      </c>
      <c r="J200" s="367">
        <v>45125</v>
      </c>
      <c r="K200" s="19"/>
      <c r="L200" s="24" t="s">
        <v>92</v>
      </c>
      <c r="M200" s="19" t="s">
        <v>377</v>
      </c>
      <c r="N200" s="36">
        <v>44729</v>
      </c>
      <c r="O200" s="37">
        <v>46364</v>
      </c>
      <c r="P200" s="19">
        <v>1</v>
      </c>
      <c r="Q200" s="40">
        <f t="shared" si="4"/>
        <v>46364</v>
      </c>
      <c r="R200" s="40">
        <v>57657.66</v>
      </c>
      <c r="S200" s="40">
        <f t="shared" si="5"/>
        <v>57657.66</v>
      </c>
    </row>
    <row r="201" spans="1:19">
      <c r="A201" s="18">
        <v>200</v>
      </c>
      <c r="B201" s="19" t="s">
        <v>1326</v>
      </c>
      <c r="C201" s="20">
        <v>82472</v>
      </c>
      <c r="D201" s="21" t="s">
        <v>17</v>
      </c>
      <c r="E201" s="22" t="s">
        <v>1708</v>
      </c>
      <c r="F201" s="32" t="s">
        <v>1709</v>
      </c>
      <c r="G201" s="24" t="s">
        <v>114</v>
      </c>
      <c r="H201" s="19"/>
      <c r="I201" s="19" t="s">
        <v>1327</v>
      </c>
      <c r="J201" s="366">
        <v>45154</v>
      </c>
      <c r="K201" s="19"/>
      <c r="L201" s="24" t="s">
        <v>85</v>
      </c>
      <c r="M201" s="19" t="s">
        <v>389</v>
      </c>
      <c r="N201" s="36">
        <v>44729</v>
      </c>
      <c r="O201" s="37">
        <v>222727</v>
      </c>
      <c r="P201" s="19">
        <v>11</v>
      </c>
      <c r="Q201" s="40">
        <f t="shared" si="4"/>
        <v>2449997</v>
      </c>
      <c r="R201" s="40">
        <v>278378.38</v>
      </c>
      <c r="S201" s="40">
        <f t="shared" si="5"/>
        <v>3062162.18</v>
      </c>
    </row>
    <row r="202" spans="1:19">
      <c r="A202" s="18">
        <v>201</v>
      </c>
      <c r="B202" s="19" t="s">
        <v>1328</v>
      </c>
      <c r="C202" s="20">
        <v>82472</v>
      </c>
      <c r="D202" s="21" t="s">
        <v>17</v>
      </c>
      <c r="E202" s="22" t="s">
        <v>1708</v>
      </c>
      <c r="F202" s="32" t="s">
        <v>1709</v>
      </c>
      <c r="G202" s="24" t="s">
        <v>114</v>
      </c>
      <c r="H202" s="19"/>
      <c r="I202" s="19" t="s">
        <v>1327</v>
      </c>
      <c r="J202" s="366">
        <v>45154</v>
      </c>
      <c r="K202" s="19"/>
      <c r="L202" s="24" t="s">
        <v>92</v>
      </c>
      <c r="M202" s="19" t="s">
        <v>380</v>
      </c>
      <c r="N202" s="36">
        <v>44729</v>
      </c>
      <c r="O202" s="37">
        <v>46364</v>
      </c>
      <c r="P202" s="19">
        <v>11</v>
      </c>
      <c r="Q202" s="40">
        <f t="shared" si="4"/>
        <v>510004</v>
      </c>
      <c r="R202" s="40">
        <v>57657.66</v>
      </c>
      <c r="S202" s="40">
        <f t="shared" si="5"/>
        <v>634234.26</v>
      </c>
    </row>
    <row r="203" spans="1:19">
      <c r="A203" s="18">
        <v>202</v>
      </c>
      <c r="B203" s="19" t="s">
        <v>1329</v>
      </c>
      <c r="C203" s="20" t="s">
        <v>1330</v>
      </c>
      <c r="D203" s="21" t="s">
        <v>16</v>
      </c>
      <c r="E203" s="22" t="s">
        <v>1706</v>
      </c>
      <c r="F203" s="32" t="s">
        <v>1707</v>
      </c>
      <c r="G203" s="24" t="s">
        <v>165</v>
      </c>
      <c r="H203" s="19"/>
      <c r="I203" s="19" t="s">
        <v>1331</v>
      </c>
      <c r="J203" s="366">
        <v>45105</v>
      </c>
      <c r="K203" s="19"/>
      <c r="L203" s="24" t="s">
        <v>85</v>
      </c>
      <c r="M203" s="19" t="s">
        <v>429</v>
      </c>
      <c r="N203" s="36">
        <v>44735</v>
      </c>
      <c r="O203" s="37">
        <v>222727</v>
      </c>
      <c r="P203" s="19">
        <v>310</v>
      </c>
      <c r="Q203" s="40">
        <f t="shared" si="4"/>
        <v>69045370</v>
      </c>
      <c r="R203" s="40">
        <v>279091</v>
      </c>
      <c r="S203" s="40">
        <f t="shared" si="5"/>
        <v>86518210</v>
      </c>
    </row>
    <row r="204" spans="1:19">
      <c r="A204" s="18">
        <v>203</v>
      </c>
      <c r="B204" s="19" t="s">
        <v>1332</v>
      </c>
      <c r="C204" s="20" t="s">
        <v>1333</v>
      </c>
      <c r="D204" s="21" t="s">
        <v>9</v>
      </c>
      <c r="E204" s="22" t="s">
        <v>1692</v>
      </c>
      <c r="F204" s="23" t="s">
        <v>1693</v>
      </c>
      <c r="G204" s="24" t="s">
        <v>1334</v>
      </c>
      <c r="H204" s="19"/>
      <c r="I204" s="19" t="s">
        <v>1268</v>
      </c>
      <c r="J204" s="367">
        <v>45472</v>
      </c>
      <c r="K204" s="19"/>
      <c r="L204" s="24" t="s">
        <v>50</v>
      </c>
      <c r="M204" s="19" t="s">
        <v>1335</v>
      </c>
      <c r="N204" s="36">
        <v>44739</v>
      </c>
      <c r="O204" s="37">
        <v>254545</v>
      </c>
      <c r="P204" s="19">
        <v>4</v>
      </c>
      <c r="Q204" s="40">
        <f t="shared" si="4"/>
        <v>1018180</v>
      </c>
      <c r="R204" s="40">
        <v>275000</v>
      </c>
      <c r="S204" s="40">
        <f t="shared" si="5"/>
        <v>1100000</v>
      </c>
    </row>
    <row r="205" spans="1:19">
      <c r="A205" s="18">
        <v>204</v>
      </c>
      <c r="B205" s="19" t="s">
        <v>1336</v>
      </c>
      <c r="C205" s="20" t="s">
        <v>1337</v>
      </c>
      <c r="D205" s="21" t="s">
        <v>6</v>
      </c>
      <c r="E205" s="22" t="s">
        <v>1694</v>
      </c>
      <c r="F205" s="32" t="s">
        <v>1695</v>
      </c>
      <c r="G205" s="24" t="s">
        <v>88</v>
      </c>
      <c r="H205" s="19"/>
      <c r="I205" s="19" t="s">
        <v>1331</v>
      </c>
      <c r="J205" s="367">
        <v>45105</v>
      </c>
      <c r="K205" s="19"/>
      <c r="L205" s="24" t="s">
        <v>63</v>
      </c>
      <c r="M205" s="19" t="s">
        <v>1338</v>
      </c>
      <c r="N205" s="36">
        <v>44740</v>
      </c>
      <c r="O205" s="37">
        <v>92727</v>
      </c>
      <c r="P205" s="19">
        <v>7</v>
      </c>
      <c r="Q205" s="40">
        <f t="shared" si="4"/>
        <v>649089</v>
      </c>
      <c r="R205" s="40">
        <v>116216.22</v>
      </c>
      <c r="S205" s="40">
        <f t="shared" si="5"/>
        <v>813513.54</v>
      </c>
    </row>
    <row r="206" spans="1:19">
      <c r="A206" s="18">
        <v>205</v>
      </c>
      <c r="B206" s="19" t="s">
        <v>1339</v>
      </c>
      <c r="C206" s="20" t="s">
        <v>1340</v>
      </c>
      <c r="D206" s="21" t="s">
        <v>16</v>
      </c>
      <c r="E206" s="22" t="s">
        <v>1706</v>
      </c>
      <c r="F206" s="32" t="s">
        <v>1707</v>
      </c>
      <c r="G206" s="24" t="s">
        <v>1276</v>
      </c>
      <c r="H206" s="19"/>
      <c r="I206" s="19" t="s">
        <v>1341</v>
      </c>
      <c r="J206" s="367">
        <v>45107</v>
      </c>
      <c r="K206" s="19"/>
      <c r="L206" s="24" t="s">
        <v>85</v>
      </c>
      <c r="M206" s="19" t="s">
        <v>1278</v>
      </c>
      <c r="N206" s="36">
        <v>44742</v>
      </c>
      <c r="O206" s="37">
        <v>222727</v>
      </c>
      <c r="P206" s="19">
        <v>5</v>
      </c>
      <c r="Q206" s="40">
        <f t="shared" ref="Q206:Q215" si="7">O206*P206</f>
        <v>1113635</v>
      </c>
      <c r="R206" s="40">
        <v>279091</v>
      </c>
      <c r="S206" s="40">
        <f t="shared" si="5"/>
        <v>1395455</v>
      </c>
    </row>
    <row r="207" spans="1:19">
      <c r="A207" s="18">
        <v>206</v>
      </c>
      <c r="B207" s="19" t="s">
        <v>1342</v>
      </c>
      <c r="C207" s="20" t="s">
        <v>1343</v>
      </c>
      <c r="D207" s="21" t="s">
        <v>9</v>
      </c>
      <c r="E207" s="22" t="s">
        <v>1692</v>
      </c>
      <c r="F207" s="23" t="s">
        <v>1693</v>
      </c>
      <c r="G207" s="24" t="s">
        <v>1344</v>
      </c>
      <c r="H207" s="19"/>
      <c r="I207" s="19" t="s">
        <v>1345</v>
      </c>
      <c r="J207" s="367">
        <v>45478</v>
      </c>
      <c r="K207" s="19"/>
      <c r="L207" s="24" t="s">
        <v>50</v>
      </c>
      <c r="M207" s="19" t="s">
        <v>1346</v>
      </c>
      <c r="N207" s="36">
        <v>44742</v>
      </c>
      <c r="O207" s="37">
        <v>254545</v>
      </c>
      <c r="P207" s="19">
        <v>2</v>
      </c>
      <c r="Q207" s="40">
        <f t="shared" si="7"/>
        <v>509090</v>
      </c>
      <c r="R207" s="40">
        <v>275000</v>
      </c>
      <c r="S207" s="40">
        <f t="shared" si="5"/>
        <v>550000</v>
      </c>
    </row>
    <row r="208" spans="1:19">
      <c r="A208" s="18">
        <v>207</v>
      </c>
      <c r="B208" s="25" t="s">
        <v>1347</v>
      </c>
      <c r="C208" s="26" t="s">
        <v>1348</v>
      </c>
      <c r="D208" s="27" t="s">
        <v>9</v>
      </c>
      <c r="E208" s="28" t="s">
        <v>1692</v>
      </c>
      <c r="F208" s="29" t="s">
        <v>1693</v>
      </c>
      <c r="G208" s="30" t="s">
        <v>1349</v>
      </c>
      <c r="H208" s="25"/>
      <c r="I208" s="25" t="s">
        <v>1350</v>
      </c>
      <c r="J208" s="367">
        <v>45501</v>
      </c>
      <c r="K208" s="25"/>
      <c r="L208" s="30" t="s">
        <v>50</v>
      </c>
      <c r="M208" s="25" t="s">
        <v>1351</v>
      </c>
      <c r="N208" s="38">
        <v>44747</v>
      </c>
      <c r="O208" s="39">
        <v>254545</v>
      </c>
      <c r="P208" s="25">
        <v>1</v>
      </c>
      <c r="Q208" s="41">
        <f t="shared" si="7"/>
        <v>254545</v>
      </c>
      <c r="R208" s="41">
        <v>275000</v>
      </c>
      <c r="S208" s="41">
        <f t="shared" si="5"/>
        <v>275000</v>
      </c>
    </row>
    <row r="209" spans="1:19">
      <c r="A209" s="18">
        <v>208</v>
      </c>
      <c r="B209" s="25" t="s">
        <v>1352</v>
      </c>
      <c r="C209" s="26">
        <v>4010013271</v>
      </c>
      <c r="D209" s="27" t="s">
        <v>2</v>
      </c>
      <c r="E209" s="28" t="s">
        <v>1710</v>
      </c>
      <c r="F209" s="31" t="s">
        <v>1711</v>
      </c>
      <c r="G209" s="27" t="s">
        <v>1353</v>
      </c>
      <c r="H209" s="25"/>
      <c r="I209" s="25" t="s">
        <v>1354</v>
      </c>
      <c r="J209" s="367">
        <v>45127</v>
      </c>
      <c r="K209" s="25"/>
      <c r="L209" s="30" t="s">
        <v>63</v>
      </c>
      <c r="M209" s="25" t="s">
        <v>424</v>
      </c>
      <c r="N209" s="38">
        <v>44749</v>
      </c>
      <c r="O209" s="39">
        <v>92727</v>
      </c>
      <c r="P209" s="25">
        <v>250</v>
      </c>
      <c r="Q209" s="41">
        <f t="shared" si="7"/>
        <v>23181750</v>
      </c>
      <c r="R209" s="41">
        <f>188700/1.11</f>
        <v>169999.99999999997</v>
      </c>
      <c r="S209" s="41">
        <f t="shared" si="5"/>
        <v>42499999.999999993</v>
      </c>
    </row>
    <row r="210" spans="1:19">
      <c r="A210" s="18">
        <v>209</v>
      </c>
      <c r="B210" s="25" t="s">
        <v>1355</v>
      </c>
      <c r="C210" s="26">
        <v>4010013271</v>
      </c>
      <c r="D210" s="27" t="s">
        <v>2</v>
      </c>
      <c r="E210" s="28" t="s">
        <v>1710</v>
      </c>
      <c r="F210" s="31" t="s">
        <v>1711</v>
      </c>
      <c r="G210" s="27" t="s">
        <v>1353</v>
      </c>
      <c r="H210" s="25"/>
      <c r="I210" s="25" t="s">
        <v>1354</v>
      </c>
      <c r="J210" s="367">
        <v>45127</v>
      </c>
      <c r="K210" s="25"/>
      <c r="L210" s="30" t="s">
        <v>85</v>
      </c>
      <c r="M210" s="25" t="s">
        <v>422</v>
      </c>
      <c r="N210" s="38">
        <v>44749</v>
      </c>
      <c r="O210" s="39">
        <v>222727</v>
      </c>
      <c r="P210" s="25">
        <v>50</v>
      </c>
      <c r="Q210" s="41">
        <f t="shared" si="7"/>
        <v>11136350</v>
      </c>
      <c r="R210" s="41">
        <f>354090/1.11</f>
        <v>319000</v>
      </c>
      <c r="S210" s="41">
        <f t="shared" ref="S210:S250" si="8">R210*P210</f>
        <v>15950000</v>
      </c>
    </row>
    <row r="211" spans="1:19">
      <c r="A211" s="18">
        <v>210</v>
      </c>
      <c r="B211" s="25" t="s">
        <v>1356</v>
      </c>
      <c r="C211" s="26" t="s">
        <v>1357</v>
      </c>
      <c r="D211" s="27" t="s">
        <v>6</v>
      </c>
      <c r="E211" s="28" t="s">
        <v>1694</v>
      </c>
      <c r="F211" s="31" t="s">
        <v>1695</v>
      </c>
      <c r="G211" s="30" t="s">
        <v>218</v>
      </c>
      <c r="H211" s="25"/>
      <c r="I211" s="25" t="s">
        <v>1358</v>
      </c>
      <c r="J211" s="367">
        <v>45120</v>
      </c>
      <c r="K211" s="25"/>
      <c r="L211" s="30" t="s">
        <v>63</v>
      </c>
      <c r="M211" s="25" t="s">
        <v>1359</v>
      </c>
      <c r="N211" s="38">
        <v>44750</v>
      </c>
      <c r="O211" s="39">
        <v>92727</v>
      </c>
      <c r="P211" s="25">
        <v>4</v>
      </c>
      <c r="Q211" s="41">
        <f t="shared" si="7"/>
        <v>370908</v>
      </c>
      <c r="R211" s="41">
        <v>117273</v>
      </c>
      <c r="S211" s="41">
        <f t="shared" si="8"/>
        <v>469092</v>
      </c>
    </row>
    <row r="212" spans="1:19">
      <c r="A212" s="18">
        <v>211</v>
      </c>
      <c r="B212" s="25" t="s">
        <v>1356</v>
      </c>
      <c r="C212" s="26" t="s">
        <v>1360</v>
      </c>
      <c r="D212" s="27" t="s">
        <v>19</v>
      </c>
      <c r="E212" s="28" t="s">
        <v>1704</v>
      </c>
      <c r="F212" s="31" t="s">
        <v>1705</v>
      </c>
      <c r="G212" s="30" t="s">
        <v>462</v>
      </c>
      <c r="H212" s="25"/>
      <c r="I212" s="25" t="s">
        <v>1361</v>
      </c>
      <c r="J212" s="367">
        <v>45138</v>
      </c>
      <c r="K212" s="25"/>
      <c r="L212" s="30" t="s">
        <v>85</v>
      </c>
      <c r="M212" s="25" t="s">
        <v>1362</v>
      </c>
      <c r="N212" s="38">
        <v>44750</v>
      </c>
      <c r="O212" s="39">
        <v>222727</v>
      </c>
      <c r="P212" s="25">
        <v>16</v>
      </c>
      <c r="Q212" s="41">
        <f t="shared" si="7"/>
        <v>3563632</v>
      </c>
      <c r="R212" s="41">
        <v>279091</v>
      </c>
      <c r="S212" s="41">
        <f t="shared" si="8"/>
        <v>4465456</v>
      </c>
    </row>
    <row r="213" spans="1:19">
      <c r="A213" s="18">
        <v>212</v>
      </c>
      <c r="B213" s="25" t="s">
        <v>1363</v>
      </c>
      <c r="C213" s="26" t="s">
        <v>1364</v>
      </c>
      <c r="D213" s="27" t="s">
        <v>9</v>
      </c>
      <c r="E213" s="28" t="s">
        <v>1692</v>
      </c>
      <c r="F213" s="29" t="s">
        <v>1693</v>
      </c>
      <c r="G213" s="30" t="s">
        <v>1365</v>
      </c>
      <c r="H213" s="25"/>
      <c r="I213" s="25" t="s">
        <v>1366</v>
      </c>
      <c r="J213" s="367">
        <v>45492</v>
      </c>
      <c r="K213" s="25"/>
      <c r="L213" s="30" t="s">
        <v>50</v>
      </c>
      <c r="M213" s="25" t="s">
        <v>1367</v>
      </c>
      <c r="N213" s="38">
        <v>44757</v>
      </c>
      <c r="O213" s="39">
        <v>254545</v>
      </c>
      <c r="P213" s="25">
        <v>7</v>
      </c>
      <c r="Q213" s="41">
        <f t="shared" si="7"/>
        <v>1781815</v>
      </c>
      <c r="R213" s="41">
        <v>275000</v>
      </c>
      <c r="S213" s="41">
        <f t="shared" si="8"/>
        <v>1925000</v>
      </c>
    </row>
    <row r="214" spans="1:19">
      <c r="A214" s="18">
        <v>213</v>
      </c>
      <c r="B214" s="25" t="s">
        <v>1368</v>
      </c>
      <c r="C214" s="26" t="s">
        <v>1364</v>
      </c>
      <c r="D214" s="27" t="s">
        <v>9</v>
      </c>
      <c r="E214" s="28" t="s">
        <v>1692</v>
      </c>
      <c r="F214" s="29" t="s">
        <v>1693</v>
      </c>
      <c r="G214" s="30" t="s">
        <v>1369</v>
      </c>
      <c r="H214" s="25"/>
      <c r="I214" s="25" t="s">
        <v>1366</v>
      </c>
      <c r="J214" s="367">
        <v>45492</v>
      </c>
      <c r="K214" s="25"/>
      <c r="L214" s="30" t="s">
        <v>50</v>
      </c>
      <c r="M214" s="25" t="s">
        <v>1370</v>
      </c>
      <c r="N214" s="38">
        <v>44757</v>
      </c>
      <c r="O214" s="39">
        <v>254545</v>
      </c>
      <c r="P214" s="25">
        <v>3</v>
      </c>
      <c r="Q214" s="41">
        <f t="shared" si="7"/>
        <v>763635</v>
      </c>
      <c r="R214" s="41">
        <v>275000</v>
      </c>
      <c r="S214" s="41">
        <f t="shared" si="8"/>
        <v>825000</v>
      </c>
    </row>
    <row r="215" spans="1:19">
      <c r="A215" s="18">
        <v>214</v>
      </c>
      <c r="B215" s="25" t="s">
        <v>1371</v>
      </c>
      <c r="C215" s="26" t="s">
        <v>1372</v>
      </c>
      <c r="D215" s="27" t="s">
        <v>11</v>
      </c>
      <c r="E215" s="28" t="s">
        <v>1696</v>
      </c>
      <c r="F215" s="31" t="s">
        <v>1697</v>
      </c>
      <c r="G215" s="27" t="s">
        <v>11</v>
      </c>
      <c r="H215" s="25"/>
      <c r="I215" s="25" t="s">
        <v>1373</v>
      </c>
      <c r="J215" s="367">
        <v>45125</v>
      </c>
      <c r="K215" s="25"/>
      <c r="L215" s="30" t="s">
        <v>92</v>
      </c>
      <c r="M215" s="25" t="s">
        <v>1374</v>
      </c>
      <c r="N215" s="38">
        <v>44760</v>
      </c>
      <c r="O215" s="39">
        <v>46364</v>
      </c>
      <c r="P215" s="25">
        <v>300</v>
      </c>
      <c r="Q215" s="41">
        <f t="shared" si="7"/>
        <v>13909200</v>
      </c>
      <c r="R215" s="41">
        <v>55273</v>
      </c>
      <c r="S215" s="41">
        <f t="shared" si="8"/>
        <v>16581900</v>
      </c>
    </row>
    <row r="216" spans="1:19">
      <c r="A216" s="18">
        <v>215</v>
      </c>
      <c r="B216" s="25" t="s">
        <v>1375</v>
      </c>
      <c r="C216" s="26" t="s">
        <v>1376</v>
      </c>
      <c r="D216" s="27" t="s">
        <v>11</v>
      </c>
      <c r="E216" s="28" t="s">
        <v>1696</v>
      </c>
      <c r="F216" s="31" t="s">
        <v>1697</v>
      </c>
      <c r="G216" s="30" t="s">
        <v>320</v>
      </c>
      <c r="H216" s="25"/>
      <c r="I216" s="25" t="s">
        <v>1377</v>
      </c>
      <c r="J216" s="367">
        <v>45510</v>
      </c>
      <c r="K216" s="25"/>
      <c r="L216" s="30" t="s">
        <v>50</v>
      </c>
      <c r="M216" s="25" t="s">
        <v>1378</v>
      </c>
      <c r="N216" s="38">
        <v>44762</v>
      </c>
      <c r="O216" s="39">
        <v>444545</v>
      </c>
      <c r="P216" s="25">
        <v>28</v>
      </c>
      <c r="Q216" s="41">
        <f t="shared" ref="Q216:Q280" si="9">O216*P216</f>
        <v>12447260</v>
      </c>
      <c r="R216" s="41">
        <v>556363.63</v>
      </c>
      <c r="S216" s="41">
        <f t="shared" si="8"/>
        <v>15578181.640000001</v>
      </c>
    </row>
    <row r="217" spans="1:19">
      <c r="A217" s="18">
        <v>216</v>
      </c>
      <c r="B217" s="25" t="s">
        <v>1379</v>
      </c>
      <c r="C217" s="26" t="s">
        <v>1376</v>
      </c>
      <c r="D217" s="27" t="s">
        <v>11</v>
      </c>
      <c r="E217" s="28" t="s">
        <v>1696</v>
      </c>
      <c r="F217" s="31" t="s">
        <v>1697</v>
      </c>
      <c r="G217" s="30" t="s">
        <v>320</v>
      </c>
      <c r="H217" s="25"/>
      <c r="I217" s="25" t="s">
        <v>1380</v>
      </c>
      <c r="J217" s="367">
        <v>45506</v>
      </c>
      <c r="K217" s="25"/>
      <c r="L217" s="30" t="s">
        <v>50</v>
      </c>
      <c r="M217" s="25" t="s">
        <v>1381</v>
      </c>
      <c r="N217" s="38">
        <v>44762</v>
      </c>
      <c r="O217" s="39">
        <v>444545</v>
      </c>
      <c r="P217" s="25">
        <v>3</v>
      </c>
      <c r="Q217" s="41">
        <f t="shared" si="9"/>
        <v>1333635</v>
      </c>
      <c r="R217" s="41">
        <v>556363.63</v>
      </c>
      <c r="S217" s="41">
        <f t="shared" si="8"/>
        <v>1669090.8900000001</v>
      </c>
    </row>
    <row r="218" spans="1:19">
      <c r="A218" s="18">
        <v>217</v>
      </c>
      <c r="B218" s="25" t="s">
        <v>1382</v>
      </c>
      <c r="C218" s="26">
        <v>2500016606</v>
      </c>
      <c r="D218" s="27" t="s">
        <v>10</v>
      </c>
      <c r="E218" s="28" t="s">
        <v>1702</v>
      </c>
      <c r="F218" s="31" t="s">
        <v>1703</v>
      </c>
      <c r="G218" s="30" t="s">
        <v>814</v>
      </c>
      <c r="H218" s="25"/>
      <c r="I218" s="25" t="s">
        <v>1383</v>
      </c>
      <c r="J218" s="367">
        <v>44794</v>
      </c>
      <c r="K218" s="25"/>
      <c r="L218" s="30" t="s">
        <v>816</v>
      </c>
      <c r="M218" s="25" t="s">
        <v>1384</v>
      </c>
      <c r="N218" s="38">
        <v>44763</v>
      </c>
      <c r="O218" s="39">
        <v>22727</v>
      </c>
      <c r="P218" s="25">
        <v>5</v>
      </c>
      <c r="Q218" s="41">
        <f t="shared" si="9"/>
        <v>113635</v>
      </c>
      <c r="R218" s="41">
        <v>29091</v>
      </c>
      <c r="S218" s="41">
        <f t="shared" si="8"/>
        <v>145455</v>
      </c>
    </row>
    <row r="219" spans="1:19">
      <c r="A219" s="18">
        <v>218</v>
      </c>
      <c r="B219" s="25" t="s">
        <v>1385</v>
      </c>
      <c r="C219" s="26" t="s">
        <v>1386</v>
      </c>
      <c r="D219" s="27" t="s">
        <v>9</v>
      </c>
      <c r="E219" s="28" t="s">
        <v>1692</v>
      </c>
      <c r="F219" s="29" t="s">
        <v>1693</v>
      </c>
      <c r="G219" s="30" t="s">
        <v>1387</v>
      </c>
      <c r="H219" s="25"/>
      <c r="I219" s="25" t="s">
        <v>1388</v>
      </c>
      <c r="J219" s="367">
        <v>45507</v>
      </c>
      <c r="K219" s="25"/>
      <c r="L219" s="30" t="s">
        <v>50</v>
      </c>
      <c r="M219" s="25" t="s">
        <v>1389</v>
      </c>
      <c r="N219" s="38">
        <v>44767</v>
      </c>
      <c r="O219" s="39">
        <v>254545</v>
      </c>
      <c r="P219" s="25">
        <v>6</v>
      </c>
      <c r="Q219" s="41">
        <f t="shared" si="9"/>
        <v>1527270</v>
      </c>
      <c r="R219" s="41">
        <v>275000</v>
      </c>
      <c r="S219" s="41">
        <f t="shared" si="8"/>
        <v>1650000</v>
      </c>
    </row>
    <row r="220" spans="1:19">
      <c r="A220" s="18">
        <v>219</v>
      </c>
      <c r="B220" s="25" t="s">
        <v>1390</v>
      </c>
      <c r="C220" s="26" t="s">
        <v>1386</v>
      </c>
      <c r="D220" s="27" t="s">
        <v>9</v>
      </c>
      <c r="E220" s="28" t="s">
        <v>1692</v>
      </c>
      <c r="F220" s="29" t="s">
        <v>1693</v>
      </c>
      <c r="G220" s="30" t="s">
        <v>1391</v>
      </c>
      <c r="H220" s="25"/>
      <c r="I220" s="25" t="s">
        <v>1388</v>
      </c>
      <c r="J220" s="367">
        <v>45507</v>
      </c>
      <c r="K220" s="25"/>
      <c r="L220" s="30" t="s">
        <v>50</v>
      </c>
      <c r="M220" s="25" t="s">
        <v>1392</v>
      </c>
      <c r="N220" s="38">
        <v>44767</v>
      </c>
      <c r="O220" s="39">
        <v>254545</v>
      </c>
      <c r="P220" s="25">
        <v>6</v>
      </c>
      <c r="Q220" s="41">
        <f t="shared" si="9"/>
        <v>1527270</v>
      </c>
      <c r="R220" s="41">
        <v>275000</v>
      </c>
      <c r="S220" s="41">
        <f t="shared" si="8"/>
        <v>1650000</v>
      </c>
    </row>
    <row r="221" spans="1:19">
      <c r="A221" s="18">
        <v>220</v>
      </c>
      <c r="B221" s="25" t="s">
        <v>1393</v>
      </c>
      <c r="C221" s="26" t="s">
        <v>1386</v>
      </c>
      <c r="D221" s="27" t="s">
        <v>9</v>
      </c>
      <c r="E221" s="28" t="s">
        <v>1692</v>
      </c>
      <c r="F221" s="29" t="s">
        <v>1693</v>
      </c>
      <c r="G221" s="30" t="s">
        <v>1394</v>
      </c>
      <c r="H221" s="25"/>
      <c r="I221" s="25" t="s">
        <v>1395</v>
      </c>
      <c r="J221" s="367">
        <v>45512</v>
      </c>
      <c r="K221" s="25"/>
      <c r="L221" s="30" t="s">
        <v>50</v>
      </c>
      <c r="M221" s="25" t="s">
        <v>1396</v>
      </c>
      <c r="N221" s="38">
        <v>44767</v>
      </c>
      <c r="O221" s="39">
        <v>254545</v>
      </c>
      <c r="P221" s="25">
        <v>3</v>
      </c>
      <c r="Q221" s="41">
        <f t="shared" si="9"/>
        <v>763635</v>
      </c>
      <c r="R221" s="41">
        <v>275000</v>
      </c>
      <c r="S221" s="41">
        <f t="shared" si="8"/>
        <v>825000</v>
      </c>
    </row>
    <row r="222" spans="1:19">
      <c r="A222" s="18">
        <v>221</v>
      </c>
      <c r="B222" s="25" t="s">
        <v>1397</v>
      </c>
      <c r="C222" s="26" t="s">
        <v>1398</v>
      </c>
      <c r="D222" s="27" t="s">
        <v>11</v>
      </c>
      <c r="E222" s="28" t="s">
        <v>1696</v>
      </c>
      <c r="F222" s="31" t="s">
        <v>1697</v>
      </c>
      <c r="G222" s="30" t="s">
        <v>733</v>
      </c>
      <c r="H222" s="25"/>
      <c r="I222" s="25" t="s">
        <v>1399</v>
      </c>
      <c r="J222" s="366">
        <v>45112</v>
      </c>
      <c r="K222" s="25"/>
      <c r="L222" s="30" t="s">
        <v>85</v>
      </c>
      <c r="M222" s="25" t="s">
        <v>1400</v>
      </c>
      <c r="N222" s="38">
        <v>44767</v>
      </c>
      <c r="O222" s="39">
        <v>222727</v>
      </c>
      <c r="P222" s="25">
        <v>1</v>
      </c>
      <c r="Q222" s="41">
        <f t="shared" si="9"/>
        <v>222727</v>
      </c>
      <c r="R222" s="41">
        <v>279091</v>
      </c>
      <c r="S222" s="41">
        <f t="shared" si="8"/>
        <v>279091</v>
      </c>
    </row>
    <row r="223" spans="1:19">
      <c r="A223" s="18">
        <v>222</v>
      </c>
      <c r="B223" s="25" t="s">
        <v>1401</v>
      </c>
      <c r="C223" s="26" t="s">
        <v>1402</v>
      </c>
      <c r="D223" s="27" t="s">
        <v>9</v>
      </c>
      <c r="E223" s="28" t="s">
        <v>1692</v>
      </c>
      <c r="F223" s="29" t="s">
        <v>1693</v>
      </c>
      <c r="G223" s="30" t="s">
        <v>1403</v>
      </c>
      <c r="H223" s="25"/>
      <c r="I223" s="25" t="s">
        <v>1404</v>
      </c>
      <c r="J223" s="367">
        <v>45505</v>
      </c>
      <c r="K223" s="25"/>
      <c r="L223" s="30" t="s">
        <v>50</v>
      </c>
      <c r="M223" s="25" t="s">
        <v>1405</v>
      </c>
      <c r="N223" s="38">
        <v>44769</v>
      </c>
      <c r="O223" s="39">
        <v>254545</v>
      </c>
      <c r="P223" s="25">
        <v>1</v>
      </c>
      <c r="Q223" s="41">
        <f t="shared" si="9"/>
        <v>254545</v>
      </c>
      <c r="R223" s="41">
        <v>275000</v>
      </c>
      <c r="S223" s="41">
        <f t="shared" si="8"/>
        <v>275000</v>
      </c>
    </row>
    <row r="224" spans="1:19">
      <c r="A224" s="18">
        <v>223</v>
      </c>
      <c r="B224" s="25" t="s">
        <v>1406</v>
      </c>
      <c r="C224" s="26" t="s">
        <v>1402</v>
      </c>
      <c r="D224" s="27" t="s">
        <v>9</v>
      </c>
      <c r="E224" s="28" t="s">
        <v>1692</v>
      </c>
      <c r="F224" s="29" t="s">
        <v>1693</v>
      </c>
      <c r="G224" s="27" t="s">
        <v>1407</v>
      </c>
      <c r="H224" s="25"/>
      <c r="I224" s="25" t="s">
        <v>1408</v>
      </c>
      <c r="J224" s="367">
        <v>45508</v>
      </c>
      <c r="K224" s="25"/>
      <c r="L224" s="30" t="s">
        <v>50</v>
      </c>
      <c r="M224" s="25" t="s">
        <v>1409</v>
      </c>
      <c r="N224" s="38">
        <v>44769</v>
      </c>
      <c r="O224" s="39">
        <v>254545</v>
      </c>
      <c r="P224" s="25">
        <v>1</v>
      </c>
      <c r="Q224" s="41">
        <f t="shared" si="9"/>
        <v>254545</v>
      </c>
      <c r="R224" s="41">
        <v>275000</v>
      </c>
      <c r="S224" s="41">
        <f t="shared" si="8"/>
        <v>275000</v>
      </c>
    </row>
    <row r="225" spans="1:19">
      <c r="A225" s="18">
        <v>224</v>
      </c>
      <c r="B225" s="25" t="s">
        <v>1410</v>
      </c>
      <c r="C225" s="26" t="s">
        <v>1411</v>
      </c>
      <c r="D225" s="27" t="s">
        <v>11</v>
      </c>
      <c r="E225" s="28" t="s">
        <v>1696</v>
      </c>
      <c r="F225" s="31" t="s">
        <v>1697</v>
      </c>
      <c r="G225" s="30" t="s">
        <v>1412</v>
      </c>
      <c r="H225" s="25"/>
      <c r="I225" s="25" t="s">
        <v>1361</v>
      </c>
      <c r="J225" s="367">
        <v>45108</v>
      </c>
      <c r="K225" s="25"/>
      <c r="L225" s="30" t="s">
        <v>1413</v>
      </c>
      <c r="M225" s="25" t="s">
        <v>1414</v>
      </c>
      <c r="N225" s="38">
        <v>44770</v>
      </c>
      <c r="O225" s="39">
        <v>106575</v>
      </c>
      <c r="P225" s="25">
        <v>2</v>
      </c>
      <c r="Q225" s="41">
        <f t="shared" si="9"/>
        <v>213150</v>
      </c>
      <c r="R225" s="41">
        <v>116264</v>
      </c>
      <c r="S225" s="41">
        <f t="shared" si="8"/>
        <v>232528</v>
      </c>
    </row>
    <row r="226" spans="1:19">
      <c r="A226" s="18">
        <v>225</v>
      </c>
      <c r="B226" s="19" t="s">
        <v>1415</v>
      </c>
      <c r="C226" s="20" t="s">
        <v>1416</v>
      </c>
      <c r="D226" s="21" t="s">
        <v>9</v>
      </c>
      <c r="E226" s="22" t="s">
        <v>1692</v>
      </c>
      <c r="F226" s="23" t="s">
        <v>1693</v>
      </c>
      <c r="G226" s="21" t="s">
        <v>1417</v>
      </c>
      <c r="H226" s="19"/>
      <c r="I226" s="19" t="s">
        <v>1418</v>
      </c>
      <c r="J226" s="367">
        <v>45511</v>
      </c>
      <c r="K226" s="19"/>
      <c r="L226" s="24" t="s">
        <v>50</v>
      </c>
      <c r="M226" s="19" t="s">
        <v>1419</v>
      </c>
      <c r="N226" s="36">
        <v>44776</v>
      </c>
      <c r="O226" s="37">
        <v>254545</v>
      </c>
      <c r="P226" s="19">
        <v>3</v>
      </c>
      <c r="Q226" s="40">
        <f t="shared" si="9"/>
        <v>763635</v>
      </c>
      <c r="R226" s="40">
        <v>275000</v>
      </c>
      <c r="S226" s="40">
        <f t="shared" si="8"/>
        <v>825000</v>
      </c>
    </row>
    <row r="227" spans="1:19">
      <c r="A227" s="18">
        <v>226</v>
      </c>
      <c r="B227" s="19" t="s">
        <v>1420</v>
      </c>
      <c r="C227" s="20" t="s">
        <v>1421</v>
      </c>
      <c r="D227" s="21" t="s">
        <v>2</v>
      </c>
      <c r="E227" s="22" t="s">
        <v>1712</v>
      </c>
      <c r="F227" s="32" t="s">
        <v>1713</v>
      </c>
      <c r="G227" s="21" t="s">
        <v>462</v>
      </c>
      <c r="H227" s="19"/>
      <c r="I227" s="19" t="s">
        <v>1422</v>
      </c>
      <c r="J227" s="367">
        <v>45525</v>
      </c>
      <c r="K227" s="19"/>
      <c r="L227" s="24" t="s">
        <v>85</v>
      </c>
      <c r="M227" s="19" t="s">
        <v>1423</v>
      </c>
      <c r="N227" s="36">
        <v>44789</v>
      </c>
      <c r="O227" s="37">
        <v>222727</v>
      </c>
      <c r="P227" s="19">
        <v>53</v>
      </c>
      <c r="Q227" s="40">
        <f t="shared" si="9"/>
        <v>11804531</v>
      </c>
      <c r="R227" s="40">
        <f>410000/1.11</f>
        <v>369369.36936936935</v>
      </c>
      <c r="S227" s="40">
        <f t="shared" si="8"/>
        <v>19576576.576576576</v>
      </c>
    </row>
    <row r="228" spans="1:19">
      <c r="A228" s="18">
        <v>227</v>
      </c>
      <c r="B228" s="19" t="s">
        <v>1424</v>
      </c>
      <c r="C228" s="20" t="s">
        <v>1425</v>
      </c>
      <c r="D228" s="21" t="s">
        <v>2</v>
      </c>
      <c r="E228" s="22" t="s">
        <v>1714</v>
      </c>
      <c r="F228" s="32" t="s">
        <v>1715</v>
      </c>
      <c r="G228" s="21" t="s">
        <v>556</v>
      </c>
      <c r="H228" s="19"/>
      <c r="I228" s="19" t="s">
        <v>1426</v>
      </c>
      <c r="J228" s="367">
        <v>45177</v>
      </c>
      <c r="K228" s="19"/>
      <c r="L228" s="24" t="s">
        <v>85</v>
      </c>
      <c r="M228" s="19" t="s">
        <v>1427</v>
      </c>
      <c r="N228" s="36">
        <v>44792</v>
      </c>
      <c r="O228" s="37">
        <v>222727</v>
      </c>
      <c r="P228" s="19">
        <v>350</v>
      </c>
      <c r="Q228" s="40">
        <f t="shared" si="9"/>
        <v>77954450</v>
      </c>
      <c r="R228" s="40">
        <v>357000</v>
      </c>
      <c r="S228" s="40">
        <f t="shared" si="8"/>
        <v>124950000</v>
      </c>
    </row>
    <row r="229" spans="1:19">
      <c r="A229" s="18">
        <v>228</v>
      </c>
      <c r="B229" s="19" t="s">
        <v>1428</v>
      </c>
      <c r="C229" s="20" t="s">
        <v>1429</v>
      </c>
      <c r="D229" s="21" t="s">
        <v>11</v>
      </c>
      <c r="E229" s="22" t="s">
        <v>1696</v>
      </c>
      <c r="F229" s="32" t="s">
        <v>1697</v>
      </c>
      <c r="G229" s="24" t="s">
        <v>1188</v>
      </c>
      <c r="H229" s="19"/>
      <c r="I229" s="19" t="s">
        <v>1422</v>
      </c>
      <c r="J229" s="367">
        <v>45525</v>
      </c>
      <c r="K229" s="19"/>
      <c r="L229" s="24" t="s">
        <v>50</v>
      </c>
      <c r="M229" s="19" t="s">
        <v>1430</v>
      </c>
      <c r="N229" s="36">
        <v>44795</v>
      </c>
      <c r="O229" s="37">
        <v>444545</v>
      </c>
      <c r="P229" s="19">
        <v>1</v>
      </c>
      <c r="Q229" s="40">
        <f t="shared" si="9"/>
        <v>444545</v>
      </c>
      <c r="R229" s="40">
        <v>556363.63</v>
      </c>
      <c r="S229" s="40">
        <f t="shared" si="8"/>
        <v>556363.63</v>
      </c>
    </row>
    <row r="230" spans="1:19">
      <c r="A230" s="18">
        <v>229</v>
      </c>
      <c r="B230" s="19" t="s">
        <v>1431</v>
      </c>
      <c r="C230" s="20" t="s">
        <v>1432</v>
      </c>
      <c r="D230" s="21" t="s">
        <v>1296</v>
      </c>
      <c r="E230" s="22" t="s">
        <v>1696</v>
      </c>
      <c r="F230" s="32" t="s">
        <v>1697</v>
      </c>
      <c r="G230" s="24" t="s">
        <v>733</v>
      </c>
      <c r="H230" s="19"/>
      <c r="I230" s="19" t="s">
        <v>1433</v>
      </c>
      <c r="J230" s="367">
        <v>45166</v>
      </c>
      <c r="K230" s="19"/>
      <c r="L230" s="24" t="s">
        <v>85</v>
      </c>
      <c r="M230" s="19" t="s">
        <v>1434</v>
      </c>
      <c r="N230" s="36">
        <v>44799</v>
      </c>
      <c r="O230" s="37">
        <v>222727</v>
      </c>
      <c r="P230" s="19">
        <v>1</v>
      </c>
      <c r="Q230" s="40">
        <f t="shared" si="9"/>
        <v>222727</v>
      </c>
      <c r="R230" s="40">
        <v>279091</v>
      </c>
      <c r="S230" s="40">
        <f t="shared" si="8"/>
        <v>279091</v>
      </c>
    </row>
    <row r="231" spans="1:19">
      <c r="A231" s="18">
        <v>230</v>
      </c>
      <c r="B231" s="19" t="s">
        <v>1435</v>
      </c>
      <c r="C231" s="20" t="s">
        <v>1436</v>
      </c>
      <c r="D231" s="21" t="s">
        <v>1437</v>
      </c>
      <c r="E231" s="22" t="s">
        <v>1716</v>
      </c>
      <c r="F231" s="32" t="s">
        <v>1717</v>
      </c>
      <c r="G231" s="24" t="s">
        <v>1438</v>
      </c>
      <c r="H231" s="19"/>
      <c r="I231" s="19" t="s">
        <v>1439</v>
      </c>
      <c r="J231" s="367">
        <v>45168</v>
      </c>
      <c r="K231" s="19"/>
      <c r="L231" s="24" t="s">
        <v>63</v>
      </c>
      <c r="M231" s="19" t="s">
        <v>1440</v>
      </c>
      <c r="N231" s="36">
        <v>44804</v>
      </c>
      <c r="O231" s="37">
        <v>74181.600000000006</v>
      </c>
      <c r="P231" s="19">
        <v>150</v>
      </c>
      <c r="Q231" s="40">
        <f t="shared" si="9"/>
        <v>11127240</v>
      </c>
      <c r="R231" s="40">
        <f>145815/1.11</f>
        <v>131364.86486486485</v>
      </c>
      <c r="S231" s="40">
        <f t="shared" si="8"/>
        <v>19704729.729729727</v>
      </c>
    </row>
    <row r="232" spans="1:19">
      <c r="A232" s="18">
        <v>231</v>
      </c>
      <c r="B232" s="19" t="s">
        <v>1441</v>
      </c>
      <c r="C232" s="20">
        <v>2500018879</v>
      </c>
      <c r="D232" s="21" t="s">
        <v>10</v>
      </c>
      <c r="E232" s="22" t="s">
        <v>1702</v>
      </c>
      <c r="F232" s="32" t="s">
        <v>1703</v>
      </c>
      <c r="G232" s="24" t="s">
        <v>814</v>
      </c>
      <c r="H232" s="19"/>
      <c r="I232" s="19" t="s">
        <v>1442</v>
      </c>
      <c r="J232" s="367">
        <v>44825</v>
      </c>
      <c r="K232" s="19"/>
      <c r="L232" s="24" t="s">
        <v>816</v>
      </c>
      <c r="M232" s="19" t="s">
        <v>1384</v>
      </c>
      <c r="N232" s="36">
        <v>44783</v>
      </c>
      <c r="O232" s="37">
        <v>22727</v>
      </c>
      <c r="P232" s="19">
        <v>5</v>
      </c>
      <c r="Q232" s="40">
        <f t="shared" si="9"/>
        <v>113635</v>
      </c>
      <c r="R232" s="40">
        <v>29091</v>
      </c>
      <c r="S232" s="40">
        <f t="shared" si="8"/>
        <v>145455</v>
      </c>
    </row>
    <row r="233" spans="1:19">
      <c r="A233" s="18">
        <v>232</v>
      </c>
      <c r="B233" s="25" t="s">
        <v>1443</v>
      </c>
      <c r="C233" s="26" t="s">
        <v>1444</v>
      </c>
      <c r="D233" s="27" t="s">
        <v>82</v>
      </c>
      <c r="E233" s="28" t="s">
        <v>1698</v>
      </c>
      <c r="F233" s="31" t="s">
        <v>1699</v>
      </c>
      <c r="G233" s="30" t="s">
        <v>83</v>
      </c>
      <c r="H233" s="25"/>
      <c r="I233" s="25" t="s">
        <v>1445</v>
      </c>
      <c r="J233" s="367">
        <v>45175</v>
      </c>
      <c r="K233" s="25"/>
      <c r="L233" s="30" t="s">
        <v>85</v>
      </c>
      <c r="M233" s="25" t="s">
        <v>1446</v>
      </c>
      <c r="N233" s="38">
        <v>44809</v>
      </c>
      <c r="O233" s="39">
        <v>222727</v>
      </c>
      <c r="P233" s="25">
        <v>84</v>
      </c>
      <c r="Q233" s="41">
        <f t="shared" si="9"/>
        <v>18709068</v>
      </c>
      <c r="R233" s="41">
        <v>279090.90999999997</v>
      </c>
      <c r="S233" s="41">
        <f t="shared" si="8"/>
        <v>23443636.439999998</v>
      </c>
    </row>
    <row r="234" spans="1:19">
      <c r="A234" s="18">
        <v>233</v>
      </c>
      <c r="B234" s="25" t="s">
        <v>1447</v>
      </c>
      <c r="C234" s="26">
        <v>83338</v>
      </c>
      <c r="D234" s="27" t="s">
        <v>17</v>
      </c>
      <c r="E234" s="28" t="s">
        <v>1708</v>
      </c>
      <c r="F234" s="31" t="s">
        <v>1709</v>
      </c>
      <c r="G234" s="27" t="s">
        <v>88</v>
      </c>
      <c r="H234" s="25"/>
      <c r="I234" s="25" t="s">
        <v>1448</v>
      </c>
      <c r="J234" s="367">
        <v>45206</v>
      </c>
      <c r="K234" s="25"/>
      <c r="L234" s="30" t="s">
        <v>85</v>
      </c>
      <c r="M234" s="25" t="s">
        <v>1449</v>
      </c>
      <c r="N234" s="38">
        <v>44811</v>
      </c>
      <c r="O234" s="39">
        <v>222727</v>
      </c>
      <c r="P234" s="25">
        <v>5</v>
      </c>
      <c r="Q234" s="41">
        <f t="shared" si="9"/>
        <v>1113635</v>
      </c>
      <c r="R234" s="41">
        <v>275000</v>
      </c>
      <c r="S234" s="41">
        <f t="shared" si="8"/>
        <v>1375000</v>
      </c>
    </row>
    <row r="235" spans="1:19">
      <c r="A235" s="18">
        <v>234</v>
      </c>
      <c r="B235" s="25" t="s">
        <v>1450</v>
      </c>
      <c r="C235" s="26">
        <v>83338</v>
      </c>
      <c r="D235" s="27" t="s">
        <v>17</v>
      </c>
      <c r="E235" s="28" t="s">
        <v>1708</v>
      </c>
      <c r="F235" s="31" t="s">
        <v>1709</v>
      </c>
      <c r="G235" s="27" t="s">
        <v>88</v>
      </c>
      <c r="H235" s="25"/>
      <c r="I235" s="25" t="s">
        <v>1451</v>
      </c>
      <c r="J235" s="367">
        <v>45252</v>
      </c>
      <c r="K235" s="25"/>
      <c r="L235" s="30" t="s">
        <v>85</v>
      </c>
      <c r="M235" s="25" t="s">
        <v>90</v>
      </c>
      <c r="N235" s="38">
        <v>44811</v>
      </c>
      <c r="O235" s="39">
        <v>222727</v>
      </c>
      <c r="P235" s="25">
        <v>24</v>
      </c>
      <c r="Q235" s="41">
        <f t="shared" si="9"/>
        <v>5345448</v>
      </c>
      <c r="R235" s="41">
        <v>275000</v>
      </c>
      <c r="S235" s="41">
        <f t="shared" si="8"/>
        <v>6600000</v>
      </c>
    </row>
    <row r="236" spans="1:19">
      <c r="A236" s="18">
        <v>235</v>
      </c>
      <c r="B236" s="25" t="s">
        <v>1452</v>
      </c>
      <c r="C236" s="26">
        <v>83338</v>
      </c>
      <c r="D236" s="27" t="s">
        <v>17</v>
      </c>
      <c r="E236" s="28" t="s">
        <v>1708</v>
      </c>
      <c r="F236" s="31" t="s">
        <v>1709</v>
      </c>
      <c r="G236" s="27" t="s">
        <v>88</v>
      </c>
      <c r="H236" s="25"/>
      <c r="I236" s="25" t="s">
        <v>1448</v>
      </c>
      <c r="J236" s="367">
        <v>45206</v>
      </c>
      <c r="K236" s="25"/>
      <c r="L236" s="30" t="s">
        <v>92</v>
      </c>
      <c r="M236" s="25" t="s">
        <v>1453</v>
      </c>
      <c r="N236" s="38">
        <v>44811</v>
      </c>
      <c r="O236" s="39">
        <v>46364</v>
      </c>
      <c r="P236" s="25">
        <v>5</v>
      </c>
      <c r="Q236" s="41">
        <f t="shared" si="9"/>
        <v>231820</v>
      </c>
      <c r="R236" s="41">
        <v>57000</v>
      </c>
      <c r="S236" s="41">
        <f t="shared" si="8"/>
        <v>285000</v>
      </c>
    </row>
    <row r="237" spans="1:19">
      <c r="A237" s="18">
        <v>236</v>
      </c>
      <c r="B237" s="25" t="s">
        <v>1454</v>
      </c>
      <c r="C237" s="26">
        <v>83338</v>
      </c>
      <c r="D237" s="27" t="s">
        <v>17</v>
      </c>
      <c r="E237" s="28" t="s">
        <v>1708</v>
      </c>
      <c r="F237" s="31" t="s">
        <v>1709</v>
      </c>
      <c r="G237" s="27" t="s">
        <v>88</v>
      </c>
      <c r="H237" s="25"/>
      <c r="I237" s="25" t="s">
        <v>1451</v>
      </c>
      <c r="J237" s="367">
        <v>45252</v>
      </c>
      <c r="K237" s="25"/>
      <c r="L237" s="30" t="s">
        <v>92</v>
      </c>
      <c r="M237" s="25" t="s">
        <v>93</v>
      </c>
      <c r="N237" s="38">
        <v>44811</v>
      </c>
      <c r="O237" s="39">
        <v>46364</v>
      </c>
      <c r="P237" s="25">
        <v>24</v>
      </c>
      <c r="Q237" s="41">
        <f t="shared" si="9"/>
        <v>1112736</v>
      </c>
      <c r="R237" s="41">
        <v>57000</v>
      </c>
      <c r="S237" s="41">
        <f t="shared" si="8"/>
        <v>1368000</v>
      </c>
    </row>
    <row r="238" spans="1:19">
      <c r="A238" s="18">
        <v>237</v>
      </c>
      <c r="B238" s="25" t="s">
        <v>1455</v>
      </c>
      <c r="C238" s="26">
        <v>83338</v>
      </c>
      <c r="D238" s="27" t="s">
        <v>17</v>
      </c>
      <c r="E238" s="28" t="s">
        <v>1708</v>
      </c>
      <c r="F238" s="31" t="s">
        <v>1709</v>
      </c>
      <c r="G238" s="27" t="s">
        <v>88</v>
      </c>
      <c r="H238" s="25"/>
      <c r="I238" s="25" t="s">
        <v>1456</v>
      </c>
      <c r="J238" s="367">
        <v>45266</v>
      </c>
      <c r="K238" s="25"/>
      <c r="L238" s="30" t="s">
        <v>1457</v>
      </c>
      <c r="M238" s="25" t="s">
        <v>1458</v>
      </c>
      <c r="N238" s="38">
        <v>44811</v>
      </c>
      <c r="O238" s="39">
        <v>216480.5</v>
      </c>
      <c r="P238" s="25">
        <v>3</v>
      </c>
      <c r="Q238" s="41">
        <f t="shared" si="9"/>
        <v>649441.5</v>
      </c>
      <c r="R238" s="41">
        <v>533408</v>
      </c>
      <c r="S238" s="41">
        <f t="shared" si="8"/>
        <v>1600224</v>
      </c>
    </row>
    <row r="239" spans="1:19">
      <c r="A239" s="18">
        <v>238</v>
      </c>
      <c r="B239" s="25" t="s">
        <v>1459</v>
      </c>
      <c r="C239" s="26">
        <v>4800465039</v>
      </c>
      <c r="D239" s="27" t="s">
        <v>12</v>
      </c>
      <c r="E239" s="28" t="s">
        <v>1700</v>
      </c>
      <c r="F239" s="31" t="s">
        <v>1701</v>
      </c>
      <c r="G239" s="27" t="s">
        <v>742</v>
      </c>
      <c r="H239" s="25"/>
      <c r="I239" s="25" t="s">
        <v>1460</v>
      </c>
      <c r="J239" s="367">
        <v>45176</v>
      </c>
      <c r="K239" s="25"/>
      <c r="L239" s="30" t="s">
        <v>92</v>
      </c>
      <c r="M239" s="25" t="s">
        <v>1461</v>
      </c>
      <c r="N239" s="38">
        <v>44812</v>
      </c>
      <c r="O239" s="39">
        <v>32273</v>
      </c>
      <c r="P239" s="25">
        <v>906</v>
      </c>
      <c r="Q239" s="41">
        <f t="shared" si="9"/>
        <v>29239338</v>
      </c>
      <c r="R239" s="41">
        <v>35500</v>
      </c>
      <c r="S239" s="41">
        <f t="shared" si="8"/>
        <v>32163000</v>
      </c>
    </row>
    <row r="240" spans="1:19">
      <c r="A240" s="18">
        <v>239</v>
      </c>
      <c r="B240" s="25" t="s">
        <v>1462</v>
      </c>
      <c r="C240" s="26" t="s">
        <v>1463</v>
      </c>
      <c r="D240" s="27" t="s">
        <v>11</v>
      </c>
      <c r="E240" s="28" t="s">
        <v>1696</v>
      </c>
      <c r="F240" s="31" t="s">
        <v>1697</v>
      </c>
      <c r="G240" s="27" t="s">
        <v>1412</v>
      </c>
      <c r="H240" s="25"/>
      <c r="I240" s="25" t="s">
        <v>1464</v>
      </c>
      <c r="J240" s="367">
        <v>45177</v>
      </c>
      <c r="K240" s="25"/>
      <c r="L240" s="30" t="s">
        <v>1413</v>
      </c>
      <c r="M240" s="25" t="s">
        <v>1465</v>
      </c>
      <c r="N240" s="38">
        <v>44812</v>
      </c>
      <c r="O240" s="39">
        <v>106575</v>
      </c>
      <c r="P240" s="25">
        <v>1</v>
      </c>
      <c r="Q240" s="41">
        <f t="shared" si="9"/>
        <v>106575</v>
      </c>
      <c r="R240" s="41">
        <v>116264</v>
      </c>
      <c r="S240" s="41">
        <f t="shared" si="8"/>
        <v>116264</v>
      </c>
    </row>
    <row r="241" spans="1:19">
      <c r="A241" s="18">
        <v>240</v>
      </c>
      <c r="B241" s="25" t="s">
        <v>1466</v>
      </c>
      <c r="C241" s="26" t="s">
        <v>1467</v>
      </c>
      <c r="D241" s="27" t="s">
        <v>1468</v>
      </c>
      <c r="E241" s="28" t="s">
        <v>1706</v>
      </c>
      <c r="F241" s="31" t="s">
        <v>1707</v>
      </c>
      <c r="G241" s="30" t="s">
        <v>1276</v>
      </c>
      <c r="H241" s="25"/>
      <c r="I241" s="25" t="s">
        <v>1469</v>
      </c>
      <c r="J241" s="367">
        <v>45180</v>
      </c>
      <c r="K241" s="25"/>
      <c r="L241" s="30" t="s">
        <v>85</v>
      </c>
      <c r="M241" s="25" t="s">
        <v>1470</v>
      </c>
      <c r="N241" s="38">
        <v>44812</v>
      </c>
      <c r="O241" s="39">
        <v>222727</v>
      </c>
      <c r="P241" s="25">
        <v>60</v>
      </c>
      <c r="Q241" s="41">
        <f t="shared" si="9"/>
        <v>13363620</v>
      </c>
      <c r="R241" s="41">
        <v>367702</v>
      </c>
      <c r="S241" s="41">
        <f t="shared" si="8"/>
        <v>22062120</v>
      </c>
    </row>
    <row r="242" spans="1:19">
      <c r="A242" s="18">
        <v>241</v>
      </c>
      <c r="B242" s="25" t="s">
        <v>1471</v>
      </c>
      <c r="C242" s="26" t="s">
        <v>2</v>
      </c>
      <c r="D242" s="27" t="s">
        <v>1472</v>
      </c>
      <c r="E242" s="28" t="s">
        <v>1718</v>
      </c>
      <c r="F242" s="31" t="s">
        <v>1719</v>
      </c>
      <c r="G242" s="30" t="s">
        <v>131</v>
      </c>
      <c r="H242" s="25"/>
      <c r="I242" s="25" t="s">
        <v>1473</v>
      </c>
      <c r="J242" s="367">
        <v>45556</v>
      </c>
      <c r="K242" s="25"/>
      <c r="L242" s="30" t="s">
        <v>50</v>
      </c>
      <c r="M242" s="25" t="s">
        <v>1474</v>
      </c>
      <c r="N242" s="38">
        <v>44824</v>
      </c>
      <c r="O242" s="39">
        <v>351191</v>
      </c>
      <c r="P242" s="25">
        <v>305</v>
      </c>
      <c r="Q242" s="41">
        <f t="shared" si="9"/>
        <v>107113255</v>
      </c>
      <c r="R242" s="41">
        <v>449549</v>
      </c>
      <c r="S242" s="41">
        <f t="shared" si="8"/>
        <v>137112445</v>
      </c>
    </row>
    <row r="243" spans="1:19">
      <c r="A243" s="18">
        <v>242</v>
      </c>
      <c r="B243" s="25" t="s">
        <v>1475</v>
      </c>
      <c r="C243" s="26" t="s">
        <v>1476</v>
      </c>
      <c r="D243" s="27" t="s">
        <v>9</v>
      </c>
      <c r="E243" s="28" t="s">
        <v>1692</v>
      </c>
      <c r="F243" s="29" t="s">
        <v>1693</v>
      </c>
      <c r="G243" s="30" t="s">
        <v>1365</v>
      </c>
      <c r="H243" s="25"/>
      <c r="I243" s="25" t="s">
        <v>1477</v>
      </c>
      <c r="J243" s="367">
        <v>45564</v>
      </c>
      <c r="K243" s="25"/>
      <c r="L243" s="30" t="s">
        <v>50</v>
      </c>
      <c r="M243" s="25" t="s">
        <v>1478</v>
      </c>
      <c r="N243" s="38">
        <v>44831</v>
      </c>
      <c r="O243" s="39">
        <v>254545</v>
      </c>
      <c r="P243" s="25">
        <v>2</v>
      </c>
      <c r="Q243" s="41">
        <f t="shared" si="9"/>
        <v>509090</v>
      </c>
      <c r="R243" s="41">
        <v>275000</v>
      </c>
      <c r="S243" s="41">
        <f t="shared" si="8"/>
        <v>550000</v>
      </c>
    </row>
    <row r="244" spans="1:19">
      <c r="A244" s="18">
        <v>243</v>
      </c>
      <c r="B244" s="25" t="s">
        <v>1479</v>
      </c>
      <c r="C244" s="26" t="s">
        <v>1480</v>
      </c>
      <c r="D244" s="27" t="s">
        <v>82</v>
      </c>
      <c r="E244" s="28" t="s">
        <v>1698</v>
      </c>
      <c r="F244" s="31" t="s">
        <v>1699</v>
      </c>
      <c r="G244" s="27" t="s">
        <v>83</v>
      </c>
      <c r="H244" s="25"/>
      <c r="I244" s="25" t="s">
        <v>1481</v>
      </c>
      <c r="J244" s="367">
        <v>45197</v>
      </c>
      <c r="K244" s="25"/>
      <c r="L244" s="30" t="s">
        <v>85</v>
      </c>
      <c r="M244" s="25" t="s">
        <v>1482</v>
      </c>
      <c r="N244" s="38">
        <v>44832</v>
      </c>
      <c r="O244" s="39">
        <v>222727</v>
      </c>
      <c r="P244" s="25">
        <v>165</v>
      </c>
      <c r="Q244" s="41">
        <f t="shared" si="9"/>
        <v>36749955</v>
      </c>
      <c r="R244" s="41">
        <v>279090.90999999997</v>
      </c>
      <c r="S244" s="41">
        <f t="shared" si="8"/>
        <v>46050000.149999999</v>
      </c>
    </row>
    <row r="245" spans="1:19">
      <c r="A245" s="18">
        <v>244</v>
      </c>
      <c r="B245" s="25" t="s">
        <v>1483</v>
      </c>
      <c r="C245" s="26">
        <v>2500024113</v>
      </c>
      <c r="D245" s="27" t="s">
        <v>10</v>
      </c>
      <c r="E245" s="28" t="s">
        <v>1702</v>
      </c>
      <c r="F245" s="31" t="s">
        <v>1703</v>
      </c>
      <c r="G245" s="27" t="s">
        <v>814</v>
      </c>
      <c r="H245" s="25"/>
      <c r="I245" s="25" t="s">
        <v>1484</v>
      </c>
      <c r="J245" s="367">
        <v>44855</v>
      </c>
      <c r="K245" s="25"/>
      <c r="L245" s="30" t="s">
        <v>816</v>
      </c>
      <c r="M245" s="25" t="s">
        <v>1384</v>
      </c>
      <c r="N245" s="38">
        <v>44783</v>
      </c>
      <c r="O245" s="39">
        <v>22727</v>
      </c>
      <c r="P245" s="25">
        <v>5</v>
      </c>
      <c r="Q245" s="41">
        <f t="shared" si="9"/>
        <v>113635</v>
      </c>
      <c r="R245" s="41">
        <v>29091</v>
      </c>
      <c r="S245" s="41">
        <f t="shared" si="8"/>
        <v>145455</v>
      </c>
    </row>
    <row r="246" spans="1:19">
      <c r="A246" s="18">
        <v>245</v>
      </c>
      <c r="B246" s="19" t="s">
        <v>1485</v>
      </c>
      <c r="C246" s="20">
        <v>4800470092</v>
      </c>
      <c r="D246" s="21" t="s">
        <v>12</v>
      </c>
      <c r="E246" s="22" t="s">
        <v>1700</v>
      </c>
      <c r="F246" s="32" t="s">
        <v>1701</v>
      </c>
      <c r="G246" s="21" t="s">
        <v>466</v>
      </c>
      <c r="H246" s="19"/>
      <c r="I246" s="19" t="s">
        <v>1486</v>
      </c>
      <c r="J246" s="367">
        <v>45226</v>
      </c>
      <c r="K246" s="19"/>
      <c r="L246" s="24" t="s">
        <v>85</v>
      </c>
      <c r="M246" s="19" t="s">
        <v>1487</v>
      </c>
      <c r="N246" s="36">
        <v>44859</v>
      </c>
      <c r="O246" s="37">
        <v>222727</v>
      </c>
      <c r="P246" s="19">
        <v>95</v>
      </c>
      <c r="Q246" s="40">
        <f t="shared" si="9"/>
        <v>21159065</v>
      </c>
      <c r="R246" s="40">
        <v>257182</v>
      </c>
      <c r="S246" s="40">
        <f t="shared" si="8"/>
        <v>24432290</v>
      </c>
    </row>
    <row r="247" spans="1:19" s="1" customFormat="1" ht="12.75">
      <c r="A247" s="18">
        <v>246</v>
      </c>
      <c r="B247" s="19" t="s">
        <v>1488</v>
      </c>
      <c r="C247" s="20">
        <v>2500026864</v>
      </c>
      <c r="D247" s="21" t="s">
        <v>11</v>
      </c>
      <c r="E247" s="22" t="s">
        <v>1696</v>
      </c>
      <c r="F247" s="32" t="s">
        <v>1697</v>
      </c>
      <c r="G247" s="24" t="s">
        <v>814</v>
      </c>
      <c r="H247" s="19"/>
      <c r="I247" s="19" t="s">
        <v>1489</v>
      </c>
      <c r="J247" s="367">
        <v>44886</v>
      </c>
      <c r="K247" s="19"/>
      <c r="L247" s="24" t="s">
        <v>816</v>
      </c>
      <c r="M247" s="19" t="s">
        <v>1384</v>
      </c>
      <c r="N247" s="36">
        <v>44848</v>
      </c>
      <c r="O247" s="37">
        <v>22727</v>
      </c>
      <c r="P247" s="19">
        <v>5</v>
      </c>
      <c r="Q247" s="40">
        <f t="shared" si="9"/>
        <v>113635</v>
      </c>
      <c r="R247" s="40">
        <v>29091</v>
      </c>
      <c r="S247" s="40">
        <f t="shared" si="8"/>
        <v>145455</v>
      </c>
    </row>
    <row r="248" spans="1:19" s="1" customFormat="1" ht="12.75">
      <c r="A248" s="18">
        <v>247</v>
      </c>
      <c r="B248" s="19" t="s">
        <v>1490</v>
      </c>
      <c r="C248" s="20">
        <v>2500026864</v>
      </c>
      <c r="D248" s="21" t="s">
        <v>11</v>
      </c>
      <c r="E248" s="22" t="s">
        <v>1696</v>
      </c>
      <c r="F248" s="32" t="s">
        <v>1697</v>
      </c>
      <c r="G248" s="24" t="s">
        <v>814</v>
      </c>
      <c r="H248" s="19"/>
      <c r="I248" s="19" t="s">
        <v>1491</v>
      </c>
      <c r="J248" s="367">
        <v>44879</v>
      </c>
      <c r="K248" s="19"/>
      <c r="L248" s="24" t="s">
        <v>816</v>
      </c>
      <c r="M248" s="19" t="s">
        <v>1492</v>
      </c>
      <c r="N248" s="36">
        <v>44848</v>
      </c>
      <c r="O248" s="37">
        <v>22727</v>
      </c>
      <c r="P248" s="19">
        <v>10</v>
      </c>
      <c r="Q248" s="40">
        <f t="shared" si="9"/>
        <v>227270</v>
      </c>
      <c r="R248" s="40">
        <v>29091</v>
      </c>
      <c r="S248" s="40">
        <f t="shared" si="8"/>
        <v>290910</v>
      </c>
    </row>
    <row r="249" spans="1:19">
      <c r="A249" s="18">
        <v>248</v>
      </c>
      <c r="B249" s="25" t="s">
        <v>1493</v>
      </c>
      <c r="C249" s="26" t="s">
        <v>1494</v>
      </c>
      <c r="D249" s="27" t="s">
        <v>1495</v>
      </c>
      <c r="E249" s="28" t="s">
        <v>1716</v>
      </c>
      <c r="F249" s="31" t="s">
        <v>1717</v>
      </c>
      <c r="G249" s="30" t="s">
        <v>1438</v>
      </c>
      <c r="H249" s="25"/>
      <c r="I249" s="25" t="s">
        <v>1496</v>
      </c>
      <c r="J249" s="367">
        <v>45250</v>
      </c>
      <c r="K249" s="25"/>
      <c r="L249" s="30" t="s">
        <v>63</v>
      </c>
      <c r="M249" s="25" t="s">
        <v>1497</v>
      </c>
      <c r="N249" s="38">
        <v>44881</v>
      </c>
      <c r="O249" s="39">
        <v>74181.600000000006</v>
      </c>
      <c r="P249" s="25">
        <v>113</v>
      </c>
      <c r="Q249" s="41">
        <f t="shared" si="9"/>
        <v>8382520.8000000007</v>
      </c>
      <c r="R249" s="41">
        <f>149000/1.11</f>
        <v>134234.23423423423</v>
      </c>
      <c r="S249" s="41">
        <f t="shared" si="8"/>
        <v>15168468.468468469</v>
      </c>
    </row>
    <row r="250" spans="1:19">
      <c r="A250" s="18">
        <v>249</v>
      </c>
      <c r="B250" s="25" t="s">
        <v>1498</v>
      </c>
      <c r="C250" s="26" t="s">
        <v>1499</v>
      </c>
      <c r="D250" s="27" t="s">
        <v>7</v>
      </c>
      <c r="E250" s="28" t="s">
        <v>1698</v>
      </c>
      <c r="F250" s="31" t="s">
        <v>1699</v>
      </c>
      <c r="G250" s="27" t="s">
        <v>83</v>
      </c>
      <c r="H250" s="25"/>
      <c r="I250" s="25" t="s">
        <v>1500</v>
      </c>
      <c r="J250" s="367">
        <v>45251</v>
      </c>
      <c r="K250" s="25"/>
      <c r="L250" s="30" t="s">
        <v>85</v>
      </c>
      <c r="M250" s="25" t="s">
        <v>1501</v>
      </c>
      <c r="N250" s="38">
        <v>44886</v>
      </c>
      <c r="O250" s="39">
        <v>222727</v>
      </c>
      <c r="P250" s="25">
        <v>154</v>
      </c>
      <c r="Q250" s="41">
        <f t="shared" si="9"/>
        <v>34299958</v>
      </c>
      <c r="R250" s="41">
        <v>279090.90999999997</v>
      </c>
      <c r="S250" s="41">
        <f t="shared" si="8"/>
        <v>42980000.139999993</v>
      </c>
    </row>
    <row r="251" spans="1:19">
      <c r="A251" s="18">
        <v>250</v>
      </c>
      <c r="B251" s="25" t="s">
        <v>1502</v>
      </c>
      <c r="C251" s="26">
        <v>2500030158</v>
      </c>
      <c r="D251" s="27" t="s">
        <v>10</v>
      </c>
      <c r="E251" s="28" t="s">
        <v>1702</v>
      </c>
      <c r="F251" s="31" t="s">
        <v>1703</v>
      </c>
      <c r="G251" s="27" t="s">
        <v>1503</v>
      </c>
      <c r="H251" s="25"/>
      <c r="I251" s="25" t="s">
        <v>1963</v>
      </c>
      <c r="J251" s="367">
        <v>44910</v>
      </c>
      <c r="K251" s="25"/>
      <c r="L251" s="30" t="s">
        <v>816</v>
      </c>
      <c r="M251" s="25" t="s">
        <v>1505</v>
      </c>
      <c r="N251" s="38">
        <v>44874</v>
      </c>
      <c r="O251" s="39">
        <v>22727</v>
      </c>
      <c r="P251" s="25">
        <v>15</v>
      </c>
      <c r="Q251" s="41">
        <f t="shared" si="9"/>
        <v>340905</v>
      </c>
      <c r="R251" s="41">
        <v>29091</v>
      </c>
      <c r="S251" s="41">
        <f t="shared" ref="S251:S314" si="10">R251*P251</f>
        <v>436365</v>
      </c>
    </row>
    <row r="252" spans="1:19">
      <c r="A252" s="18">
        <v>251</v>
      </c>
      <c r="B252" s="25" t="s">
        <v>1506</v>
      </c>
      <c r="C252" s="26" t="s">
        <v>1507</v>
      </c>
      <c r="D252" s="27" t="s">
        <v>11</v>
      </c>
      <c r="E252" s="28" t="s">
        <v>1696</v>
      </c>
      <c r="F252" s="31" t="s">
        <v>1697</v>
      </c>
      <c r="G252" s="27" t="s">
        <v>1188</v>
      </c>
      <c r="H252" s="25"/>
      <c r="I252" s="25" t="s">
        <v>1508</v>
      </c>
      <c r="J252" s="367">
        <v>45687</v>
      </c>
      <c r="K252" s="25"/>
      <c r="L252" s="30" t="s">
        <v>50</v>
      </c>
      <c r="M252" s="25" t="s">
        <v>1509</v>
      </c>
      <c r="N252" s="38">
        <v>44888</v>
      </c>
      <c r="O252" s="39">
        <v>444545</v>
      </c>
      <c r="P252" s="25">
        <v>28</v>
      </c>
      <c r="Q252" s="41">
        <f t="shared" si="9"/>
        <v>12447260</v>
      </c>
      <c r="R252" s="41">
        <v>556364</v>
      </c>
      <c r="S252" s="41">
        <f t="shared" si="10"/>
        <v>15578192</v>
      </c>
    </row>
    <row r="253" spans="1:19">
      <c r="A253" s="18">
        <v>252</v>
      </c>
      <c r="B253" s="25" t="s">
        <v>1510</v>
      </c>
      <c r="C253" s="26" t="s">
        <v>1511</v>
      </c>
      <c r="D253" s="27" t="s">
        <v>1437</v>
      </c>
      <c r="E253" s="28" t="s">
        <v>1716</v>
      </c>
      <c r="F253" s="31" t="s">
        <v>1717</v>
      </c>
      <c r="G253" s="27" t="s">
        <v>1512</v>
      </c>
      <c r="H253" s="25"/>
      <c r="I253" s="25" t="s">
        <v>1513</v>
      </c>
      <c r="J253" s="367">
        <v>45257</v>
      </c>
      <c r="K253" s="25"/>
      <c r="L253" s="30" t="s">
        <v>85</v>
      </c>
      <c r="M253" s="25" t="s">
        <v>1514</v>
      </c>
      <c r="N253" s="38">
        <v>44888</v>
      </c>
      <c r="O253" s="39">
        <v>222727</v>
      </c>
      <c r="P253" s="25">
        <v>11</v>
      </c>
      <c r="Q253" s="41">
        <f t="shared" si="9"/>
        <v>2449997</v>
      </c>
      <c r="R253" s="41">
        <v>281184</v>
      </c>
      <c r="S253" s="41">
        <f t="shared" si="10"/>
        <v>3093024</v>
      </c>
    </row>
    <row r="254" spans="1:19">
      <c r="A254" s="18">
        <v>253</v>
      </c>
      <c r="B254" s="19" t="s">
        <v>1515</v>
      </c>
      <c r="C254" s="20" t="s">
        <v>1516</v>
      </c>
      <c r="D254" s="21" t="s">
        <v>11</v>
      </c>
      <c r="E254" s="22" t="s">
        <v>1696</v>
      </c>
      <c r="F254" s="32" t="s">
        <v>1697</v>
      </c>
      <c r="G254" s="21" t="s">
        <v>1517</v>
      </c>
      <c r="H254" s="19"/>
      <c r="I254" s="19" t="s">
        <v>1518</v>
      </c>
      <c r="J254" s="367">
        <v>45260</v>
      </c>
      <c r="K254" s="19"/>
      <c r="L254" s="24" t="s">
        <v>1519</v>
      </c>
      <c r="M254" s="19" t="s">
        <v>1520</v>
      </c>
      <c r="N254" s="36">
        <v>44896</v>
      </c>
      <c r="O254" s="37">
        <v>43636</v>
      </c>
      <c r="P254" s="19">
        <v>40</v>
      </c>
      <c r="Q254" s="40">
        <f t="shared" si="9"/>
        <v>1745440</v>
      </c>
      <c r="R254" s="40">
        <v>57300</v>
      </c>
      <c r="S254" s="40">
        <f t="shared" si="10"/>
        <v>2292000</v>
      </c>
    </row>
    <row r="255" spans="1:19">
      <c r="A255" s="18">
        <v>254</v>
      </c>
      <c r="B255" s="19" t="s">
        <v>1521</v>
      </c>
      <c r="C255" s="20" t="s">
        <v>1522</v>
      </c>
      <c r="D255" s="21" t="s">
        <v>11</v>
      </c>
      <c r="E255" s="22" t="s">
        <v>1696</v>
      </c>
      <c r="F255" s="32" t="s">
        <v>1697</v>
      </c>
      <c r="G255" s="21" t="s">
        <v>1517</v>
      </c>
      <c r="H255" s="19"/>
      <c r="I255" s="19" t="s">
        <v>1523</v>
      </c>
      <c r="J255" s="367">
        <v>45264</v>
      </c>
      <c r="K255" s="19"/>
      <c r="L255" s="24" t="s">
        <v>1519</v>
      </c>
      <c r="M255" s="19" t="s">
        <v>1524</v>
      </c>
      <c r="N255" s="36">
        <v>44900</v>
      </c>
      <c r="O255" s="37">
        <v>43636</v>
      </c>
      <c r="P255" s="19">
        <v>60</v>
      </c>
      <c r="Q255" s="40">
        <f t="shared" si="9"/>
        <v>2618160</v>
      </c>
      <c r="R255" s="40">
        <v>57300</v>
      </c>
      <c r="S255" s="40">
        <f t="shared" si="10"/>
        <v>3438000</v>
      </c>
    </row>
    <row r="256" spans="1:19" s="1" customFormat="1" ht="12.75">
      <c r="A256" s="18">
        <v>255</v>
      </c>
      <c r="B256" s="19" t="s">
        <v>1525</v>
      </c>
      <c r="C256" s="20" t="s">
        <v>2</v>
      </c>
      <c r="D256" s="21" t="s">
        <v>2</v>
      </c>
      <c r="E256" s="21"/>
      <c r="F256" s="43"/>
      <c r="G256" s="24" t="s">
        <v>1526</v>
      </c>
      <c r="H256" s="19"/>
      <c r="I256" s="19" t="s">
        <v>1527</v>
      </c>
      <c r="J256" s="367">
        <v>44933</v>
      </c>
      <c r="K256" s="19"/>
      <c r="L256" s="24" t="s">
        <v>1528</v>
      </c>
      <c r="M256" s="19" t="s">
        <v>1529</v>
      </c>
      <c r="N256" s="36">
        <v>44903</v>
      </c>
      <c r="O256" s="37">
        <v>36081</v>
      </c>
      <c r="P256" s="19">
        <v>3</v>
      </c>
      <c r="Q256" s="40">
        <f t="shared" si="9"/>
        <v>108243</v>
      </c>
      <c r="R256" s="40">
        <f>49950/1.11</f>
        <v>44999.999999999993</v>
      </c>
      <c r="S256" s="40">
        <f t="shared" si="10"/>
        <v>134999.99999999997</v>
      </c>
    </row>
    <row r="257" spans="1:19" s="1" customFormat="1" ht="12.75">
      <c r="A257" s="18">
        <v>256</v>
      </c>
      <c r="B257" s="19" t="s">
        <v>1530</v>
      </c>
      <c r="C257" s="20" t="s">
        <v>2</v>
      </c>
      <c r="D257" s="21" t="s">
        <v>2</v>
      </c>
      <c r="E257" s="21"/>
      <c r="F257" s="43"/>
      <c r="G257" s="24" t="s">
        <v>1526</v>
      </c>
      <c r="H257" s="19"/>
      <c r="I257" s="19" t="s">
        <v>1527</v>
      </c>
      <c r="J257" s="367">
        <v>44933</v>
      </c>
      <c r="K257" s="19"/>
      <c r="L257" s="24" t="s">
        <v>1528</v>
      </c>
      <c r="M257" s="19" t="s">
        <v>1531</v>
      </c>
      <c r="N257" s="36">
        <v>44903</v>
      </c>
      <c r="O257" s="37">
        <v>36081</v>
      </c>
      <c r="P257" s="19">
        <v>3</v>
      </c>
      <c r="Q257" s="40">
        <f t="shared" si="9"/>
        <v>108243</v>
      </c>
      <c r="R257" s="40">
        <f>49950/1.11</f>
        <v>44999.999999999993</v>
      </c>
      <c r="S257" s="40">
        <f t="shared" si="10"/>
        <v>134999.99999999997</v>
      </c>
    </row>
    <row r="258" spans="1:19">
      <c r="A258" s="18">
        <v>257</v>
      </c>
      <c r="B258" s="19" t="s">
        <v>1532</v>
      </c>
      <c r="C258" s="20" t="s">
        <v>1533</v>
      </c>
      <c r="D258" s="21" t="s">
        <v>11</v>
      </c>
      <c r="E258" s="22" t="s">
        <v>1696</v>
      </c>
      <c r="F258" s="32" t="s">
        <v>1697</v>
      </c>
      <c r="G258" s="21" t="s">
        <v>1517</v>
      </c>
      <c r="H258" s="19"/>
      <c r="I258" s="19" t="s">
        <v>1534</v>
      </c>
      <c r="J258" s="367">
        <v>45269</v>
      </c>
      <c r="K258" s="19"/>
      <c r="L258" s="24" t="s">
        <v>1519</v>
      </c>
      <c r="M258" s="19" t="s">
        <v>1535</v>
      </c>
      <c r="N258" s="36">
        <v>44905</v>
      </c>
      <c r="O258" s="37">
        <v>43636</v>
      </c>
      <c r="P258" s="19">
        <v>700</v>
      </c>
      <c r="Q258" s="40">
        <f t="shared" si="9"/>
        <v>30545200</v>
      </c>
      <c r="R258" s="40">
        <v>57300</v>
      </c>
      <c r="S258" s="40">
        <f t="shared" si="10"/>
        <v>40110000</v>
      </c>
    </row>
    <row r="259" spans="1:19" s="1" customFormat="1" ht="12.75">
      <c r="A259" s="18">
        <v>258</v>
      </c>
      <c r="B259" s="19" t="s">
        <v>1536</v>
      </c>
      <c r="C259" s="20">
        <v>84404</v>
      </c>
      <c r="D259" s="21" t="s">
        <v>17</v>
      </c>
      <c r="E259" s="22" t="s">
        <v>1708</v>
      </c>
      <c r="F259" s="32" t="s">
        <v>1709</v>
      </c>
      <c r="G259" s="24" t="s">
        <v>114</v>
      </c>
      <c r="H259" s="19"/>
      <c r="I259" s="19" t="s">
        <v>1537</v>
      </c>
      <c r="J259" s="367">
        <v>45319</v>
      </c>
      <c r="K259" s="19"/>
      <c r="L259" s="24" t="s">
        <v>85</v>
      </c>
      <c r="M259" s="19" t="s">
        <v>1538</v>
      </c>
      <c r="N259" s="36">
        <v>44907</v>
      </c>
      <c r="O259" s="37">
        <v>222727</v>
      </c>
      <c r="P259" s="19">
        <v>49</v>
      </c>
      <c r="Q259" s="40">
        <f t="shared" si="9"/>
        <v>10913623</v>
      </c>
      <c r="R259" s="40">
        <v>279091</v>
      </c>
      <c r="S259" s="40">
        <f t="shared" si="10"/>
        <v>13675459</v>
      </c>
    </row>
    <row r="260" spans="1:19">
      <c r="A260" s="18">
        <v>259</v>
      </c>
      <c r="B260" s="19" t="s">
        <v>1539</v>
      </c>
      <c r="C260" s="20">
        <v>84404</v>
      </c>
      <c r="D260" s="21" t="s">
        <v>17</v>
      </c>
      <c r="E260" s="22" t="s">
        <v>1708</v>
      </c>
      <c r="F260" s="32" t="s">
        <v>1709</v>
      </c>
      <c r="G260" s="24" t="s">
        <v>114</v>
      </c>
      <c r="H260" s="19"/>
      <c r="I260" s="19" t="s">
        <v>1537</v>
      </c>
      <c r="J260" s="367">
        <v>45319</v>
      </c>
      <c r="K260" s="19"/>
      <c r="L260" s="24" t="s">
        <v>92</v>
      </c>
      <c r="M260" s="19" t="s">
        <v>116</v>
      </c>
      <c r="N260" s="36">
        <v>44907</v>
      </c>
      <c r="O260" s="37">
        <v>46364</v>
      </c>
      <c r="P260" s="19">
        <v>49</v>
      </c>
      <c r="Q260" s="40">
        <f t="shared" si="9"/>
        <v>2271836</v>
      </c>
      <c r="R260" s="40">
        <v>58182</v>
      </c>
      <c r="S260" s="40">
        <f t="shared" si="10"/>
        <v>2850918</v>
      </c>
    </row>
    <row r="261" spans="1:19" s="1" customFormat="1" ht="12.75">
      <c r="A261" s="18">
        <v>260</v>
      </c>
      <c r="B261" s="19" t="s">
        <v>1540</v>
      </c>
      <c r="C261" s="20">
        <v>84404</v>
      </c>
      <c r="D261" s="21" t="s">
        <v>17</v>
      </c>
      <c r="E261" s="22" t="s">
        <v>1708</v>
      </c>
      <c r="F261" s="32" t="s">
        <v>1709</v>
      </c>
      <c r="G261" s="24" t="s">
        <v>114</v>
      </c>
      <c r="H261" s="19"/>
      <c r="I261" s="19" t="s">
        <v>1541</v>
      </c>
      <c r="J261" s="367">
        <v>45352</v>
      </c>
      <c r="K261" s="19"/>
      <c r="L261" s="24" t="s">
        <v>85</v>
      </c>
      <c r="M261" s="19" t="s">
        <v>1542</v>
      </c>
      <c r="N261" s="36">
        <v>44907</v>
      </c>
      <c r="O261" s="37">
        <v>171818</v>
      </c>
      <c r="P261" s="19">
        <v>20</v>
      </c>
      <c r="Q261" s="40">
        <f t="shared" si="9"/>
        <v>3436360</v>
      </c>
      <c r="R261" s="40">
        <v>279091</v>
      </c>
      <c r="S261" s="40">
        <f t="shared" si="10"/>
        <v>5581820</v>
      </c>
    </row>
    <row r="262" spans="1:19" s="1" customFormat="1" ht="12.75">
      <c r="A262" s="18">
        <v>261</v>
      </c>
      <c r="B262" s="19" t="s">
        <v>1543</v>
      </c>
      <c r="C262" s="20">
        <v>84404</v>
      </c>
      <c r="D262" s="21" t="s">
        <v>17</v>
      </c>
      <c r="E262" s="22" t="s">
        <v>1708</v>
      </c>
      <c r="F262" s="32" t="s">
        <v>1709</v>
      </c>
      <c r="G262" s="24" t="s">
        <v>114</v>
      </c>
      <c r="H262" s="19"/>
      <c r="I262" s="19" t="s">
        <v>1541</v>
      </c>
      <c r="J262" s="367">
        <v>45352</v>
      </c>
      <c r="K262" s="19"/>
      <c r="L262" s="24" t="s">
        <v>92</v>
      </c>
      <c r="M262" s="19" t="s">
        <v>118</v>
      </c>
      <c r="N262" s="36">
        <v>44907</v>
      </c>
      <c r="O262" s="37">
        <v>40909</v>
      </c>
      <c r="P262" s="19">
        <v>20</v>
      </c>
      <c r="Q262" s="40">
        <f t="shared" si="9"/>
        <v>818180</v>
      </c>
      <c r="R262" s="40">
        <v>58182</v>
      </c>
      <c r="S262" s="40">
        <f t="shared" si="10"/>
        <v>1163640</v>
      </c>
    </row>
    <row r="263" spans="1:19" s="1" customFormat="1" ht="12.75">
      <c r="A263" s="18">
        <v>262</v>
      </c>
      <c r="B263" s="19" t="s">
        <v>1544</v>
      </c>
      <c r="C263" s="20">
        <v>84404</v>
      </c>
      <c r="D263" s="21" t="s">
        <v>17</v>
      </c>
      <c r="E263" s="22" t="s">
        <v>1708</v>
      </c>
      <c r="F263" s="32" t="s">
        <v>1709</v>
      </c>
      <c r="G263" s="24" t="s">
        <v>114</v>
      </c>
      <c r="H263" s="19"/>
      <c r="I263" s="19" t="s">
        <v>1545</v>
      </c>
      <c r="J263" s="367">
        <v>45336</v>
      </c>
      <c r="K263" s="19"/>
      <c r="L263" s="24" t="s">
        <v>1457</v>
      </c>
      <c r="M263" s="19" t="s">
        <v>1546</v>
      </c>
      <c r="N263" s="36">
        <v>44907</v>
      </c>
      <c r="O263" s="37">
        <v>216480.5</v>
      </c>
      <c r="P263" s="19">
        <v>1</v>
      </c>
      <c r="Q263" s="40">
        <f t="shared" si="9"/>
        <v>216480.5</v>
      </c>
      <c r="R263" s="40">
        <v>533408</v>
      </c>
      <c r="S263" s="40">
        <f t="shared" si="10"/>
        <v>533408</v>
      </c>
    </row>
    <row r="264" spans="1:19">
      <c r="A264" s="18">
        <v>263</v>
      </c>
      <c r="B264" s="19" t="s">
        <v>1547</v>
      </c>
      <c r="C264" s="20" t="s">
        <v>1548</v>
      </c>
      <c r="D264" s="21" t="s">
        <v>11</v>
      </c>
      <c r="E264" s="22" t="s">
        <v>1696</v>
      </c>
      <c r="F264" s="32" t="s">
        <v>1697</v>
      </c>
      <c r="G264" s="21" t="s">
        <v>1517</v>
      </c>
      <c r="H264" s="19"/>
      <c r="I264" s="19" t="s">
        <v>1549</v>
      </c>
      <c r="J264" s="367">
        <v>45272</v>
      </c>
      <c r="K264" s="19"/>
      <c r="L264" s="24" t="s">
        <v>1519</v>
      </c>
      <c r="M264" s="19" t="s">
        <v>1550</v>
      </c>
      <c r="N264" s="36">
        <v>44907</v>
      </c>
      <c r="O264" s="37">
        <v>43636</v>
      </c>
      <c r="P264" s="19">
        <v>300</v>
      </c>
      <c r="Q264" s="40">
        <f t="shared" si="9"/>
        <v>13090800</v>
      </c>
      <c r="R264" s="40">
        <v>57300</v>
      </c>
      <c r="S264" s="40">
        <f t="shared" si="10"/>
        <v>17190000</v>
      </c>
    </row>
    <row r="265" spans="1:19">
      <c r="A265" s="18">
        <v>264</v>
      </c>
      <c r="B265" s="19" t="s">
        <v>1551</v>
      </c>
      <c r="C265" s="20" t="s">
        <v>1552</v>
      </c>
      <c r="D265" s="21" t="s">
        <v>11</v>
      </c>
      <c r="E265" s="22" t="s">
        <v>1696</v>
      </c>
      <c r="F265" s="32" t="s">
        <v>1697</v>
      </c>
      <c r="G265" s="24" t="s">
        <v>733</v>
      </c>
      <c r="H265" s="19"/>
      <c r="I265" s="19" t="s">
        <v>1553</v>
      </c>
      <c r="J265" s="367">
        <v>45274</v>
      </c>
      <c r="K265" s="19"/>
      <c r="L265" s="24" t="s">
        <v>85</v>
      </c>
      <c r="M265" s="19" t="s">
        <v>1554</v>
      </c>
      <c r="N265" s="36">
        <v>44910</v>
      </c>
      <c r="O265" s="37">
        <v>222727</v>
      </c>
      <c r="P265" s="19">
        <v>105</v>
      </c>
      <c r="Q265" s="40">
        <f t="shared" si="9"/>
        <v>23386335</v>
      </c>
      <c r="R265" s="40">
        <v>279091</v>
      </c>
      <c r="S265" s="40">
        <f t="shared" si="10"/>
        <v>29304555</v>
      </c>
    </row>
    <row r="266" spans="1:19" s="1" customFormat="1" ht="12.75">
      <c r="A266" s="18">
        <v>265</v>
      </c>
      <c r="B266" s="19" t="s">
        <v>1555</v>
      </c>
      <c r="C266" s="20" t="s">
        <v>2</v>
      </c>
      <c r="D266" s="21" t="s">
        <v>2</v>
      </c>
      <c r="E266" s="21"/>
      <c r="F266" s="43"/>
      <c r="G266" s="24" t="s">
        <v>1526</v>
      </c>
      <c r="H266" s="19"/>
      <c r="I266" s="19" t="s">
        <v>1556</v>
      </c>
      <c r="J266" s="367">
        <v>45275</v>
      </c>
      <c r="K266" s="19"/>
      <c r="L266" s="24" t="s">
        <v>1457</v>
      </c>
      <c r="M266" s="19" t="s">
        <v>1557</v>
      </c>
      <c r="N266" s="36">
        <v>44911</v>
      </c>
      <c r="O266" s="37">
        <v>432961</v>
      </c>
      <c r="P266" s="19">
        <v>1</v>
      </c>
      <c r="Q266" s="40">
        <f t="shared" si="9"/>
        <v>432961</v>
      </c>
      <c r="R266" s="40">
        <f>592083/1.11</f>
        <v>533408.10810810805</v>
      </c>
      <c r="S266" s="40">
        <f t="shared" si="10"/>
        <v>533408.10810810805</v>
      </c>
    </row>
    <row r="267" spans="1:19" s="1" customFormat="1" ht="12.75">
      <c r="A267" s="18">
        <v>266</v>
      </c>
      <c r="B267" s="45" t="s">
        <v>1558</v>
      </c>
      <c r="C267" s="46" t="s">
        <v>2</v>
      </c>
      <c r="D267" s="47" t="s">
        <v>2</v>
      </c>
      <c r="E267" s="47"/>
      <c r="F267" s="48"/>
      <c r="G267" s="49" t="s">
        <v>1526</v>
      </c>
      <c r="H267" s="45"/>
      <c r="I267" s="45" t="s">
        <v>1556</v>
      </c>
      <c r="J267" s="367">
        <v>45275</v>
      </c>
      <c r="K267" s="45"/>
      <c r="L267" s="49" t="s">
        <v>1457</v>
      </c>
      <c r="M267" s="45" t="s">
        <v>1559</v>
      </c>
      <c r="N267" s="102">
        <v>44911</v>
      </c>
      <c r="O267" s="103">
        <v>432961</v>
      </c>
      <c r="P267" s="45">
        <v>2</v>
      </c>
      <c r="Q267" s="120">
        <f t="shared" si="9"/>
        <v>865922</v>
      </c>
      <c r="R267" s="120">
        <f>592083/1.11</f>
        <v>533408.10810810805</v>
      </c>
      <c r="S267" s="40">
        <f t="shared" si="10"/>
        <v>1066816.2162162161</v>
      </c>
    </row>
    <row r="268" spans="1:19" s="1" customFormat="1" ht="12.75">
      <c r="A268" s="18">
        <v>267</v>
      </c>
      <c r="B268" s="45" t="s">
        <v>1560</v>
      </c>
      <c r="C268" s="46" t="s">
        <v>1561</v>
      </c>
      <c r="D268" s="47" t="s">
        <v>9</v>
      </c>
      <c r="E268" s="50" t="s">
        <v>1692</v>
      </c>
      <c r="F268" s="51" t="s">
        <v>1693</v>
      </c>
      <c r="G268" s="49" t="s">
        <v>1562</v>
      </c>
      <c r="H268" s="45"/>
      <c r="I268" s="45" t="s">
        <v>1563</v>
      </c>
      <c r="J268" s="367">
        <v>45646</v>
      </c>
      <c r="K268" s="45"/>
      <c r="L268" s="49" t="s">
        <v>50</v>
      </c>
      <c r="M268" s="45" t="s">
        <v>1564</v>
      </c>
      <c r="N268" s="102">
        <v>44915</v>
      </c>
      <c r="O268" s="103">
        <v>254545</v>
      </c>
      <c r="P268" s="45">
        <v>5</v>
      </c>
      <c r="Q268" s="120">
        <f t="shared" si="9"/>
        <v>1272725</v>
      </c>
      <c r="R268" s="120">
        <v>275000</v>
      </c>
      <c r="S268" s="40">
        <f t="shared" si="10"/>
        <v>1375000</v>
      </c>
    </row>
    <row r="269" spans="1:19" s="1" customFormat="1" ht="12.75">
      <c r="A269" s="18">
        <v>268</v>
      </c>
      <c r="B269" s="45" t="s">
        <v>1565</v>
      </c>
      <c r="C269" s="46" t="s">
        <v>1515</v>
      </c>
      <c r="D269" s="47" t="s">
        <v>1468</v>
      </c>
      <c r="E269" s="50" t="s">
        <v>1720</v>
      </c>
      <c r="F269" s="53" t="s">
        <v>1721</v>
      </c>
      <c r="G269" s="49" t="s">
        <v>1566</v>
      </c>
      <c r="H269" s="45"/>
      <c r="I269" s="45" t="s">
        <v>1567</v>
      </c>
      <c r="J269" s="367">
        <v>45280</v>
      </c>
      <c r="K269" s="45"/>
      <c r="L269" s="49" t="s">
        <v>85</v>
      </c>
      <c r="M269" s="45" t="s">
        <v>1568</v>
      </c>
      <c r="N269" s="102">
        <v>44916</v>
      </c>
      <c r="O269" s="103">
        <v>222727</v>
      </c>
      <c r="P269" s="45">
        <v>105</v>
      </c>
      <c r="Q269" s="120">
        <f t="shared" si="9"/>
        <v>23386335</v>
      </c>
      <c r="R269" s="120">
        <v>273292</v>
      </c>
      <c r="S269" s="40">
        <f t="shared" si="10"/>
        <v>28695660</v>
      </c>
    </row>
    <row r="270" spans="1:19">
      <c r="A270" s="18">
        <v>269</v>
      </c>
      <c r="B270" s="54" t="s">
        <v>1569</v>
      </c>
      <c r="C270" s="55" t="s">
        <v>1570</v>
      </c>
      <c r="D270" s="56" t="s">
        <v>10</v>
      </c>
      <c r="E270" s="57" t="s">
        <v>1702</v>
      </c>
      <c r="F270" s="58" t="s">
        <v>1703</v>
      </c>
      <c r="G270" s="59" t="s">
        <v>814</v>
      </c>
      <c r="H270" s="55"/>
      <c r="I270" s="104" t="s">
        <v>1571</v>
      </c>
      <c r="J270" s="367">
        <v>44962</v>
      </c>
      <c r="K270" s="55"/>
      <c r="L270" s="105" t="s">
        <v>816</v>
      </c>
      <c r="M270" s="106" t="s">
        <v>1572</v>
      </c>
      <c r="N270" s="107">
        <v>44931</v>
      </c>
      <c r="O270" s="108">
        <v>22727</v>
      </c>
      <c r="P270" s="70">
        <v>2</v>
      </c>
      <c r="Q270" s="121">
        <f t="shared" si="9"/>
        <v>45454</v>
      </c>
      <c r="R270" s="121">
        <v>29091</v>
      </c>
      <c r="S270" s="121">
        <f t="shared" si="10"/>
        <v>58182</v>
      </c>
    </row>
    <row r="271" spans="1:19" ht="15.75" customHeight="1">
      <c r="A271" s="18">
        <v>270</v>
      </c>
      <c r="B271" s="60" t="s">
        <v>1573</v>
      </c>
      <c r="C271" s="61" t="s">
        <v>1574</v>
      </c>
      <c r="D271" s="62" t="s">
        <v>10</v>
      </c>
      <c r="E271" s="57" t="s">
        <v>1702</v>
      </c>
      <c r="F271" s="58" t="s">
        <v>1703</v>
      </c>
      <c r="G271" s="63" t="s">
        <v>814</v>
      </c>
      <c r="H271" s="61"/>
      <c r="I271" s="109" t="s">
        <v>1575</v>
      </c>
      <c r="J271" s="367">
        <v>44972</v>
      </c>
      <c r="K271" s="110"/>
      <c r="L271" s="105" t="s">
        <v>816</v>
      </c>
      <c r="M271" s="70" t="s">
        <v>1576</v>
      </c>
      <c r="N271" s="111">
        <v>44936</v>
      </c>
      <c r="O271" s="108">
        <v>22727</v>
      </c>
      <c r="P271" s="70">
        <v>4</v>
      </c>
      <c r="Q271" s="121">
        <f t="shared" si="9"/>
        <v>90908</v>
      </c>
      <c r="R271" s="121">
        <v>29091</v>
      </c>
      <c r="S271" s="121">
        <f t="shared" si="10"/>
        <v>116364</v>
      </c>
    </row>
    <row r="272" spans="1:19">
      <c r="A272" s="18">
        <v>271</v>
      </c>
      <c r="B272" s="64" t="s">
        <v>1577</v>
      </c>
      <c r="C272" s="65" t="s">
        <v>1574</v>
      </c>
      <c r="D272" s="56" t="s">
        <v>10</v>
      </c>
      <c r="E272" s="57" t="s">
        <v>1702</v>
      </c>
      <c r="F272" s="58" t="s">
        <v>1703</v>
      </c>
      <c r="G272" s="59" t="s">
        <v>814</v>
      </c>
      <c r="H272" s="61"/>
      <c r="I272" s="109" t="s">
        <v>1578</v>
      </c>
      <c r="J272" s="367">
        <v>44972</v>
      </c>
      <c r="K272" s="109"/>
      <c r="L272" s="105" t="s">
        <v>816</v>
      </c>
      <c r="M272" s="70" t="s">
        <v>1505</v>
      </c>
      <c r="N272" s="111">
        <v>44936</v>
      </c>
      <c r="O272" s="108">
        <v>22727</v>
      </c>
      <c r="P272" s="70">
        <v>15</v>
      </c>
      <c r="Q272" s="121">
        <f t="shared" si="9"/>
        <v>340905</v>
      </c>
      <c r="R272" s="121">
        <v>29091</v>
      </c>
      <c r="S272" s="121">
        <f t="shared" si="10"/>
        <v>436365</v>
      </c>
    </row>
    <row r="273" spans="1:19">
      <c r="A273" s="18">
        <v>272</v>
      </c>
      <c r="B273" s="60" t="s">
        <v>1579</v>
      </c>
      <c r="C273" s="66" t="s">
        <v>1580</v>
      </c>
      <c r="D273" s="62" t="s">
        <v>11</v>
      </c>
      <c r="E273" s="28" t="s">
        <v>1696</v>
      </c>
      <c r="F273" s="31" t="s">
        <v>1697</v>
      </c>
      <c r="G273" s="63" t="s">
        <v>1581</v>
      </c>
      <c r="H273" s="61"/>
      <c r="I273" s="61" t="s">
        <v>1582</v>
      </c>
      <c r="J273" s="367">
        <v>45294</v>
      </c>
      <c r="K273" s="110"/>
      <c r="L273" s="105" t="s">
        <v>85</v>
      </c>
      <c r="M273" s="70" t="s">
        <v>1583</v>
      </c>
      <c r="N273" s="111">
        <v>44929</v>
      </c>
      <c r="O273" s="108">
        <v>222727</v>
      </c>
      <c r="P273" s="70">
        <v>2</v>
      </c>
      <c r="Q273" s="121">
        <f t="shared" si="9"/>
        <v>445454</v>
      </c>
      <c r="R273" s="121">
        <v>279091</v>
      </c>
      <c r="S273" s="121">
        <f t="shared" si="10"/>
        <v>558182</v>
      </c>
    </row>
    <row r="274" spans="1:19">
      <c r="A274" s="18">
        <v>273</v>
      </c>
      <c r="B274" s="60" t="s">
        <v>1584</v>
      </c>
      <c r="C274" s="66" t="s">
        <v>1585</v>
      </c>
      <c r="D274" s="62" t="s">
        <v>11</v>
      </c>
      <c r="E274" s="28" t="s">
        <v>1696</v>
      </c>
      <c r="F274" s="31" t="s">
        <v>1697</v>
      </c>
      <c r="G274" s="67" t="s">
        <v>1586</v>
      </c>
      <c r="H274" s="61"/>
      <c r="I274" s="61" t="s">
        <v>1587</v>
      </c>
      <c r="J274" s="367">
        <v>45300</v>
      </c>
      <c r="K274" s="66"/>
      <c r="L274" s="67" t="s">
        <v>1588</v>
      </c>
      <c r="M274" s="70" t="s">
        <v>1589</v>
      </c>
      <c r="N274" s="107">
        <v>44932</v>
      </c>
      <c r="O274" s="108">
        <v>231750</v>
      </c>
      <c r="P274" s="70">
        <v>86</v>
      </c>
      <c r="Q274" s="121">
        <f t="shared" si="9"/>
        <v>19930500</v>
      </c>
      <c r="R274" s="121">
        <v>245000</v>
      </c>
      <c r="S274" s="121">
        <f t="shared" si="10"/>
        <v>21070000</v>
      </c>
    </row>
    <row r="275" spans="1:19">
      <c r="A275" s="18">
        <v>274</v>
      </c>
      <c r="B275" s="60" t="s">
        <v>1590</v>
      </c>
      <c r="C275" s="66" t="s">
        <v>1591</v>
      </c>
      <c r="D275" s="67" t="s">
        <v>1592</v>
      </c>
      <c r="E275" s="68" t="s">
        <v>1722</v>
      </c>
      <c r="F275" s="69" t="s">
        <v>1723</v>
      </c>
      <c r="G275" s="67" t="s">
        <v>1593</v>
      </c>
      <c r="H275" s="61"/>
      <c r="I275" s="61" t="s">
        <v>1594</v>
      </c>
      <c r="J275" s="367">
        <v>45301</v>
      </c>
      <c r="K275" s="66"/>
      <c r="L275" s="105" t="s">
        <v>85</v>
      </c>
      <c r="M275" s="70" t="s">
        <v>1595</v>
      </c>
      <c r="N275" s="107">
        <v>44935</v>
      </c>
      <c r="O275" s="108">
        <v>222727</v>
      </c>
      <c r="P275" s="70">
        <v>38</v>
      </c>
      <c r="Q275" s="121">
        <f t="shared" si="9"/>
        <v>8463626</v>
      </c>
      <c r="R275" s="122">
        <v>309791</v>
      </c>
      <c r="S275" s="121">
        <f t="shared" si="10"/>
        <v>11772058</v>
      </c>
    </row>
    <row r="276" spans="1:19" ht="15" customHeight="1">
      <c r="A276" s="18">
        <v>275</v>
      </c>
      <c r="B276" s="60" t="s">
        <v>1596</v>
      </c>
      <c r="C276" s="70" t="s">
        <v>1597</v>
      </c>
      <c r="D276" s="67" t="s">
        <v>1598</v>
      </c>
      <c r="E276" s="68" t="s">
        <v>1724</v>
      </c>
      <c r="F276" s="69" t="s">
        <v>1725</v>
      </c>
      <c r="G276" s="67" t="s">
        <v>1599</v>
      </c>
      <c r="H276" s="112"/>
      <c r="I276" s="61" t="s">
        <v>1600</v>
      </c>
      <c r="J276" s="367">
        <v>45302</v>
      </c>
      <c r="K276" s="112"/>
      <c r="L276" s="105" t="s">
        <v>85</v>
      </c>
      <c r="M276" s="70" t="s">
        <v>1601</v>
      </c>
      <c r="N276" s="113">
        <v>44936</v>
      </c>
      <c r="O276" s="108">
        <v>222727</v>
      </c>
      <c r="P276" s="70">
        <v>15</v>
      </c>
      <c r="Q276" s="121">
        <f t="shared" si="9"/>
        <v>3340905</v>
      </c>
      <c r="R276" s="122">
        <v>309791</v>
      </c>
      <c r="S276" s="121">
        <f t="shared" si="10"/>
        <v>4646865</v>
      </c>
    </row>
    <row r="277" spans="1:19">
      <c r="A277" s="18">
        <v>276</v>
      </c>
      <c r="B277" s="60" t="s">
        <v>1602</v>
      </c>
      <c r="C277" s="70" t="s">
        <v>1597</v>
      </c>
      <c r="D277" s="67" t="s">
        <v>1598</v>
      </c>
      <c r="E277" s="68" t="s">
        <v>1724</v>
      </c>
      <c r="F277" s="69" t="s">
        <v>1725</v>
      </c>
      <c r="G277" s="67" t="s">
        <v>1599</v>
      </c>
      <c r="H277" s="112"/>
      <c r="I277" s="61" t="s">
        <v>1600</v>
      </c>
      <c r="J277" s="367">
        <v>45302</v>
      </c>
      <c r="K277" s="112"/>
      <c r="L277" s="105" t="s">
        <v>63</v>
      </c>
      <c r="M277" s="70" t="s">
        <v>1603</v>
      </c>
      <c r="N277" s="113">
        <v>44936</v>
      </c>
      <c r="O277" s="108">
        <v>92727</v>
      </c>
      <c r="P277" s="70">
        <v>15</v>
      </c>
      <c r="Q277" s="121">
        <f t="shared" si="9"/>
        <v>1390905</v>
      </c>
      <c r="R277" s="122">
        <v>129164</v>
      </c>
      <c r="S277" s="121">
        <f t="shared" si="10"/>
        <v>1937460</v>
      </c>
    </row>
    <row r="278" spans="1:19">
      <c r="A278" s="18">
        <v>277</v>
      </c>
      <c r="B278" s="60" t="s">
        <v>1604</v>
      </c>
      <c r="C278" s="70" t="s">
        <v>1605</v>
      </c>
      <c r="D278" s="71" t="s">
        <v>1606</v>
      </c>
      <c r="E278" s="72" t="s">
        <v>1700</v>
      </c>
      <c r="F278" s="73" t="s">
        <v>1701</v>
      </c>
      <c r="G278" s="67" t="s">
        <v>1607</v>
      </c>
      <c r="H278" s="112"/>
      <c r="I278" s="61" t="s">
        <v>1608</v>
      </c>
      <c r="J278" s="367">
        <v>45309</v>
      </c>
      <c r="K278" s="112"/>
      <c r="L278" s="105" t="s">
        <v>85</v>
      </c>
      <c r="M278" s="70" t="s">
        <v>1609</v>
      </c>
      <c r="N278" s="113">
        <v>44945</v>
      </c>
      <c r="O278" s="108">
        <v>222727</v>
      </c>
      <c r="P278" s="70">
        <v>25</v>
      </c>
      <c r="Q278" s="121">
        <f t="shared" si="9"/>
        <v>5568175</v>
      </c>
      <c r="R278" s="122">
        <v>257182</v>
      </c>
      <c r="S278" s="121">
        <f t="shared" si="10"/>
        <v>6429550</v>
      </c>
    </row>
    <row r="279" spans="1:19" ht="15" customHeight="1">
      <c r="A279" s="18">
        <v>278</v>
      </c>
      <c r="B279" s="60" t="s">
        <v>1610</v>
      </c>
      <c r="C279" s="70" t="s">
        <v>1611</v>
      </c>
      <c r="D279" s="67" t="s">
        <v>1598</v>
      </c>
      <c r="E279" s="68" t="s">
        <v>1724</v>
      </c>
      <c r="F279" s="69" t="s">
        <v>1725</v>
      </c>
      <c r="G279" s="74" t="s">
        <v>1612</v>
      </c>
      <c r="H279" s="112"/>
      <c r="I279" s="61" t="s">
        <v>1613</v>
      </c>
      <c r="J279" s="367">
        <v>45682</v>
      </c>
      <c r="K279" s="112"/>
      <c r="L279" s="110" t="s">
        <v>1614</v>
      </c>
      <c r="M279" s="70" t="s">
        <v>1615</v>
      </c>
      <c r="N279" s="113">
        <v>44952</v>
      </c>
      <c r="O279" s="108">
        <v>92438</v>
      </c>
      <c r="P279" s="70">
        <v>58</v>
      </c>
      <c r="Q279" s="121">
        <f t="shared" si="9"/>
        <v>5361404</v>
      </c>
      <c r="R279" s="122">
        <v>109890</v>
      </c>
      <c r="S279" s="121">
        <f t="shared" si="10"/>
        <v>6373620</v>
      </c>
    </row>
    <row r="280" spans="1:19">
      <c r="A280" s="18">
        <v>279</v>
      </c>
      <c r="B280" s="60" t="s">
        <v>1616</v>
      </c>
      <c r="C280" s="70" t="s">
        <v>1617</v>
      </c>
      <c r="D280" s="71" t="s">
        <v>1606</v>
      </c>
      <c r="E280" s="72" t="s">
        <v>1700</v>
      </c>
      <c r="F280" s="73" t="s">
        <v>1701</v>
      </c>
      <c r="G280" s="62" t="s">
        <v>742</v>
      </c>
      <c r="H280" s="112"/>
      <c r="I280" s="61" t="s">
        <v>1618</v>
      </c>
      <c r="J280" s="367">
        <v>45351</v>
      </c>
      <c r="K280" s="112"/>
      <c r="L280" s="105" t="s">
        <v>92</v>
      </c>
      <c r="M280" s="70" t="s">
        <v>1619</v>
      </c>
      <c r="N280" s="113">
        <v>44947</v>
      </c>
      <c r="O280" s="108">
        <v>32273</v>
      </c>
      <c r="P280" s="70">
        <v>218</v>
      </c>
      <c r="Q280" s="121">
        <f t="shared" si="9"/>
        <v>7035514</v>
      </c>
      <c r="R280" s="122">
        <v>35500</v>
      </c>
      <c r="S280" s="121">
        <f t="shared" si="10"/>
        <v>7739000</v>
      </c>
    </row>
    <row r="281" spans="1:19">
      <c r="A281" s="18">
        <v>280</v>
      </c>
      <c r="B281" s="60" t="s">
        <v>1620</v>
      </c>
      <c r="C281" s="66">
        <v>2500040497</v>
      </c>
      <c r="D281" s="62" t="s">
        <v>10</v>
      </c>
      <c r="E281" s="57" t="s">
        <v>1702</v>
      </c>
      <c r="F281" s="58" t="s">
        <v>1703</v>
      </c>
      <c r="G281" s="63" t="s">
        <v>814</v>
      </c>
      <c r="H281" s="112"/>
      <c r="I281" s="109" t="s">
        <v>1621</v>
      </c>
      <c r="J281" s="367">
        <v>44990</v>
      </c>
      <c r="K281" s="112"/>
      <c r="L281" s="105" t="s">
        <v>816</v>
      </c>
      <c r="M281" s="70" t="s">
        <v>1572</v>
      </c>
      <c r="N281" s="113">
        <v>44960</v>
      </c>
      <c r="O281" s="108">
        <v>22727</v>
      </c>
      <c r="P281" s="70">
        <v>2</v>
      </c>
      <c r="Q281" s="121">
        <f t="shared" ref="Q281:Q345" si="11">O281*P281</f>
        <v>45454</v>
      </c>
      <c r="R281" s="121">
        <v>29091</v>
      </c>
      <c r="S281" s="121">
        <f t="shared" si="10"/>
        <v>58182</v>
      </c>
    </row>
    <row r="282" spans="1:19">
      <c r="A282" s="18">
        <v>281</v>
      </c>
      <c r="B282" s="60" t="s">
        <v>1622</v>
      </c>
      <c r="C282" s="66">
        <v>2500042410</v>
      </c>
      <c r="D282" s="62" t="s">
        <v>10</v>
      </c>
      <c r="E282" s="57" t="s">
        <v>1702</v>
      </c>
      <c r="F282" s="58" t="s">
        <v>1703</v>
      </c>
      <c r="G282" s="63" t="s">
        <v>814</v>
      </c>
      <c r="H282" s="70"/>
      <c r="I282" s="109" t="s">
        <v>1623</v>
      </c>
      <c r="J282" s="367">
        <v>45002</v>
      </c>
      <c r="K282" s="70"/>
      <c r="L282" s="105" t="s">
        <v>816</v>
      </c>
      <c r="M282" s="70" t="s">
        <v>1624</v>
      </c>
      <c r="N282" s="113">
        <v>44974</v>
      </c>
      <c r="O282" s="108">
        <v>22727</v>
      </c>
      <c r="P282" s="70">
        <v>19</v>
      </c>
      <c r="Q282" s="121">
        <f t="shared" si="11"/>
        <v>431813</v>
      </c>
      <c r="R282" s="121">
        <v>29091</v>
      </c>
      <c r="S282" s="121">
        <f t="shared" si="10"/>
        <v>552729</v>
      </c>
    </row>
    <row r="283" spans="1:19">
      <c r="A283" s="18">
        <v>282</v>
      </c>
      <c r="B283" s="60" t="s">
        <v>1625</v>
      </c>
      <c r="C283" s="70" t="s">
        <v>1626</v>
      </c>
      <c r="D283" s="62" t="s">
        <v>11</v>
      </c>
      <c r="E283" s="28" t="s">
        <v>1696</v>
      </c>
      <c r="F283" s="31" t="s">
        <v>1697</v>
      </c>
      <c r="G283" s="67" t="s">
        <v>1627</v>
      </c>
      <c r="H283" s="70"/>
      <c r="I283" s="109" t="s">
        <v>1628</v>
      </c>
      <c r="J283" s="367">
        <v>45327</v>
      </c>
      <c r="K283" s="70"/>
      <c r="L283" s="105" t="s">
        <v>85</v>
      </c>
      <c r="M283" s="70" t="s">
        <v>1629</v>
      </c>
      <c r="N283" s="113">
        <v>44963</v>
      </c>
      <c r="O283" s="108">
        <v>222727</v>
      </c>
      <c r="P283" s="70">
        <v>2</v>
      </c>
      <c r="Q283" s="121">
        <f t="shared" si="11"/>
        <v>445454</v>
      </c>
      <c r="R283" s="121">
        <v>279091</v>
      </c>
      <c r="S283" s="121">
        <f t="shared" si="10"/>
        <v>558182</v>
      </c>
    </row>
    <row r="284" spans="1:19">
      <c r="A284" s="18">
        <v>283</v>
      </c>
      <c r="B284" s="60" t="s">
        <v>1630</v>
      </c>
      <c r="C284" s="66">
        <v>2500042737</v>
      </c>
      <c r="D284" s="62" t="s">
        <v>10</v>
      </c>
      <c r="E284" s="57" t="s">
        <v>1702</v>
      </c>
      <c r="F284" s="58" t="s">
        <v>1703</v>
      </c>
      <c r="G284" s="63" t="s">
        <v>814</v>
      </c>
      <c r="H284" s="70"/>
      <c r="I284" s="109" t="s">
        <v>1631</v>
      </c>
      <c r="J284" s="367">
        <v>45351</v>
      </c>
      <c r="K284" s="70"/>
      <c r="L284" s="105" t="s">
        <v>85</v>
      </c>
      <c r="M284" s="70" t="s">
        <v>1632</v>
      </c>
      <c r="N284" s="113">
        <v>44977</v>
      </c>
      <c r="O284" s="108">
        <v>222727</v>
      </c>
      <c r="P284" s="70">
        <v>358</v>
      </c>
      <c r="Q284" s="121">
        <f t="shared" si="11"/>
        <v>79736266</v>
      </c>
      <c r="R284" s="121">
        <v>279091</v>
      </c>
      <c r="S284" s="121">
        <f t="shared" si="10"/>
        <v>99914578</v>
      </c>
    </row>
    <row r="285" spans="1:19">
      <c r="A285" s="18">
        <v>284</v>
      </c>
      <c r="B285" s="60" t="s">
        <v>1633</v>
      </c>
      <c r="C285" s="70" t="s">
        <v>1634</v>
      </c>
      <c r="D285" s="67" t="s">
        <v>82</v>
      </c>
      <c r="E285" s="68" t="s">
        <v>1698</v>
      </c>
      <c r="F285" s="75" t="s">
        <v>1699</v>
      </c>
      <c r="G285" s="67" t="s">
        <v>83</v>
      </c>
      <c r="H285" s="70"/>
      <c r="I285" s="109" t="s">
        <v>1635</v>
      </c>
      <c r="J285" s="367">
        <v>45345</v>
      </c>
      <c r="K285" s="70"/>
      <c r="L285" s="105" t="s">
        <v>85</v>
      </c>
      <c r="M285" s="70" t="s">
        <v>1636</v>
      </c>
      <c r="N285" s="113">
        <v>44978</v>
      </c>
      <c r="O285" s="108">
        <v>222727</v>
      </c>
      <c r="P285" s="70">
        <v>250</v>
      </c>
      <c r="Q285" s="121">
        <f t="shared" si="11"/>
        <v>55681750</v>
      </c>
      <c r="R285" s="121">
        <v>279091</v>
      </c>
      <c r="S285" s="121">
        <f t="shared" si="10"/>
        <v>69772750</v>
      </c>
    </row>
    <row r="286" spans="1:19">
      <c r="A286" s="18">
        <v>285</v>
      </c>
      <c r="B286" s="77" t="s">
        <v>1637</v>
      </c>
      <c r="C286" s="19" t="s">
        <v>1638</v>
      </c>
      <c r="D286" s="21" t="s">
        <v>11</v>
      </c>
      <c r="E286" s="22" t="s">
        <v>1696</v>
      </c>
      <c r="F286" s="32" t="s">
        <v>1697</v>
      </c>
      <c r="G286" s="78" t="s">
        <v>1581</v>
      </c>
      <c r="H286" s="19"/>
      <c r="I286" s="19" t="s">
        <v>1639</v>
      </c>
      <c r="J286" s="367">
        <v>45363</v>
      </c>
      <c r="K286" s="19"/>
      <c r="L286" s="24" t="s">
        <v>85</v>
      </c>
      <c r="M286" s="19" t="s">
        <v>1640</v>
      </c>
      <c r="N286" s="36">
        <v>44995</v>
      </c>
      <c r="O286" s="37">
        <v>222727</v>
      </c>
      <c r="P286" s="19">
        <v>2</v>
      </c>
      <c r="Q286" s="40">
        <f t="shared" si="11"/>
        <v>445454</v>
      </c>
      <c r="R286" s="40">
        <v>279091</v>
      </c>
      <c r="S286" s="40">
        <f t="shared" si="10"/>
        <v>558182</v>
      </c>
    </row>
    <row r="287" spans="1:19">
      <c r="A287" s="18">
        <v>286</v>
      </c>
      <c r="B287" s="77" t="s">
        <v>1641</v>
      </c>
      <c r="C287" s="19" t="s">
        <v>1642</v>
      </c>
      <c r="D287" s="21" t="s">
        <v>1643</v>
      </c>
      <c r="E287" s="22" t="s">
        <v>1716</v>
      </c>
      <c r="F287" s="43" t="s">
        <v>1717</v>
      </c>
      <c r="G287" s="24" t="s">
        <v>1644</v>
      </c>
      <c r="H287" s="19"/>
      <c r="I287" s="19" t="s">
        <v>1645</v>
      </c>
      <c r="J287" s="367">
        <v>45364</v>
      </c>
      <c r="K287" s="19"/>
      <c r="L287" s="24" t="s">
        <v>63</v>
      </c>
      <c r="M287" s="19" t="s">
        <v>1646</v>
      </c>
      <c r="N287" s="36">
        <v>44998</v>
      </c>
      <c r="O287" s="37">
        <v>92727</v>
      </c>
      <c r="P287" s="19">
        <v>5</v>
      </c>
      <c r="Q287" s="40">
        <f t="shared" si="11"/>
        <v>463635</v>
      </c>
      <c r="R287" s="40">
        <v>116364</v>
      </c>
      <c r="S287" s="40">
        <f t="shared" si="10"/>
        <v>581820</v>
      </c>
    </row>
    <row r="288" spans="1:19">
      <c r="A288" s="18">
        <v>287</v>
      </c>
      <c r="B288" s="77" t="s">
        <v>1647</v>
      </c>
      <c r="C288" s="19" t="s">
        <v>1648</v>
      </c>
      <c r="D288" s="21" t="s">
        <v>11</v>
      </c>
      <c r="E288" s="22" t="s">
        <v>1696</v>
      </c>
      <c r="F288" s="32" t="s">
        <v>1697</v>
      </c>
      <c r="G288" s="79" t="s">
        <v>1649</v>
      </c>
      <c r="H288" s="19"/>
      <c r="I288" s="19" t="s">
        <v>1650</v>
      </c>
      <c r="J288" s="367">
        <v>45366</v>
      </c>
      <c r="K288" s="19"/>
      <c r="L288" s="24" t="s">
        <v>85</v>
      </c>
      <c r="M288" s="19" t="s">
        <v>1651</v>
      </c>
      <c r="N288" s="36">
        <v>45000</v>
      </c>
      <c r="O288" s="37">
        <v>222727</v>
      </c>
      <c r="P288" s="19">
        <v>46</v>
      </c>
      <c r="Q288" s="40">
        <f t="shared" si="11"/>
        <v>10245442</v>
      </c>
      <c r="R288" s="40">
        <v>279091</v>
      </c>
      <c r="S288" s="40">
        <f t="shared" si="10"/>
        <v>12838186</v>
      </c>
    </row>
    <row r="289" spans="1:19">
      <c r="A289" s="18">
        <v>288</v>
      </c>
      <c r="B289" s="77" t="s">
        <v>1652</v>
      </c>
      <c r="C289" s="19" t="s">
        <v>1653</v>
      </c>
      <c r="D289" s="80" t="s">
        <v>1606</v>
      </c>
      <c r="E289" s="22" t="s">
        <v>1700</v>
      </c>
      <c r="F289" s="32" t="s">
        <v>1701</v>
      </c>
      <c r="G289" s="24" t="s">
        <v>1654</v>
      </c>
      <c r="H289" s="19"/>
      <c r="I289" s="19" t="s">
        <v>1655</v>
      </c>
      <c r="J289" s="367">
        <v>45367</v>
      </c>
      <c r="K289" s="19"/>
      <c r="L289" s="24" t="s">
        <v>85</v>
      </c>
      <c r="M289" s="19" t="s">
        <v>1656</v>
      </c>
      <c r="N289" s="36">
        <v>45002</v>
      </c>
      <c r="O289" s="37">
        <v>222727</v>
      </c>
      <c r="P289" s="19">
        <v>3</v>
      </c>
      <c r="Q289" s="40">
        <f t="shared" si="11"/>
        <v>668181</v>
      </c>
      <c r="R289" s="40">
        <v>256000</v>
      </c>
      <c r="S289" s="40">
        <f t="shared" si="10"/>
        <v>768000</v>
      </c>
    </row>
    <row r="290" spans="1:19">
      <c r="A290" s="18">
        <v>289</v>
      </c>
      <c r="B290" s="77" t="s">
        <v>1657</v>
      </c>
      <c r="C290" s="19" t="s">
        <v>1658</v>
      </c>
      <c r="D290" s="21" t="s">
        <v>17</v>
      </c>
      <c r="E290" s="22" t="s">
        <v>1708</v>
      </c>
      <c r="F290" s="32" t="s">
        <v>1709</v>
      </c>
      <c r="G290" s="24" t="s">
        <v>114</v>
      </c>
      <c r="H290" s="19"/>
      <c r="I290" s="19" t="s">
        <v>1659</v>
      </c>
      <c r="J290" s="367">
        <v>45355</v>
      </c>
      <c r="K290" s="19"/>
      <c r="L290" s="24" t="s">
        <v>1457</v>
      </c>
      <c r="M290" s="19" t="s">
        <v>1660</v>
      </c>
      <c r="N290" s="36">
        <v>45012</v>
      </c>
      <c r="O290" s="37">
        <v>432961</v>
      </c>
      <c r="P290" s="19">
        <v>41</v>
      </c>
      <c r="Q290" s="40">
        <f t="shared" si="11"/>
        <v>17751401</v>
      </c>
      <c r="R290" s="40">
        <v>533408</v>
      </c>
      <c r="S290" s="40">
        <f t="shared" si="10"/>
        <v>21869728</v>
      </c>
    </row>
    <row r="291" spans="1:19">
      <c r="A291" s="18">
        <v>290</v>
      </c>
      <c r="B291" s="77" t="s">
        <v>1661</v>
      </c>
      <c r="C291" s="19" t="s">
        <v>1658</v>
      </c>
      <c r="D291" s="21" t="s">
        <v>17</v>
      </c>
      <c r="E291" s="81" t="s">
        <v>1708</v>
      </c>
      <c r="F291" s="32" t="s">
        <v>1709</v>
      </c>
      <c r="G291" s="24" t="s">
        <v>114</v>
      </c>
      <c r="H291" s="19"/>
      <c r="I291" s="19" t="s">
        <v>1662</v>
      </c>
      <c r="J291" s="367">
        <v>45462</v>
      </c>
      <c r="K291" s="19"/>
      <c r="L291" s="24" t="s">
        <v>85</v>
      </c>
      <c r="M291" s="19" t="s">
        <v>303</v>
      </c>
      <c r="N291" s="36">
        <v>45012</v>
      </c>
      <c r="O291" s="37">
        <v>222727</v>
      </c>
      <c r="P291" s="19">
        <v>4</v>
      </c>
      <c r="Q291" s="40">
        <f t="shared" si="11"/>
        <v>890908</v>
      </c>
      <c r="R291" s="40">
        <v>279091</v>
      </c>
      <c r="S291" s="40">
        <f t="shared" si="10"/>
        <v>1116364</v>
      </c>
    </row>
    <row r="292" spans="1:19">
      <c r="A292" s="18">
        <v>291</v>
      </c>
      <c r="B292" s="77" t="s">
        <v>1663</v>
      </c>
      <c r="C292" s="19" t="s">
        <v>1658</v>
      </c>
      <c r="D292" s="21" t="s">
        <v>17</v>
      </c>
      <c r="E292" s="22" t="s">
        <v>1708</v>
      </c>
      <c r="F292" s="32" t="s">
        <v>1709</v>
      </c>
      <c r="G292" s="24" t="s">
        <v>114</v>
      </c>
      <c r="H292" s="19"/>
      <c r="I292" s="19" t="s">
        <v>1664</v>
      </c>
      <c r="J292" s="367">
        <v>45491</v>
      </c>
      <c r="K292" s="19"/>
      <c r="L292" s="24" t="s">
        <v>85</v>
      </c>
      <c r="M292" s="19" t="s">
        <v>377</v>
      </c>
      <c r="N292" s="36">
        <v>45012</v>
      </c>
      <c r="O292" s="37">
        <v>222727</v>
      </c>
      <c r="P292" s="19">
        <v>1</v>
      </c>
      <c r="Q292" s="40">
        <f t="shared" si="11"/>
        <v>222727</v>
      </c>
      <c r="R292" s="40">
        <v>279091</v>
      </c>
      <c r="S292" s="40">
        <f t="shared" si="10"/>
        <v>279091</v>
      </c>
    </row>
    <row r="293" spans="1:19">
      <c r="A293" s="18">
        <v>292</v>
      </c>
      <c r="B293" s="83" t="s">
        <v>1665</v>
      </c>
      <c r="C293" s="84" t="s">
        <v>1666</v>
      </c>
      <c r="D293" s="85" t="s">
        <v>1667</v>
      </c>
      <c r="E293" s="86" t="s">
        <v>1726</v>
      </c>
      <c r="F293" s="53" t="s">
        <v>1727</v>
      </c>
      <c r="G293" s="85" t="s">
        <v>1668</v>
      </c>
      <c r="H293" s="84"/>
      <c r="I293" s="84" t="s">
        <v>1669</v>
      </c>
      <c r="J293" s="367">
        <v>45390</v>
      </c>
      <c r="K293" s="84"/>
      <c r="L293" s="85" t="s">
        <v>63</v>
      </c>
      <c r="M293" s="84" t="s">
        <v>219</v>
      </c>
      <c r="N293" s="114">
        <v>45020</v>
      </c>
      <c r="O293" s="115">
        <v>92727</v>
      </c>
      <c r="P293" s="84">
        <v>18</v>
      </c>
      <c r="Q293" s="123">
        <f t="shared" si="11"/>
        <v>1669086</v>
      </c>
      <c r="R293" s="123">
        <v>116999</v>
      </c>
      <c r="S293" s="123">
        <f t="shared" si="10"/>
        <v>2105982</v>
      </c>
    </row>
    <row r="294" spans="1:19">
      <c r="A294" s="18">
        <v>293</v>
      </c>
      <c r="B294" s="83" t="s">
        <v>1670</v>
      </c>
      <c r="C294" s="84" t="s">
        <v>1671</v>
      </c>
      <c r="D294" s="87" t="s">
        <v>1606</v>
      </c>
      <c r="E294" s="88" t="s">
        <v>1700</v>
      </c>
      <c r="F294" s="89" t="s">
        <v>1701</v>
      </c>
      <c r="G294" s="85" t="s">
        <v>1672</v>
      </c>
      <c r="H294" s="84"/>
      <c r="I294" s="84" t="s">
        <v>1673</v>
      </c>
      <c r="J294" s="367">
        <v>45391</v>
      </c>
      <c r="K294" s="84"/>
      <c r="L294" s="85" t="s">
        <v>85</v>
      </c>
      <c r="M294" s="84" t="s">
        <v>1674</v>
      </c>
      <c r="N294" s="114">
        <v>45026</v>
      </c>
      <c r="O294" s="115">
        <v>222727</v>
      </c>
      <c r="P294" s="84">
        <v>40</v>
      </c>
      <c r="Q294" s="123">
        <f t="shared" si="11"/>
        <v>8909080</v>
      </c>
      <c r="R294" s="123">
        <v>256500</v>
      </c>
      <c r="S294" s="123">
        <f t="shared" si="10"/>
        <v>10260000</v>
      </c>
    </row>
    <row r="295" spans="1:19">
      <c r="A295" s="18">
        <v>294</v>
      </c>
      <c r="B295" s="83" t="s">
        <v>1675</v>
      </c>
      <c r="C295" s="90" t="s">
        <v>1676</v>
      </c>
      <c r="D295" s="87" t="s">
        <v>9</v>
      </c>
      <c r="E295" s="88" t="s">
        <v>1692</v>
      </c>
      <c r="F295" s="53" t="s">
        <v>1693</v>
      </c>
      <c r="G295" s="85" t="s">
        <v>1136</v>
      </c>
      <c r="H295" s="84"/>
      <c r="I295" s="116" t="s">
        <v>1677</v>
      </c>
      <c r="J295" s="367">
        <v>45774</v>
      </c>
      <c r="K295" s="84"/>
      <c r="L295" s="85" t="s">
        <v>50</v>
      </c>
      <c r="M295" s="116" t="s">
        <v>1678</v>
      </c>
      <c r="N295" s="114">
        <v>45027</v>
      </c>
      <c r="O295" s="115">
        <v>254545</v>
      </c>
      <c r="P295" s="84">
        <v>1</v>
      </c>
      <c r="Q295" s="123">
        <f t="shared" si="11"/>
        <v>254545</v>
      </c>
      <c r="R295" s="123">
        <v>275000</v>
      </c>
      <c r="S295" s="123">
        <f t="shared" si="10"/>
        <v>275000</v>
      </c>
    </row>
    <row r="296" spans="1:19">
      <c r="A296" s="18">
        <v>295</v>
      </c>
      <c r="B296" s="83" t="s">
        <v>1679</v>
      </c>
      <c r="C296" s="90" t="s">
        <v>1680</v>
      </c>
      <c r="D296" s="87"/>
      <c r="E296" s="87"/>
      <c r="F296" s="91"/>
      <c r="G296" s="85" t="s">
        <v>1681</v>
      </c>
      <c r="H296" s="84"/>
      <c r="I296" s="84" t="s">
        <v>1682</v>
      </c>
      <c r="J296" s="367">
        <v>45757</v>
      </c>
      <c r="K296" s="84"/>
      <c r="L296" s="85" t="s">
        <v>1683</v>
      </c>
      <c r="M296" s="84" t="s">
        <v>1684</v>
      </c>
      <c r="N296" s="114">
        <v>45027</v>
      </c>
      <c r="O296" s="115">
        <v>89827</v>
      </c>
      <c r="P296" s="84">
        <v>1</v>
      </c>
      <c r="Q296" s="123">
        <f t="shared" si="11"/>
        <v>89827</v>
      </c>
      <c r="R296" s="123">
        <v>97900</v>
      </c>
      <c r="S296" s="123">
        <f t="shared" si="10"/>
        <v>97900</v>
      </c>
    </row>
    <row r="297" spans="1:19">
      <c r="A297" s="18">
        <v>296</v>
      </c>
      <c r="B297" s="83" t="s">
        <v>1685</v>
      </c>
      <c r="C297" s="84" t="s">
        <v>1686</v>
      </c>
      <c r="D297" s="85" t="s">
        <v>1687</v>
      </c>
      <c r="E297" s="86" t="s">
        <v>1716</v>
      </c>
      <c r="F297" s="53" t="s">
        <v>1717</v>
      </c>
      <c r="G297" s="85" t="s">
        <v>1512</v>
      </c>
      <c r="H297" s="84"/>
      <c r="I297" s="84" t="s">
        <v>1688</v>
      </c>
      <c r="J297" s="367">
        <v>45408</v>
      </c>
      <c r="K297" s="84"/>
      <c r="L297" s="85" t="s">
        <v>85</v>
      </c>
      <c r="M297" s="84" t="s">
        <v>1689</v>
      </c>
      <c r="N297" s="114">
        <v>45042</v>
      </c>
      <c r="O297" s="115">
        <v>222727</v>
      </c>
      <c r="P297" s="84">
        <v>14</v>
      </c>
      <c r="Q297" s="123">
        <f t="shared" si="11"/>
        <v>3118178</v>
      </c>
      <c r="R297" s="123">
        <v>281183.78000000003</v>
      </c>
      <c r="S297" s="123">
        <f t="shared" si="10"/>
        <v>3936572.9200000004</v>
      </c>
    </row>
    <row r="298" spans="1:19">
      <c r="A298" s="18">
        <v>297</v>
      </c>
      <c r="B298" s="93" t="s">
        <v>1728</v>
      </c>
      <c r="C298" s="94" t="s">
        <v>1729</v>
      </c>
      <c r="D298" s="95" t="s">
        <v>9</v>
      </c>
      <c r="E298" s="96" t="s">
        <v>1692</v>
      </c>
      <c r="F298" s="58" t="s">
        <v>1693</v>
      </c>
      <c r="G298" s="97" t="s">
        <v>214</v>
      </c>
      <c r="H298" s="98"/>
      <c r="I298" s="98" t="s">
        <v>1730</v>
      </c>
      <c r="J298" s="367">
        <v>45786</v>
      </c>
      <c r="K298" s="98"/>
      <c r="L298" s="97" t="s">
        <v>50</v>
      </c>
      <c r="M298" s="98" t="s">
        <v>1731</v>
      </c>
      <c r="N298" s="117">
        <v>45051</v>
      </c>
      <c r="O298" s="118">
        <v>254545</v>
      </c>
      <c r="P298" s="98">
        <v>1</v>
      </c>
      <c r="Q298" s="124">
        <f t="shared" si="11"/>
        <v>254545</v>
      </c>
      <c r="R298" s="124">
        <v>275000</v>
      </c>
      <c r="S298" s="124">
        <f t="shared" si="10"/>
        <v>275000</v>
      </c>
    </row>
    <row r="299" spans="1:19">
      <c r="A299" s="18">
        <v>298</v>
      </c>
      <c r="B299" s="93" t="s">
        <v>1732</v>
      </c>
      <c r="C299" s="98" t="s">
        <v>1733</v>
      </c>
      <c r="D299" s="97" t="s">
        <v>1734</v>
      </c>
      <c r="E299" s="99" t="s">
        <v>1716</v>
      </c>
      <c r="F299" s="58" t="s">
        <v>1717</v>
      </c>
      <c r="G299" s="97" t="s">
        <v>1735</v>
      </c>
      <c r="H299" s="98"/>
      <c r="I299" s="98" t="s">
        <v>1736</v>
      </c>
      <c r="J299" s="366" t="s">
        <v>1964</v>
      </c>
      <c r="K299" s="98"/>
      <c r="L299" s="97" t="s">
        <v>63</v>
      </c>
      <c r="M299" s="98" t="s">
        <v>1737</v>
      </c>
      <c r="N299" s="117">
        <v>45051</v>
      </c>
      <c r="O299" s="118">
        <v>92727</v>
      </c>
      <c r="P299" s="98">
        <v>28</v>
      </c>
      <c r="Q299" s="124">
        <f t="shared" si="11"/>
        <v>2596356</v>
      </c>
      <c r="R299" s="124">
        <v>153153.15</v>
      </c>
      <c r="S299" s="124">
        <f t="shared" si="10"/>
        <v>4288288.2</v>
      </c>
    </row>
    <row r="300" spans="1:19">
      <c r="A300" s="18">
        <v>299</v>
      </c>
      <c r="B300" s="93" t="s">
        <v>1738</v>
      </c>
      <c r="C300" s="98" t="s">
        <v>1739</v>
      </c>
      <c r="D300" s="95" t="s">
        <v>1740</v>
      </c>
      <c r="E300" s="96" t="s">
        <v>1726</v>
      </c>
      <c r="F300" s="100" t="s">
        <v>1727</v>
      </c>
      <c r="G300" s="95" t="s">
        <v>1741</v>
      </c>
      <c r="H300" s="98"/>
      <c r="I300" s="98" t="s">
        <v>1742</v>
      </c>
      <c r="J300" s="367">
        <v>45439</v>
      </c>
      <c r="K300" s="98"/>
      <c r="L300" s="97" t="s">
        <v>63</v>
      </c>
      <c r="M300" s="98" t="s">
        <v>1743</v>
      </c>
      <c r="N300" s="117">
        <v>45056</v>
      </c>
      <c r="O300" s="118">
        <v>92727</v>
      </c>
      <c r="P300" s="98">
        <v>23</v>
      </c>
      <c r="Q300" s="124">
        <f t="shared" si="11"/>
        <v>2132721</v>
      </c>
      <c r="R300" s="124">
        <v>116999</v>
      </c>
      <c r="S300" s="124">
        <f t="shared" si="10"/>
        <v>2690977</v>
      </c>
    </row>
    <row r="301" spans="1:19">
      <c r="A301" s="18">
        <v>300</v>
      </c>
      <c r="B301" s="93" t="s">
        <v>1744</v>
      </c>
      <c r="C301" s="98" t="s">
        <v>1745</v>
      </c>
      <c r="D301" s="95" t="s">
        <v>6</v>
      </c>
      <c r="E301" s="96" t="s">
        <v>1694</v>
      </c>
      <c r="F301" s="101" t="s">
        <v>1695</v>
      </c>
      <c r="G301" s="97" t="s">
        <v>114</v>
      </c>
      <c r="H301" s="98"/>
      <c r="I301" s="98" t="s">
        <v>1746</v>
      </c>
      <c r="J301" s="367">
        <v>45471</v>
      </c>
      <c r="K301" s="98"/>
      <c r="L301" s="97" t="s">
        <v>63</v>
      </c>
      <c r="M301" s="98" t="s">
        <v>1747</v>
      </c>
      <c r="N301" s="117">
        <v>45063</v>
      </c>
      <c r="O301" s="118">
        <v>92727</v>
      </c>
      <c r="P301" s="98">
        <v>6</v>
      </c>
      <c r="Q301" s="124">
        <f t="shared" si="11"/>
        <v>556362</v>
      </c>
      <c r="R301" s="124">
        <v>116364</v>
      </c>
      <c r="S301" s="124">
        <f t="shared" si="10"/>
        <v>698184</v>
      </c>
    </row>
    <row r="302" spans="1:19">
      <c r="A302" s="18">
        <v>301</v>
      </c>
      <c r="B302" s="93" t="s">
        <v>1748</v>
      </c>
      <c r="C302" s="98" t="s">
        <v>1749</v>
      </c>
      <c r="D302" s="95" t="s">
        <v>1750</v>
      </c>
      <c r="E302" s="96" t="s">
        <v>1698</v>
      </c>
      <c r="F302" s="101" t="s">
        <v>1699</v>
      </c>
      <c r="G302" s="97" t="s">
        <v>83</v>
      </c>
      <c r="H302" s="98"/>
      <c r="I302" s="98" t="s">
        <v>1751</v>
      </c>
      <c r="J302" s="367">
        <v>45434</v>
      </c>
      <c r="K302" s="98"/>
      <c r="L302" s="97" t="s">
        <v>85</v>
      </c>
      <c r="M302" s="98" t="s">
        <v>1752</v>
      </c>
      <c r="N302" s="117">
        <v>45068</v>
      </c>
      <c r="O302" s="118">
        <v>222727</v>
      </c>
      <c r="P302" s="98">
        <v>350</v>
      </c>
      <c r="Q302" s="124">
        <f t="shared" si="11"/>
        <v>77954450</v>
      </c>
      <c r="R302" s="124">
        <v>279090.91899999999</v>
      </c>
      <c r="S302" s="124">
        <f t="shared" si="10"/>
        <v>97681821.649999991</v>
      </c>
    </row>
    <row r="303" spans="1:19">
      <c r="A303" s="18">
        <v>302</v>
      </c>
      <c r="B303" s="93" t="s">
        <v>1753</v>
      </c>
      <c r="C303" s="94" t="s">
        <v>1754</v>
      </c>
      <c r="D303" s="95" t="s">
        <v>1740</v>
      </c>
      <c r="E303" s="96" t="s">
        <v>1706</v>
      </c>
      <c r="F303" s="101" t="s">
        <v>1707</v>
      </c>
      <c r="G303" s="97" t="s">
        <v>1755</v>
      </c>
      <c r="H303" s="119"/>
      <c r="I303" s="119" t="s">
        <v>1746</v>
      </c>
      <c r="J303" s="367">
        <v>45471</v>
      </c>
      <c r="K303" s="119"/>
      <c r="L303" s="97" t="s">
        <v>85</v>
      </c>
      <c r="M303" s="98" t="s">
        <v>429</v>
      </c>
      <c r="N303" s="117">
        <v>45070</v>
      </c>
      <c r="O303" s="118">
        <v>222727</v>
      </c>
      <c r="P303" s="98">
        <v>310</v>
      </c>
      <c r="Q303" s="124">
        <f t="shared" si="11"/>
        <v>69045370</v>
      </c>
      <c r="R303" s="124">
        <v>299000</v>
      </c>
      <c r="S303" s="124">
        <f t="shared" si="10"/>
        <v>92690000</v>
      </c>
    </row>
    <row r="304" spans="1:19">
      <c r="A304" s="18">
        <v>303</v>
      </c>
      <c r="B304" s="93" t="s">
        <v>1756</v>
      </c>
      <c r="C304" s="98" t="s">
        <v>1757</v>
      </c>
      <c r="D304" s="95" t="s">
        <v>1758</v>
      </c>
      <c r="E304" s="96" t="s">
        <v>1759</v>
      </c>
      <c r="F304" s="100" t="s">
        <v>1760</v>
      </c>
      <c r="G304" s="97" t="s">
        <v>1761</v>
      </c>
      <c r="H304" s="119"/>
      <c r="I304" s="119" t="s">
        <v>1762</v>
      </c>
      <c r="J304" s="367">
        <v>45803</v>
      </c>
      <c r="K304" s="119"/>
      <c r="L304" s="97" t="s">
        <v>1763</v>
      </c>
      <c r="M304" s="98" t="s">
        <v>1764</v>
      </c>
      <c r="N304" s="117">
        <v>45072</v>
      </c>
      <c r="O304" s="124">
        <v>1574250</v>
      </c>
      <c r="P304" s="98">
        <v>1</v>
      </c>
      <c r="Q304" s="124">
        <f t="shared" si="11"/>
        <v>1574250</v>
      </c>
      <c r="R304" s="124">
        <v>1715933</v>
      </c>
      <c r="S304" s="124">
        <f t="shared" si="10"/>
        <v>1715933</v>
      </c>
    </row>
    <row r="305" spans="1:19">
      <c r="A305" s="18">
        <v>304</v>
      </c>
      <c r="B305" s="93" t="s">
        <v>1765</v>
      </c>
      <c r="C305" s="94" t="s">
        <v>1766</v>
      </c>
      <c r="D305" s="95" t="s">
        <v>1740</v>
      </c>
      <c r="E305" s="96" t="s">
        <v>1706</v>
      </c>
      <c r="F305" s="101" t="s">
        <v>1707</v>
      </c>
      <c r="G305" s="95" t="s">
        <v>1276</v>
      </c>
      <c r="H305" s="119"/>
      <c r="I305" s="119" t="s">
        <v>1767</v>
      </c>
      <c r="J305" s="366">
        <v>45449</v>
      </c>
      <c r="K305" s="119"/>
      <c r="L305" s="97" t="s">
        <v>85</v>
      </c>
      <c r="M305" s="119" t="s">
        <v>1768</v>
      </c>
      <c r="N305" s="117">
        <v>45076</v>
      </c>
      <c r="O305" s="118">
        <v>222727</v>
      </c>
      <c r="P305" s="98">
        <v>5</v>
      </c>
      <c r="Q305" s="124">
        <f t="shared" si="11"/>
        <v>1113635</v>
      </c>
      <c r="R305" s="124">
        <v>299000</v>
      </c>
      <c r="S305" s="124">
        <f t="shared" si="10"/>
        <v>1495000</v>
      </c>
    </row>
    <row r="306" spans="1:19">
      <c r="A306" s="18">
        <v>305</v>
      </c>
      <c r="B306" s="93" t="s">
        <v>1769</v>
      </c>
      <c r="C306" s="94" t="s">
        <v>1766</v>
      </c>
      <c r="D306" s="95" t="s">
        <v>1740</v>
      </c>
      <c r="E306" s="96" t="s">
        <v>1706</v>
      </c>
      <c r="F306" s="101" t="s">
        <v>1707</v>
      </c>
      <c r="G306" s="95" t="s">
        <v>1276</v>
      </c>
      <c r="H306" s="119"/>
      <c r="I306" s="119" t="s">
        <v>1770</v>
      </c>
      <c r="J306" s="366">
        <v>45473</v>
      </c>
      <c r="K306" s="119"/>
      <c r="L306" s="97" t="s">
        <v>85</v>
      </c>
      <c r="M306" s="119" t="s">
        <v>1278</v>
      </c>
      <c r="N306" s="117">
        <v>45076</v>
      </c>
      <c r="O306" s="118">
        <v>222727</v>
      </c>
      <c r="P306" s="98">
        <v>5</v>
      </c>
      <c r="Q306" s="124">
        <f t="shared" si="11"/>
        <v>1113635</v>
      </c>
      <c r="R306" s="124">
        <v>299000</v>
      </c>
      <c r="S306" s="124">
        <f t="shared" si="10"/>
        <v>1495000</v>
      </c>
    </row>
    <row r="307" spans="1:19">
      <c r="A307" s="18">
        <v>306</v>
      </c>
      <c r="B307" s="126" t="s">
        <v>1771</v>
      </c>
      <c r="C307" s="127" t="s">
        <v>1772</v>
      </c>
      <c r="D307" s="128" t="s">
        <v>1773</v>
      </c>
      <c r="E307" s="129" t="s">
        <v>1696</v>
      </c>
      <c r="F307" s="130" t="s">
        <v>1697</v>
      </c>
      <c r="G307" s="128" t="s">
        <v>1649</v>
      </c>
      <c r="H307" s="127"/>
      <c r="I307" s="127" t="s">
        <v>1774</v>
      </c>
      <c r="J307" s="367">
        <v>45450</v>
      </c>
      <c r="K307" s="127"/>
      <c r="L307" s="174" t="s">
        <v>85</v>
      </c>
      <c r="M307" s="127" t="s">
        <v>1775</v>
      </c>
      <c r="N307" s="175">
        <v>45085</v>
      </c>
      <c r="O307" s="176">
        <v>222727</v>
      </c>
      <c r="P307" s="127">
        <v>1</v>
      </c>
      <c r="Q307" s="191">
        <f t="shared" si="11"/>
        <v>222727</v>
      </c>
      <c r="R307" s="191">
        <v>279091</v>
      </c>
      <c r="S307" s="191">
        <f t="shared" si="10"/>
        <v>279091</v>
      </c>
    </row>
    <row r="308" spans="1:19">
      <c r="A308" s="18">
        <v>307</v>
      </c>
      <c r="B308" s="126" t="s">
        <v>1776</v>
      </c>
      <c r="C308" s="127" t="s">
        <v>1777</v>
      </c>
      <c r="D308" s="128" t="s">
        <v>1778</v>
      </c>
      <c r="E308" s="129" t="s">
        <v>1779</v>
      </c>
      <c r="F308" s="131" t="s">
        <v>1780</v>
      </c>
      <c r="G308" s="128" t="s">
        <v>1781</v>
      </c>
      <c r="H308" s="127"/>
      <c r="I308" s="127" t="s">
        <v>1782</v>
      </c>
      <c r="J308" s="367">
        <v>45461</v>
      </c>
      <c r="K308" s="127"/>
      <c r="L308" s="174" t="s">
        <v>1457</v>
      </c>
      <c r="M308" s="127" t="s">
        <v>1783</v>
      </c>
      <c r="N308" s="175">
        <v>45093</v>
      </c>
      <c r="O308" s="176">
        <v>432961</v>
      </c>
      <c r="P308" s="127">
        <v>82</v>
      </c>
      <c r="Q308" s="191">
        <f t="shared" si="11"/>
        <v>35502802</v>
      </c>
      <c r="R308" s="191">
        <v>592083</v>
      </c>
      <c r="S308" s="191">
        <f t="shared" si="10"/>
        <v>48550806</v>
      </c>
    </row>
    <row r="309" spans="1:19">
      <c r="A309" s="18">
        <v>308</v>
      </c>
      <c r="B309" s="133" t="s">
        <v>1784</v>
      </c>
      <c r="C309" s="134" t="s">
        <v>1785</v>
      </c>
      <c r="D309" s="135" t="s">
        <v>1740</v>
      </c>
      <c r="E309" s="136" t="s">
        <v>1786</v>
      </c>
      <c r="F309" s="137" t="s">
        <v>1787</v>
      </c>
      <c r="G309" s="135" t="s">
        <v>1788</v>
      </c>
      <c r="H309" s="132"/>
      <c r="I309" s="132" t="s">
        <v>1789</v>
      </c>
      <c r="J309" s="367">
        <v>45493</v>
      </c>
      <c r="K309" s="132"/>
      <c r="L309" s="137" t="s">
        <v>85</v>
      </c>
      <c r="M309" s="132" t="s">
        <v>422</v>
      </c>
      <c r="N309" s="177">
        <v>45117</v>
      </c>
      <c r="O309" s="178">
        <v>222727</v>
      </c>
      <c r="P309" s="132">
        <v>50</v>
      </c>
      <c r="Q309" s="179">
        <f t="shared" si="11"/>
        <v>11136350</v>
      </c>
      <c r="R309" s="179">
        <v>319000</v>
      </c>
      <c r="S309" s="179">
        <f t="shared" si="10"/>
        <v>15950000</v>
      </c>
    </row>
    <row r="310" spans="1:19">
      <c r="A310" s="18">
        <v>309</v>
      </c>
      <c r="B310" s="133" t="s">
        <v>1790</v>
      </c>
      <c r="C310" s="134" t="s">
        <v>1785</v>
      </c>
      <c r="D310" s="135" t="s">
        <v>1740</v>
      </c>
      <c r="E310" s="136" t="s">
        <v>1786</v>
      </c>
      <c r="F310" s="137" t="s">
        <v>1787</v>
      </c>
      <c r="G310" s="135" t="s">
        <v>1788</v>
      </c>
      <c r="H310" s="132"/>
      <c r="I310" s="132" t="s">
        <v>1789</v>
      </c>
      <c r="J310" s="367">
        <v>45493</v>
      </c>
      <c r="K310" s="132"/>
      <c r="L310" s="137" t="s">
        <v>63</v>
      </c>
      <c r="M310" s="132" t="s">
        <v>424</v>
      </c>
      <c r="N310" s="177">
        <v>45117</v>
      </c>
      <c r="O310" s="179">
        <v>92727</v>
      </c>
      <c r="P310" s="132">
        <v>250</v>
      </c>
      <c r="Q310" s="179">
        <f t="shared" si="11"/>
        <v>23181750</v>
      </c>
      <c r="R310" s="179">
        <v>170000</v>
      </c>
      <c r="S310" s="179">
        <f t="shared" si="10"/>
        <v>42500000</v>
      </c>
    </row>
    <row r="311" spans="1:19">
      <c r="A311" s="18">
        <v>310</v>
      </c>
      <c r="B311" s="133" t="s">
        <v>1791</v>
      </c>
      <c r="C311" s="132" t="s">
        <v>1792</v>
      </c>
      <c r="D311" s="135" t="s">
        <v>1296</v>
      </c>
      <c r="E311" s="360" t="s">
        <v>1961</v>
      </c>
      <c r="F311" s="139" t="s">
        <v>1794</v>
      </c>
      <c r="G311" s="140" t="s">
        <v>1581</v>
      </c>
      <c r="H311" s="132"/>
      <c r="I311" s="132" t="s">
        <v>1795</v>
      </c>
      <c r="J311" s="367">
        <v>45486</v>
      </c>
      <c r="K311" s="132"/>
      <c r="L311" s="137" t="s">
        <v>85</v>
      </c>
      <c r="M311" s="132" t="s">
        <v>1796</v>
      </c>
      <c r="N311" s="177">
        <v>45121</v>
      </c>
      <c r="O311" s="179">
        <v>222727</v>
      </c>
      <c r="P311" s="132">
        <v>4</v>
      </c>
      <c r="Q311" s="179">
        <f t="shared" si="11"/>
        <v>890908</v>
      </c>
      <c r="R311" s="179">
        <v>279091</v>
      </c>
      <c r="S311" s="179">
        <f t="shared" si="10"/>
        <v>1116364</v>
      </c>
    </row>
    <row r="312" spans="1:19">
      <c r="A312" s="18">
        <v>311</v>
      </c>
      <c r="B312" s="133" t="s">
        <v>1797</v>
      </c>
      <c r="C312" s="132" t="s">
        <v>1798</v>
      </c>
      <c r="D312" s="135" t="s">
        <v>17</v>
      </c>
      <c r="E312" s="361" t="s">
        <v>1708</v>
      </c>
      <c r="F312" s="141" t="s">
        <v>1709</v>
      </c>
      <c r="G312" s="137" t="s">
        <v>114</v>
      </c>
      <c r="H312" s="132"/>
      <c r="I312" s="180" t="s">
        <v>1799</v>
      </c>
      <c r="J312" s="367">
        <v>45520</v>
      </c>
      <c r="K312" s="132"/>
      <c r="L312" s="137" t="s">
        <v>85</v>
      </c>
      <c r="M312" s="132" t="s">
        <v>380</v>
      </c>
      <c r="N312" s="177">
        <v>45131</v>
      </c>
      <c r="O312" s="179">
        <v>222727</v>
      </c>
      <c r="P312" s="132">
        <v>11</v>
      </c>
      <c r="Q312" s="179">
        <f t="shared" si="11"/>
        <v>2449997</v>
      </c>
      <c r="R312" s="179">
        <v>279091</v>
      </c>
      <c r="S312" s="179">
        <f t="shared" si="10"/>
        <v>3070001</v>
      </c>
    </row>
    <row r="313" spans="1:19">
      <c r="A313" s="18">
        <v>312</v>
      </c>
      <c r="B313" s="133" t="s">
        <v>1800</v>
      </c>
      <c r="C313" s="132" t="s">
        <v>1798</v>
      </c>
      <c r="D313" s="135" t="s">
        <v>17</v>
      </c>
      <c r="E313" s="361" t="s">
        <v>1708</v>
      </c>
      <c r="F313" s="141" t="s">
        <v>1709</v>
      </c>
      <c r="G313" s="137" t="s">
        <v>114</v>
      </c>
      <c r="H313" s="132"/>
      <c r="I313" s="132" t="s">
        <v>1799</v>
      </c>
      <c r="J313" s="367">
        <v>45520</v>
      </c>
      <c r="K313" s="132"/>
      <c r="L313" s="137" t="s">
        <v>1801</v>
      </c>
      <c r="M313" s="132" t="s">
        <v>389</v>
      </c>
      <c r="N313" s="177">
        <v>45131</v>
      </c>
      <c r="O313" s="179">
        <v>46364</v>
      </c>
      <c r="P313" s="132">
        <v>11</v>
      </c>
      <c r="Q313" s="179">
        <f t="shared" si="11"/>
        <v>510004</v>
      </c>
      <c r="R313" s="179">
        <v>58182</v>
      </c>
      <c r="S313" s="179">
        <f t="shared" si="10"/>
        <v>640002</v>
      </c>
    </row>
    <row r="314" spans="1:19">
      <c r="A314" s="18">
        <v>313</v>
      </c>
      <c r="B314" s="133" t="s">
        <v>1802</v>
      </c>
      <c r="C314" s="132" t="s">
        <v>1798</v>
      </c>
      <c r="D314" s="135" t="s">
        <v>17</v>
      </c>
      <c r="E314" s="361" t="s">
        <v>1708</v>
      </c>
      <c r="F314" s="141" t="s">
        <v>1709</v>
      </c>
      <c r="G314" s="137" t="s">
        <v>114</v>
      </c>
      <c r="H314" s="132"/>
      <c r="I314" s="132" t="s">
        <v>1803</v>
      </c>
      <c r="J314" s="367">
        <v>45550</v>
      </c>
      <c r="K314" s="132"/>
      <c r="L314" s="137" t="s">
        <v>1457</v>
      </c>
      <c r="M314" s="132" t="s">
        <v>1804</v>
      </c>
      <c r="N314" s="177">
        <v>45131</v>
      </c>
      <c r="O314" s="179">
        <v>216480</v>
      </c>
      <c r="P314" s="132">
        <v>4</v>
      </c>
      <c r="Q314" s="179">
        <f t="shared" si="11"/>
        <v>865920</v>
      </c>
      <c r="R314" s="179">
        <v>553408</v>
      </c>
      <c r="S314" s="179">
        <f t="shared" si="10"/>
        <v>2213632</v>
      </c>
    </row>
    <row r="315" spans="1:19">
      <c r="A315" s="18">
        <v>314</v>
      </c>
      <c r="B315" s="133" t="s">
        <v>1805</v>
      </c>
      <c r="C315" s="132" t="s">
        <v>1798</v>
      </c>
      <c r="D315" s="135" t="s">
        <v>17</v>
      </c>
      <c r="E315" s="361" t="s">
        <v>1708</v>
      </c>
      <c r="F315" s="141" t="s">
        <v>1709</v>
      </c>
      <c r="G315" s="137" t="s">
        <v>114</v>
      </c>
      <c r="H315" s="132"/>
      <c r="I315" s="180" t="s">
        <v>1806</v>
      </c>
      <c r="J315" s="367">
        <v>45572</v>
      </c>
      <c r="K315" s="132"/>
      <c r="L315" s="137" t="s">
        <v>85</v>
      </c>
      <c r="M315" s="132" t="s">
        <v>1449</v>
      </c>
      <c r="N315" s="177">
        <v>45131</v>
      </c>
      <c r="O315" s="179">
        <v>222727</v>
      </c>
      <c r="P315" s="132">
        <v>5</v>
      </c>
      <c r="Q315" s="179">
        <f t="shared" si="11"/>
        <v>1113635</v>
      </c>
      <c r="R315" s="179">
        <v>279091</v>
      </c>
      <c r="S315" s="179">
        <f t="shared" ref="S315:S353" si="12">R315*P315</f>
        <v>1395455</v>
      </c>
    </row>
    <row r="316" spans="1:19">
      <c r="A316" s="18">
        <v>315</v>
      </c>
      <c r="B316" s="133" t="s">
        <v>1807</v>
      </c>
      <c r="C316" s="132" t="s">
        <v>1808</v>
      </c>
      <c r="D316" s="135" t="s">
        <v>1809</v>
      </c>
      <c r="E316" s="142" t="s">
        <v>1759</v>
      </c>
      <c r="F316" s="143" t="s">
        <v>1760</v>
      </c>
      <c r="G316" s="137" t="s">
        <v>1810</v>
      </c>
      <c r="H316" s="132"/>
      <c r="I316" s="132" t="s">
        <v>1811</v>
      </c>
      <c r="J316" s="367">
        <v>45868</v>
      </c>
      <c r="K316" s="132"/>
      <c r="L316" s="137" t="s">
        <v>1812</v>
      </c>
      <c r="M316" s="134" t="s">
        <v>1813</v>
      </c>
      <c r="N316" s="177">
        <v>45131</v>
      </c>
      <c r="O316" s="179">
        <v>140000</v>
      </c>
      <c r="P316" s="132">
        <v>968</v>
      </c>
      <c r="Q316" s="179">
        <f t="shared" si="11"/>
        <v>135520000</v>
      </c>
      <c r="R316" s="179">
        <v>158200</v>
      </c>
      <c r="S316" s="179">
        <f t="shared" si="12"/>
        <v>153137600</v>
      </c>
    </row>
    <row r="317" spans="1:19">
      <c r="A317" s="18">
        <v>316</v>
      </c>
      <c r="B317" s="133" t="s">
        <v>1814</v>
      </c>
      <c r="C317" s="134" t="s">
        <v>1815</v>
      </c>
      <c r="D317" s="135" t="s">
        <v>1740</v>
      </c>
      <c r="E317" s="362" t="s">
        <v>1816</v>
      </c>
      <c r="F317" s="143" t="s">
        <v>1817</v>
      </c>
      <c r="G317" s="137" t="s">
        <v>1818</v>
      </c>
      <c r="H317" s="132"/>
      <c r="I317" s="132" t="s">
        <v>1819</v>
      </c>
      <c r="J317" s="367">
        <v>45497</v>
      </c>
      <c r="K317" s="132"/>
      <c r="L317" s="137" t="s">
        <v>85</v>
      </c>
      <c r="M317" s="132" t="s">
        <v>1820</v>
      </c>
      <c r="N317" s="177">
        <v>45125</v>
      </c>
      <c r="O317" s="179">
        <v>222727</v>
      </c>
      <c r="P317" s="132">
        <v>7</v>
      </c>
      <c r="Q317" s="179">
        <f t="shared" si="11"/>
        <v>1559089</v>
      </c>
      <c r="R317" s="179">
        <v>279091</v>
      </c>
      <c r="S317" s="179">
        <f t="shared" si="12"/>
        <v>1953637</v>
      </c>
    </row>
    <row r="318" spans="1:19">
      <c r="A318" s="18">
        <v>317</v>
      </c>
      <c r="B318" s="133" t="s">
        <v>1821</v>
      </c>
      <c r="C318" s="132" t="s">
        <v>1822</v>
      </c>
      <c r="D318" s="135" t="s">
        <v>1740</v>
      </c>
      <c r="E318" s="138" t="s">
        <v>1823</v>
      </c>
      <c r="F318" s="143" t="s">
        <v>1824</v>
      </c>
      <c r="G318" s="145" t="s">
        <v>1825</v>
      </c>
      <c r="H318" s="132"/>
      <c r="I318" s="132" t="s">
        <v>1826</v>
      </c>
      <c r="J318" s="367">
        <v>45498</v>
      </c>
      <c r="K318" s="132"/>
      <c r="L318" s="137" t="s">
        <v>63</v>
      </c>
      <c r="M318" s="180" t="s">
        <v>1827</v>
      </c>
      <c r="N318" s="177">
        <v>45132</v>
      </c>
      <c r="O318" s="179">
        <v>92727</v>
      </c>
      <c r="P318" s="132">
        <v>4</v>
      </c>
      <c r="Q318" s="179">
        <f t="shared" si="11"/>
        <v>370908</v>
      </c>
      <c r="R318" s="179">
        <v>116999</v>
      </c>
      <c r="S318" s="179">
        <f t="shared" si="12"/>
        <v>467996</v>
      </c>
    </row>
    <row r="319" spans="1:19">
      <c r="A319" s="18">
        <v>318</v>
      </c>
      <c r="B319" s="133" t="s">
        <v>1828</v>
      </c>
      <c r="C319" s="134">
        <v>2500061451</v>
      </c>
      <c r="D319" s="135" t="s">
        <v>1829</v>
      </c>
      <c r="E319" s="361" t="s">
        <v>1830</v>
      </c>
      <c r="F319" s="143" t="s">
        <v>1831</v>
      </c>
      <c r="G319" s="146" t="s">
        <v>1832</v>
      </c>
      <c r="H319" s="132"/>
      <c r="I319" s="132" t="s">
        <v>1833</v>
      </c>
      <c r="J319" s="367">
        <v>45869</v>
      </c>
      <c r="K319" s="132"/>
      <c r="L319" s="137" t="s">
        <v>50</v>
      </c>
      <c r="M319" s="132" t="s">
        <v>1834</v>
      </c>
      <c r="N319" s="177">
        <v>45133</v>
      </c>
      <c r="O319" s="179">
        <v>444545</v>
      </c>
      <c r="P319" s="132">
        <v>212</v>
      </c>
      <c r="Q319" s="179">
        <f t="shared" si="11"/>
        <v>94243540</v>
      </c>
      <c r="R319" s="179">
        <v>556364</v>
      </c>
      <c r="S319" s="179">
        <f t="shared" si="12"/>
        <v>117949168</v>
      </c>
    </row>
    <row r="320" spans="1:19">
      <c r="A320" s="18">
        <v>319</v>
      </c>
      <c r="B320" s="133" t="s">
        <v>1835</v>
      </c>
      <c r="C320" s="132" t="s">
        <v>1836</v>
      </c>
      <c r="D320" s="146" t="s">
        <v>1837</v>
      </c>
      <c r="E320" s="142" t="s">
        <v>1759</v>
      </c>
      <c r="F320" s="143" t="s">
        <v>1760</v>
      </c>
      <c r="G320" s="146" t="s">
        <v>1838</v>
      </c>
      <c r="H320" s="137"/>
      <c r="I320" s="134" t="s">
        <v>1839</v>
      </c>
      <c r="J320" s="367">
        <v>45499</v>
      </c>
      <c r="K320" s="137"/>
      <c r="L320" s="137" t="s">
        <v>85</v>
      </c>
      <c r="M320" s="132" t="s">
        <v>1840</v>
      </c>
      <c r="N320" s="177">
        <v>45134</v>
      </c>
      <c r="O320" s="179">
        <v>222727</v>
      </c>
      <c r="P320" s="132">
        <v>1</v>
      </c>
      <c r="Q320" s="179">
        <f t="shared" si="11"/>
        <v>222727</v>
      </c>
      <c r="R320" s="179">
        <v>279091</v>
      </c>
      <c r="S320" s="179">
        <f t="shared" si="12"/>
        <v>279091</v>
      </c>
    </row>
    <row r="321" spans="1:19">
      <c r="A321" s="18">
        <v>320</v>
      </c>
      <c r="B321" s="133" t="s">
        <v>1841</v>
      </c>
      <c r="C321" s="132" t="s">
        <v>1842</v>
      </c>
      <c r="D321" s="147" t="s">
        <v>1843</v>
      </c>
      <c r="E321" s="148" t="s">
        <v>1724</v>
      </c>
      <c r="F321" s="149" t="s">
        <v>1725</v>
      </c>
      <c r="G321" s="145" t="s">
        <v>1844</v>
      </c>
      <c r="H321" s="137"/>
      <c r="I321" s="134" t="s">
        <v>1811</v>
      </c>
      <c r="J321" s="367">
        <v>45868</v>
      </c>
      <c r="K321" s="137"/>
      <c r="L321" s="137" t="s">
        <v>1845</v>
      </c>
      <c r="M321" s="132" t="s">
        <v>1846</v>
      </c>
      <c r="N321" s="177">
        <v>45134</v>
      </c>
      <c r="O321" s="179">
        <v>848604</v>
      </c>
      <c r="P321" s="132">
        <v>330</v>
      </c>
      <c r="Q321" s="179">
        <f t="shared" si="11"/>
        <v>280039320</v>
      </c>
      <c r="R321" s="179">
        <v>909218</v>
      </c>
      <c r="S321" s="179">
        <f t="shared" si="12"/>
        <v>300041940</v>
      </c>
    </row>
    <row r="322" spans="1:19">
      <c r="A322" s="18">
        <v>321</v>
      </c>
      <c r="B322" s="133" t="s">
        <v>1847</v>
      </c>
      <c r="C322" s="132" t="s">
        <v>1842</v>
      </c>
      <c r="D322" s="147" t="s">
        <v>1843</v>
      </c>
      <c r="E322" s="148" t="s">
        <v>1724</v>
      </c>
      <c r="F322" s="149" t="s">
        <v>1725</v>
      </c>
      <c r="G322" s="140" t="s">
        <v>1844</v>
      </c>
      <c r="H322" s="137"/>
      <c r="I322" s="134" t="s">
        <v>1811</v>
      </c>
      <c r="J322" s="367">
        <v>45868</v>
      </c>
      <c r="K322" s="137"/>
      <c r="L322" s="137" t="s">
        <v>1848</v>
      </c>
      <c r="M322" s="132" t="s">
        <v>1849</v>
      </c>
      <c r="N322" s="177">
        <v>45134</v>
      </c>
      <c r="O322" s="179">
        <v>476636</v>
      </c>
      <c r="P322" s="132">
        <v>330</v>
      </c>
      <c r="Q322" s="179">
        <f t="shared" si="11"/>
        <v>157289880</v>
      </c>
      <c r="R322" s="179">
        <v>544727</v>
      </c>
      <c r="S322" s="179">
        <f t="shared" si="12"/>
        <v>179759910</v>
      </c>
    </row>
    <row r="323" spans="1:19">
      <c r="A323" s="18">
        <v>322</v>
      </c>
      <c r="B323" s="133" t="s">
        <v>1850</v>
      </c>
      <c r="C323" s="132" t="s">
        <v>1851</v>
      </c>
      <c r="D323" s="140" t="s">
        <v>1852</v>
      </c>
      <c r="E323" s="148" t="s">
        <v>1724</v>
      </c>
      <c r="F323" s="149" t="s">
        <v>1725</v>
      </c>
      <c r="G323" s="140" t="s">
        <v>1853</v>
      </c>
      <c r="H323" s="137"/>
      <c r="I323" s="132" t="s">
        <v>1854</v>
      </c>
      <c r="J323" s="367">
        <v>45866</v>
      </c>
      <c r="K323" s="137"/>
      <c r="L323" s="181" t="s">
        <v>1855</v>
      </c>
      <c r="M323" s="182" t="s">
        <v>1856</v>
      </c>
      <c r="N323" s="177">
        <v>45135</v>
      </c>
      <c r="O323" s="179">
        <v>561750</v>
      </c>
      <c r="P323" s="132">
        <v>8</v>
      </c>
      <c r="Q323" s="179">
        <f t="shared" si="11"/>
        <v>4494000</v>
      </c>
      <c r="R323" s="179">
        <v>595500</v>
      </c>
      <c r="S323" s="179">
        <f t="shared" si="12"/>
        <v>4764000</v>
      </c>
    </row>
    <row r="324" spans="1:19">
      <c r="A324" s="18">
        <v>323</v>
      </c>
      <c r="B324" s="133" t="s">
        <v>1857</v>
      </c>
      <c r="C324" s="132" t="s">
        <v>1858</v>
      </c>
      <c r="D324" s="140" t="s">
        <v>1852</v>
      </c>
      <c r="E324" s="148" t="s">
        <v>1724</v>
      </c>
      <c r="F324" s="149" t="s">
        <v>1725</v>
      </c>
      <c r="G324" s="140" t="s">
        <v>1859</v>
      </c>
      <c r="H324" s="137"/>
      <c r="I324" s="132" t="s">
        <v>1854</v>
      </c>
      <c r="J324" s="367">
        <v>45866</v>
      </c>
      <c r="K324" s="137"/>
      <c r="L324" s="181" t="s">
        <v>1855</v>
      </c>
      <c r="M324" s="180" t="s">
        <v>1860</v>
      </c>
      <c r="N324" s="177">
        <v>45135</v>
      </c>
      <c r="O324" s="179">
        <v>561750</v>
      </c>
      <c r="P324" s="132">
        <v>4</v>
      </c>
      <c r="Q324" s="179">
        <f t="shared" si="11"/>
        <v>2247000</v>
      </c>
      <c r="R324" s="179">
        <v>595500</v>
      </c>
      <c r="S324" s="179">
        <f t="shared" si="12"/>
        <v>2382000</v>
      </c>
    </row>
    <row r="325" spans="1:19">
      <c r="A325" s="18">
        <v>324</v>
      </c>
      <c r="B325" s="133" t="s">
        <v>1861</v>
      </c>
      <c r="C325" s="132" t="s">
        <v>1862</v>
      </c>
      <c r="D325" s="140" t="s">
        <v>1852</v>
      </c>
      <c r="E325" s="148" t="s">
        <v>1724</v>
      </c>
      <c r="F325" s="149" t="s">
        <v>1725</v>
      </c>
      <c r="G325" s="145" t="s">
        <v>1863</v>
      </c>
      <c r="H325" s="137"/>
      <c r="I325" s="132" t="s">
        <v>1854</v>
      </c>
      <c r="J325" s="367">
        <v>45866</v>
      </c>
      <c r="K325" s="137"/>
      <c r="L325" s="181" t="s">
        <v>1855</v>
      </c>
      <c r="M325" s="132" t="s">
        <v>1864</v>
      </c>
      <c r="N325" s="177">
        <v>45135</v>
      </c>
      <c r="O325" s="179">
        <v>561750</v>
      </c>
      <c r="P325" s="132">
        <v>32</v>
      </c>
      <c r="Q325" s="179">
        <f t="shared" si="11"/>
        <v>17976000</v>
      </c>
      <c r="R325" s="179">
        <v>595500</v>
      </c>
      <c r="S325" s="179">
        <f t="shared" si="12"/>
        <v>19056000</v>
      </c>
    </row>
    <row r="326" spans="1:19">
      <c r="A326" s="18">
        <v>325</v>
      </c>
      <c r="B326" s="133" t="s">
        <v>1865</v>
      </c>
      <c r="C326" s="132" t="s">
        <v>1866</v>
      </c>
      <c r="D326" s="135" t="s">
        <v>1809</v>
      </c>
      <c r="E326" s="142" t="s">
        <v>1759</v>
      </c>
      <c r="F326" s="143" t="s">
        <v>1760</v>
      </c>
      <c r="G326" s="137" t="s">
        <v>1810</v>
      </c>
      <c r="H326" s="137"/>
      <c r="I326" s="132" t="s">
        <v>1811</v>
      </c>
      <c r="J326" s="367">
        <v>45868</v>
      </c>
      <c r="K326" s="137"/>
      <c r="L326" s="181" t="s">
        <v>1867</v>
      </c>
      <c r="M326" s="180" t="s">
        <v>1868</v>
      </c>
      <c r="N326" s="177">
        <v>45135</v>
      </c>
      <c r="O326" s="179">
        <v>140000</v>
      </c>
      <c r="P326" s="132">
        <v>684</v>
      </c>
      <c r="Q326" s="179">
        <f t="shared" si="11"/>
        <v>95760000</v>
      </c>
      <c r="R326" s="179">
        <v>158200</v>
      </c>
      <c r="S326" s="179">
        <f t="shared" si="12"/>
        <v>108208800</v>
      </c>
    </row>
    <row r="327" spans="1:19">
      <c r="A327" s="18">
        <v>326</v>
      </c>
      <c r="B327" s="133" t="s">
        <v>1869</v>
      </c>
      <c r="C327" s="134" t="s">
        <v>1870</v>
      </c>
      <c r="D327" s="135" t="s">
        <v>1740</v>
      </c>
      <c r="E327" s="150" t="s">
        <v>1712</v>
      </c>
      <c r="F327" s="143" t="s">
        <v>1871</v>
      </c>
      <c r="G327" s="140" t="s">
        <v>462</v>
      </c>
      <c r="H327" s="132"/>
      <c r="I327" s="132" t="s">
        <v>1872</v>
      </c>
      <c r="J327" s="367">
        <v>45504</v>
      </c>
      <c r="K327" s="132"/>
      <c r="L327" s="137" t="s">
        <v>85</v>
      </c>
      <c r="M327" s="132" t="s">
        <v>1873</v>
      </c>
      <c r="N327" s="177">
        <v>45138</v>
      </c>
      <c r="O327" s="179">
        <v>222727</v>
      </c>
      <c r="P327" s="132">
        <v>68</v>
      </c>
      <c r="Q327" s="179">
        <f t="shared" si="11"/>
        <v>15145436</v>
      </c>
      <c r="R327" s="179">
        <v>360000</v>
      </c>
      <c r="S327" s="179">
        <f t="shared" si="12"/>
        <v>24480000</v>
      </c>
    </row>
    <row r="328" spans="1:19">
      <c r="A328" s="18">
        <v>327</v>
      </c>
      <c r="B328" s="152" t="s">
        <v>1874</v>
      </c>
      <c r="C328" s="151" t="s">
        <v>1875</v>
      </c>
      <c r="D328" s="153" t="s">
        <v>1852</v>
      </c>
      <c r="E328" s="154" t="s">
        <v>1724</v>
      </c>
      <c r="F328" s="155" t="s">
        <v>1725</v>
      </c>
      <c r="G328" s="156" t="s">
        <v>1876</v>
      </c>
      <c r="H328" s="151"/>
      <c r="I328" s="151" t="s">
        <v>1877</v>
      </c>
      <c r="J328" s="367">
        <v>45872</v>
      </c>
      <c r="K328" s="151"/>
      <c r="L328" s="183" t="s">
        <v>1855</v>
      </c>
      <c r="M328" s="151" t="s">
        <v>1878</v>
      </c>
      <c r="N328" s="184">
        <v>45141</v>
      </c>
      <c r="O328" s="185">
        <v>561750</v>
      </c>
      <c r="P328" s="151">
        <v>39</v>
      </c>
      <c r="Q328" s="185">
        <f t="shared" si="11"/>
        <v>21908250</v>
      </c>
      <c r="R328" s="185">
        <v>595500</v>
      </c>
      <c r="S328" s="185">
        <f t="shared" si="12"/>
        <v>23224500</v>
      </c>
    </row>
    <row r="329" spans="1:19">
      <c r="A329" s="18">
        <v>328</v>
      </c>
      <c r="B329" s="152" t="s">
        <v>1879</v>
      </c>
      <c r="C329" s="151" t="s">
        <v>1880</v>
      </c>
      <c r="D329" s="157" t="s">
        <v>1809</v>
      </c>
      <c r="E329" s="158" t="s">
        <v>1759</v>
      </c>
      <c r="F329" s="159" t="s">
        <v>1760</v>
      </c>
      <c r="G329" s="160" t="s">
        <v>1810</v>
      </c>
      <c r="H329" s="151"/>
      <c r="I329" s="151" t="s">
        <v>1881</v>
      </c>
      <c r="J329" s="367">
        <v>45876</v>
      </c>
      <c r="K329" s="151"/>
      <c r="L329" s="160" t="s">
        <v>1812</v>
      </c>
      <c r="M329" s="151" t="s">
        <v>1882</v>
      </c>
      <c r="N329" s="184">
        <v>45141</v>
      </c>
      <c r="O329" s="185">
        <v>140000</v>
      </c>
      <c r="P329" s="151">
        <v>763</v>
      </c>
      <c r="Q329" s="185">
        <f t="shared" si="11"/>
        <v>106820000</v>
      </c>
      <c r="R329" s="185">
        <v>158200</v>
      </c>
      <c r="S329" s="185">
        <f t="shared" si="12"/>
        <v>120706600</v>
      </c>
    </row>
    <row r="330" spans="1:19">
      <c r="A330" s="18">
        <v>329</v>
      </c>
      <c r="B330" s="152" t="s">
        <v>1883</v>
      </c>
      <c r="C330" s="151" t="s">
        <v>1884</v>
      </c>
      <c r="D330" s="156" t="s">
        <v>1885</v>
      </c>
      <c r="E330" s="158" t="s">
        <v>1759</v>
      </c>
      <c r="F330" s="159" t="s">
        <v>1760</v>
      </c>
      <c r="G330" s="156" t="s">
        <v>1886</v>
      </c>
      <c r="H330" s="151"/>
      <c r="I330" s="151" t="s">
        <v>1887</v>
      </c>
      <c r="J330" s="367">
        <v>45510</v>
      </c>
      <c r="K330" s="151"/>
      <c r="L330" s="160" t="s">
        <v>85</v>
      </c>
      <c r="M330" s="151" t="s">
        <v>1888</v>
      </c>
      <c r="N330" s="184">
        <v>45145</v>
      </c>
      <c r="O330" s="185">
        <v>222727</v>
      </c>
      <c r="P330" s="151">
        <v>1</v>
      </c>
      <c r="Q330" s="185">
        <f t="shared" si="11"/>
        <v>222727</v>
      </c>
      <c r="R330" s="185">
        <v>279091</v>
      </c>
      <c r="S330" s="185">
        <f t="shared" si="12"/>
        <v>279091</v>
      </c>
    </row>
    <row r="331" spans="1:19">
      <c r="A331" s="18">
        <v>330</v>
      </c>
      <c r="B331" s="152" t="s">
        <v>1889</v>
      </c>
      <c r="C331" s="151" t="s">
        <v>1890</v>
      </c>
      <c r="D331" s="153" t="s">
        <v>1852</v>
      </c>
      <c r="E331" s="154" t="s">
        <v>1724</v>
      </c>
      <c r="F331" s="155" t="s">
        <v>1725</v>
      </c>
      <c r="G331" s="156" t="s">
        <v>1891</v>
      </c>
      <c r="H331" s="151"/>
      <c r="I331" s="186" t="s">
        <v>1881</v>
      </c>
      <c r="J331" s="367">
        <v>45876</v>
      </c>
      <c r="K331" s="151"/>
      <c r="L331" s="183" t="s">
        <v>1855</v>
      </c>
      <c r="M331" s="186" t="s">
        <v>1892</v>
      </c>
      <c r="N331" s="184">
        <v>45145</v>
      </c>
      <c r="O331" s="185">
        <v>561750</v>
      </c>
      <c r="P331" s="151">
        <v>24</v>
      </c>
      <c r="Q331" s="185">
        <f t="shared" si="11"/>
        <v>13482000</v>
      </c>
      <c r="R331" s="185">
        <v>595500</v>
      </c>
      <c r="S331" s="185">
        <f t="shared" si="12"/>
        <v>14292000</v>
      </c>
    </row>
    <row r="332" spans="1:19">
      <c r="A332" s="18">
        <v>331</v>
      </c>
      <c r="B332" s="152" t="s">
        <v>1893</v>
      </c>
      <c r="C332" s="161" t="s">
        <v>1894</v>
      </c>
      <c r="D332" s="157" t="s">
        <v>1740</v>
      </c>
      <c r="E332" s="162" t="s">
        <v>1895</v>
      </c>
      <c r="F332" s="159" t="s">
        <v>1896</v>
      </c>
      <c r="G332" s="160" t="s">
        <v>1897</v>
      </c>
      <c r="H332" s="151"/>
      <c r="I332" s="321" t="s">
        <v>1918</v>
      </c>
      <c r="J332" s="367">
        <v>45565</v>
      </c>
      <c r="K332" s="151"/>
      <c r="L332" s="160" t="s">
        <v>85</v>
      </c>
      <c r="M332" s="321" t="s">
        <v>1917</v>
      </c>
      <c r="N332" s="184">
        <v>45145</v>
      </c>
      <c r="O332" s="185">
        <v>222727</v>
      </c>
      <c r="P332" s="151">
        <v>50</v>
      </c>
      <c r="Q332" s="185">
        <f t="shared" si="11"/>
        <v>11136350</v>
      </c>
      <c r="R332" s="185">
        <v>302814</v>
      </c>
      <c r="S332" s="185">
        <f t="shared" si="12"/>
        <v>15140700</v>
      </c>
    </row>
    <row r="333" spans="1:19">
      <c r="A333" s="18">
        <v>332</v>
      </c>
      <c r="B333" s="152" t="s">
        <v>1893</v>
      </c>
      <c r="C333" s="161" t="s">
        <v>1894</v>
      </c>
      <c r="D333" s="157" t="s">
        <v>1740</v>
      </c>
      <c r="E333" s="162" t="s">
        <v>1895</v>
      </c>
      <c r="F333" s="159" t="s">
        <v>1896</v>
      </c>
      <c r="G333" s="160" t="s">
        <v>1897</v>
      </c>
      <c r="H333" s="151"/>
      <c r="I333" s="322" t="s">
        <v>2</v>
      </c>
      <c r="J333" s="366" t="s">
        <v>2</v>
      </c>
      <c r="K333" s="151"/>
      <c r="L333" s="160" t="s">
        <v>1898</v>
      </c>
      <c r="M333" s="322" t="s">
        <v>2</v>
      </c>
      <c r="N333" s="184">
        <v>45145</v>
      </c>
      <c r="O333" s="322">
        <v>0</v>
      </c>
      <c r="P333" s="151">
        <v>1</v>
      </c>
      <c r="Q333" s="185">
        <f t="shared" si="11"/>
        <v>0</v>
      </c>
      <c r="R333" s="185">
        <v>32890000</v>
      </c>
      <c r="S333" s="185">
        <f t="shared" si="12"/>
        <v>32890000</v>
      </c>
    </row>
    <row r="334" spans="1:19">
      <c r="A334" s="18">
        <v>333</v>
      </c>
      <c r="B334" s="152" t="s">
        <v>1893</v>
      </c>
      <c r="C334" s="161" t="s">
        <v>1894</v>
      </c>
      <c r="D334" s="157" t="s">
        <v>1740</v>
      </c>
      <c r="E334" s="163" t="s">
        <v>1895</v>
      </c>
      <c r="F334" s="159" t="s">
        <v>1896</v>
      </c>
      <c r="G334" s="160" t="s">
        <v>1897</v>
      </c>
      <c r="H334" s="151"/>
      <c r="I334" s="322" t="s">
        <v>2</v>
      </c>
      <c r="J334" s="366" t="s">
        <v>2</v>
      </c>
      <c r="K334" s="151"/>
      <c r="L334" s="160" t="s">
        <v>1899</v>
      </c>
      <c r="M334" s="322" t="s">
        <v>2</v>
      </c>
      <c r="N334" s="184">
        <v>45145</v>
      </c>
      <c r="O334" s="151">
        <v>0</v>
      </c>
      <c r="P334" s="151">
        <v>1</v>
      </c>
      <c r="Q334" s="185">
        <f t="shared" si="11"/>
        <v>0</v>
      </c>
      <c r="R334" s="185">
        <v>9900000</v>
      </c>
      <c r="S334" s="185">
        <f t="shared" si="12"/>
        <v>9900000</v>
      </c>
    </row>
    <row r="335" spans="1:19">
      <c r="A335" s="18">
        <v>334</v>
      </c>
      <c r="B335" s="165" t="s">
        <v>1900</v>
      </c>
      <c r="C335" s="164" t="s">
        <v>1901</v>
      </c>
      <c r="D335" s="166" t="s">
        <v>1809</v>
      </c>
      <c r="E335" s="167" t="s">
        <v>1759</v>
      </c>
      <c r="F335" s="168" t="s">
        <v>1760</v>
      </c>
      <c r="G335" s="169" t="s">
        <v>1810</v>
      </c>
      <c r="H335" s="164"/>
      <c r="I335" s="164" t="s">
        <v>1902</v>
      </c>
      <c r="J335" s="367">
        <v>45879</v>
      </c>
      <c r="K335" s="164"/>
      <c r="L335" s="169" t="s">
        <v>1812</v>
      </c>
      <c r="M335" s="164" t="s">
        <v>1903</v>
      </c>
      <c r="N335" s="187">
        <v>45145</v>
      </c>
      <c r="O335" s="188">
        <v>140000</v>
      </c>
      <c r="P335" s="164">
        <v>220</v>
      </c>
      <c r="Q335" s="188">
        <f t="shared" si="11"/>
        <v>30800000</v>
      </c>
      <c r="R335" s="188">
        <v>158200</v>
      </c>
      <c r="S335" s="188">
        <f t="shared" si="12"/>
        <v>34804000</v>
      </c>
    </row>
    <row r="336" spans="1:19">
      <c r="A336" s="18">
        <v>335</v>
      </c>
      <c r="B336" s="165" t="s">
        <v>1904</v>
      </c>
      <c r="C336" s="164" t="s">
        <v>1905</v>
      </c>
      <c r="D336" s="166" t="s">
        <v>1809</v>
      </c>
      <c r="E336" s="167" t="s">
        <v>1759</v>
      </c>
      <c r="F336" s="168" t="s">
        <v>1760</v>
      </c>
      <c r="G336" s="169" t="s">
        <v>1810</v>
      </c>
      <c r="H336" s="164"/>
      <c r="I336" s="321" t="s">
        <v>1921</v>
      </c>
      <c r="J336" s="367">
        <v>45890</v>
      </c>
      <c r="K336" s="164"/>
      <c r="L336" s="169" t="s">
        <v>1812</v>
      </c>
      <c r="M336" s="321" t="s">
        <v>1920</v>
      </c>
      <c r="N336" s="187">
        <v>45149</v>
      </c>
      <c r="O336" s="188">
        <v>140000</v>
      </c>
      <c r="P336" s="164">
        <v>68</v>
      </c>
      <c r="Q336" s="188">
        <f t="shared" si="11"/>
        <v>9520000</v>
      </c>
      <c r="R336" s="188">
        <v>158200</v>
      </c>
      <c r="S336" s="188">
        <f t="shared" si="12"/>
        <v>10757600</v>
      </c>
    </row>
    <row r="337" spans="1:19">
      <c r="A337" s="18">
        <v>336</v>
      </c>
      <c r="B337" s="165" t="s">
        <v>1906</v>
      </c>
      <c r="C337" s="321" t="s">
        <v>1944</v>
      </c>
      <c r="D337" s="166" t="s">
        <v>1740</v>
      </c>
      <c r="E337" s="170" t="s">
        <v>1907</v>
      </c>
      <c r="F337" s="171" t="s">
        <v>1908</v>
      </c>
      <c r="G337" s="172" t="s">
        <v>1909</v>
      </c>
      <c r="H337" s="164"/>
      <c r="I337" s="189" t="s">
        <v>1910</v>
      </c>
      <c r="J337" s="366">
        <v>45517</v>
      </c>
      <c r="K337" s="164"/>
      <c r="L337" s="169" t="s">
        <v>63</v>
      </c>
      <c r="M337" s="189" t="s">
        <v>1911</v>
      </c>
      <c r="N337" s="187">
        <v>45152</v>
      </c>
      <c r="O337" s="188">
        <v>92727</v>
      </c>
      <c r="P337" s="164">
        <v>400</v>
      </c>
      <c r="Q337" s="188">
        <f t="shared" si="11"/>
        <v>37090800</v>
      </c>
      <c r="R337" s="188">
        <v>117117</v>
      </c>
      <c r="S337" s="188">
        <f t="shared" si="12"/>
        <v>46846800</v>
      </c>
    </row>
    <row r="338" spans="1:19">
      <c r="A338" s="18">
        <v>337</v>
      </c>
      <c r="B338" s="329" t="s">
        <v>1912</v>
      </c>
      <c r="C338" s="332" t="s">
        <v>1913</v>
      </c>
      <c r="D338" s="333" t="s">
        <v>1852</v>
      </c>
      <c r="E338" s="334" t="s">
        <v>1724</v>
      </c>
      <c r="F338" s="335" t="s">
        <v>1725</v>
      </c>
      <c r="G338" s="330" t="s">
        <v>1914</v>
      </c>
      <c r="H338" s="331"/>
      <c r="I338" s="173" t="s">
        <v>1915</v>
      </c>
      <c r="J338" s="366">
        <v>42232</v>
      </c>
      <c r="K338" s="164"/>
      <c r="L338" s="190" t="s">
        <v>1855</v>
      </c>
      <c r="M338" s="173" t="s">
        <v>1916</v>
      </c>
      <c r="N338" s="187">
        <v>45154</v>
      </c>
      <c r="O338" s="188">
        <v>561750</v>
      </c>
      <c r="P338" s="164">
        <v>28</v>
      </c>
      <c r="Q338" s="188">
        <f t="shared" si="11"/>
        <v>15729000</v>
      </c>
      <c r="R338" s="188">
        <v>595500</v>
      </c>
      <c r="S338" s="188">
        <f t="shared" si="12"/>
        <v>16674000</v>
      </c>
    </row>
    <row r="339" spans="1:19">
      <c r="A339" s="18">
        <v>338</v>
      </c>
      <c r="B339" s="337" t="s">
        <v>1923</v>
      </c>
      <c r="C339" s="321" t="s">
        <v>1919</v>
      </c>
      <c r="D339" s="338" t="s">
        <v>1852</v>
      </c>
      <c r="E339" s="339" t="s">
        <v>1724</v>
      </c>
      <c r="F339" s="340" t="s">
        <v>1725</v>
      </c>
      <c r="G339" s="323" t="s">
        <v>1922</v>
      </c>
      <c r="H339" s="327"/>
      <c r="I339" s="321" t="s">
        <v>1925</v>
      </c>
      <c r="J339" s="367">
        <v>45892</v>
      </c>
      <c r="K339" s="327"/>
      <c r="L339" s="324" t="s">
        <v>1855</v>
      </c>
      <c r="M339" s="321" t="s">
        <v>1924</v>
      </c>
      <c r="N339" s="325">
        <v>45160</v>
      </c>
      <c r="O339" s="326">
        <v>561750</v>
      </c>
      <c r="P339" s="327">
        <v>10</v>
      </c>
      <c r="Q339" s="326">
        <f t="shared" si="11"/>
        <v>5617500</v>
      </c>
      <c r="R339" s="326">
        <v>595500</v>
      </c>
      <c r="S339" s="326">
        <f t="shared" si="12"/>
        <v>5955000</v>
      </c>
    </row>
    <row r="340" spans="1:19">
      <c r="A340" s="18">
        <v>339</v>
      </c>
      <c r="B340" s="337" t="s">
        <v>1929</v>
      </c>
      <c r="C340" s="321" t="s">
        <v>1926</v>
      </c>
      <c r="D340" s="336" t="s">
        <v>11</v>
      </c>
      <c r="E340" s="341" t="s">
        <v>1759</v>
      </c>
      <c r="F340" s="342" t="s">
        <v>1760</v>
      </c>
      <c r="G340" s="328" t="s">
        <v>320</v>
      </c>
      <c r="H340" s="327"/>
      <c r="I340" s="321" t="s">
        <v>1928</v>
      </c>
      <c r="J340" s="367">
        <v>45891</v>
      </c>
      <c r="K340" s="327"/>
      <c r="L340" s="328" t="s">
        <v>50</v>
      </c>
      <c r="M340" s="321" t="s">
        <v>1927</v>
      </c>
      <c r="N340" s="325">
        <v>45161</v>
      </c>
      <c r="O340" s="326">
        <v>444545</v>
      </c>
      <c r="P340" s="327">
        <v>16</v>
      </c>
      <c r="Q340" s="326">
        <f t="shared" si="11"/>
        <v>7112720</v>
      </c>
      <c r="R340" s="326">
        <v>556364</v>
      </c>
      <c r="S340" s="326">
        <f t="shared" si="12"/>
        <v>8901824</v>
      </c>
    </row>
    <row r="341" spans="1:19">
      <c r="A341" s="18">
        <v>340</v>
      </c>
      <c r="B341" s="337" t="s">
        <v>1930</v>
      </c>
      <c r="C341" s="321" t="s">
        <v>1931</v>
      </c>
      <c r="D341" s="336" t="s">
        <v>1809</v>
      </c>
      <c r="E341" s="341" t="s">
        <v>1759</v>
      </c>
      <c r="F341" s="342" t="s">
        <v>1760</v>
      </c>
      <c r="G341" s="328" t="s">
        <v>1810</v>
      </c>
      <c r="H341" s="327"/>
      <c r="I341" s="321" t="s">
        <v>1933</v>
      </c>
      <c r="J341" s="367">
        <v>45903</v>
      </c>
      <c r="K341" s="327"/>
      <c r="L341" s="328" t="s">
        <v>1812</v>
      </c>
      <c r="M341" s="321" t="s">
        <v>1932</v>
      </c>
      <c r="N341" s="325">
        <v>45163</v>
      </c>
      <c r="O341" s="326">
        <v>140000</v>
      </c>
      <c r="P341" s="327">
        <v>404</v>
      </c>
      <c r="Q341" s="326">
        <f t="shared" si="11"/>
        <v>56560000</v>
      </c>
      <c r="R341" s="326">
        <v>158200</v>
      </c>
      <c r="S341" s="326">
        <f t="shared" si="12"/>
        <v>63912800</v>
      </c>
    </row>
    <row r="342" spans="1:19">
      <c r="A342" s="18">
        <v>341</v>
      </c>
      <c r="B342" s="337" t="s">
        <v>1934</v>
      </c>
      <c r="C342" s="343" t="s">
        <v>1936</v>
      </c>
      <c r="D342" s="336" t="s">
        <v>1740</v>
      </c>
      <c r="E342" s="339" t="s">
        <v>1938</v>
      </c>
      <c r="F342" s="328" t="s">
        <v>1937</v>
      </c>
      <c r="G342" s="344" t="s">
        <v>1939</v>
      </c>
      <c r="H342" s="327"/>
      <c r="I342" s="321" t="s">
        <v>1935</v>
      </c>
      <c r="J342" s="367">
        <v>45543</v>
      </c>
      <c r="K342" s="327"/>
      <c r="L342" s="328" t="s">
        <v>85</v>
      </c>
      <c r="M342" s="321" t="s">
        <v>1427</v>
      </c>
      <c r="N342" s="325">
        <v>45167</v>
      </c>
      <c r="O342" s="326">
        <v>222727</v>
      </c>
      <c r="P342" s="327">
        <v>350</v>
      </c>
      <c r="Q342" s="326">
        <f t="shared" si="11"/>
        <v>77954450</v>
      </c>
      <c r="R342" s="326">
        <v>357000</v>
      </c>
      <c r="S342" s="326">
        <f t="shared" si="12"/>
        <v>124950000</v>
      </c>
    </row>
    <row r="343" spans="1:19">
      <c r="A343" s="18">
        <v>342</v>
      </c>
      <c r="B343" s="337" t="s">
        <v>1941</v>
      </c>
      <c r="C343" s="321" t="s">
        <v>1940</v>
      </c>
      <c r="D343" s="336" t="s">
        <v>11</v>
      </c>
      <c r="E343" s="341" t="s">
        <v>1759</v>
      </c>
      <c r="F343" s="342" t="s">
        <v>1760</v>
      </c>
      <c r="G343" s="328" t="s">
        <v>320</v>
      </c>
      <c r="H343" s="327"/>
      <c r="I343" s="321" t="s">
        <v>1943</v>
      </c>
      <c r="J343" s="367">
        <v>45898</v>
      </c>
      <c r="K343" s="327"/>
      <c r="L343" s="328" t="s">
        <v>50</v>
      </c>
      <c r="M343" s="321" t="s">
        <v>1942</v>
      </c>
      <c r="N343" s="325">
        <v>45168</v>
      </c>
      <c r="O343" s="326">
        <v>444545</v>
      </c>
      <c r="P343" s="327">
        <v>11</v>
      </c>
      <c r="Q343" s="326">
        <f t="shared" si="11"/>
        <v>4889995</v>
      </c>
      <c r="R343" s="326">
        <v>556364</v>
      </c>
      <c r="S343" s="326">
        <f t="shared" si="12"/>
        <v>6120004</v>
      </c>
    </row>
    <row r="344" spans="1:19">
      <c r="A344" s="345"/>
      <c r="B344" s="346" t="s">
        <v>1945</v>
      </c>
      <c r="C344" s="347" t="s">
        <v>1954</v>
      </c>
      <c r="D344" s="348" t="s">
        <v>1740</v>
      </c>
      <c r="E344" s="88" t="s">
        <v>1706</v>
      </c>
      <c r="F344" s="89" t="s">
        <v>1707</v>
      </c>
      <c r="G344" s="87" t="s">
        <v>1276</v>
      </c>
      <c r="H344" s="345"/>
      <c r="I344" s="345" t="s">
        <v>1955</v>
      </c>
      <c r="J344" s="367">
        <v>45546</v>
      </c>
      <c r="K344" s="345"/>
      <c r="L344" s="355" t="s">
        <v>85</v>
      </c>
      <c r="M344" s="345" t="s">
        <v>1470</v>
      </c>
      <c r="N344" s="350">
        <v>45174</v>
      </c>
      <c r="O344" s="123">
        <v>222727</v>
      </c>
      <c r="P344" s="351">
        <v>60</v>
      </c>
      <c r="Q344" s="352">
        <f t="shared" si="11"/>
        <v>13363620</v>
      </c>
      <c r="R344" s="123">
        <v>299000</v>
      </c>
      <c r="S344" s="352">
        <f t="shared" si="12"/>
        <v>17940000</v>
      </c>
    </row>
    <row r="345" spans="1:19">
      <c r="A345" s="345"/>
      <c r="B345" s="346" t="s">
        <v>1946</v>
      </c>
      <c r="C345" s="351" t="s">
        <v>1957</v>
      </c>
      <c r="D345" s="348" t="s">
        <v>1643</v>
      </c>
      <c r="E345" s="356" t="s">
        <v>1716</v>
      </c>
      <c r="F345" s="357" t="s">
        <v>1717</v>
      </c>
      <c r="G345" s="355" t="s">
        <v>1956</v>
      </c>
      <c r="H345" s="351"/>
      <c r="I345" s="351" t="s">
        <v>1959</v>
      </c>
      <c r="J345" s="367">
        <v>45539</v>
      </c>
      <c r="K345" s="351"/>
      <c r="L345" s="355" t="s">
        <v>85</v>
      </c>
      <c r="M345" s="351" t="s">
        <v>1958</v>
      </c>
      <c r="N345" s="358">
        <v>45174</v>
      </c>
      <c r="O345" s="352">
        <v>222727</v>
      </c>
      <c r="P345" s="351">
        <v>14</v>
      </c>
      <c r="Q345" s="352">
        <f t="shared" si="11"/>
        <v>3118178</v>
      </c>
      <c r="R345" s="352">
        <v>281184</v>
      </c>
      <c r="S345" s="352">
        <f t="shared" si="12"/>
        <v>3936576</v>
      </c>
    </row>
    <row r="346" spans="1:19">
      <c r="A346" s="345"/>
      <c r="B346" s="346" t="s">
        <v>1947</v>
      </c>
      <c r="C346" s="359" t="s">
        <v>1960</v>
      </c>
      <c r="D346" s="353"/>
      <c r="E346" s="353"/>
      <c r="F346" s="354"/>
      <c r="G346" s="345"/>
      <c r="H346" s="345"/>
      <c r="I346" s="345"/>
      <c r="J346" s="367" t="s">
        <v>1965</v>
      </c>
      <c r="K346" s="345"/>
      <c r="L346" s="349"/>
      <c r="M346" s="345"/>
      <c r="N346" s="350"/>
      <c r="O346" s="345"/>
      <c r="P346" s="345">
        <v>656</v>
      </c>
      <c r="Q346" s="352">
        <f t="shared" ref="Q346:Q353" si="13">O346*P346</f>
        <v>0</v>
      </c>
      <c r="R346" s="345"/>
      <c r="S346" s="352">
        <f t="shared" si="12"/>
        <v>0</v>
      </c>
    </row>
    <row r="347" spans="1:19">
      <c r="A347" s="345"/>
      <c r="B347" s="346" t="s">
        <v>1948</v>
      </c>
      <c r="C347" s="347"/>
      <c r="D347" s="353"/>
      <c r="E347" s="353"/>
      <c r="F347" s="354"/>
      <c r="G347" s="345"/>
      <c r="H347" s="345"/>
      <c r="I347" s="345"/>
      <c r="J347" s="367" t="s">
        <v>1965</v>
      </c>
      <c r="K347" s="345"/>
      <c r="L347" s="349"/>
      <c r="M347" s="345"/>
      <c r="N347" s="350"/>
      <c r="O347" s="345"/>
      <c r="P347" s="345"/>
      <c r="Q347" s="352">
        <f t="shared" si="13"/>
        <v>0</v>
      </c>
      <c r="R347" s="345"/>
      <c r="S347" s="352">
        <f t="shared" si="12"/>
        <v>0</v>
      </c>
    </row>
    <row r="348" spans="1:19">
      <c r="A348" s="345"/>
      <c r="B348" s="346" t="s">
        <v>1949</v>
      </c>
      <c r="C348" s="347"/>
      <c r="D348" s="353"/>
      <c r="E348" s="353"/>
      <c r="F348" s="354"/>
      <c r="G348" s="345"/>
      <c r="H348" s="345"/>
      <c r="I348" s="345"/>
      <c r="J348" s="367" t="s">
        <v>1965</v>
      </c>
      <c r="K348" s="345"/>
      <c r="L348" s="349"/>
      <c r="M348" s="345"/>
      <c r="N348" s="350"/>
      <c r="O348" s="345"/>
      <c r="P348" s="345"/>
      <c r="Q348" s="352">
        <f t="shared" si="13"/>
        <v>0</v>
      </c>
      <c r="R348" s="345"/>
      <c r="S348" s="352">
        <f t="shared" si="12"/>
        <v>0</v>
      </c>
    </row>
    <row r="349" spans="1:19">
      <c r="A349" s="345"/>
      <c r="B349" s="346" t="s">
        <v>1950</v>
      </c>
      <c r="C349" s="347"/>
      <c r="D349" s="353"/>
      <c r="E349" s="353"/>
      <c r="F349" s="354"/>
      <c r="G349" s="345"/>
      <c r="H349" s="345"/>
      <c r="I349" s="345"/>
      <c r="J349" s="367" t="s">
        <v>1965</v>
      </c>
      <c r="K349" s="345"/>
      <c r="L349" s="349"/>
      <c r="M349" s="345"/>
      <c r="N349" s="350"/>
      <c r="O349" s="345"/>
      <c r="P349" s="345"/>
      <c r="Q349" s="352">
        <f t="shared" si="13"/>
        <v>0</v>
      </c>
      <c r="R349" s="345"/>
      <c r="S349" s="352">
        <f t="shared" si="12"/>
        <v>0</v>
      </c>
    </row>
    <row r="350" spans="1:19">
      <c r="A350" s="345"/>
      <c r="B350" s="346" t="s">
        <v>1951</v>
      </c>
      <c r="C350" s="347"/>
      <c r="D350" s="353"/>
      <c r="E350" s="353"/>
      <c r="F350" s="354"/>
      <c r="G350" s="345"/>
      <c r="H350" s="345"/>
      <c r="I350" s="345"/>
      <c r="J350" s="367" t="s">
        <v>1965</v>
      </c>
      <c r="K350" s="345"/>
      <c r="L350" s="349"/>
      <c r="M350" s="345"/>
      <c r="N350" s="350"/>
      <c r="O350" s="345"/>
      <c r="P350" s="345"/>
      <c r="Q350" s="352">
        <f t="shared" si="13"/>
        <v>0</v>
      </c>
      <c r="R350" s="345"/>
      <c r="S350" s="352">
        <f t="shared" si="12"/>
        <v>0</v>
      </c>
    </row>
    <row r="351" spans="1:19">
      <c r="A351" s="345"/>
      <c r="B351" s="346" t="s">
        <v>1952</v>
      </c>
      <c r="C351" s="347"/>
      <c r="D351" s="353"/>
      <c r="E351" s="353"/>
      <c r="F351" s="354"/>
      <c r="G351" s="345"/>
      <c r="H351" s="345"/>
      <c r="I351" s="345"/>
      <c r="J351" s="367" t="s">
        <v>1965</v>
      </c>
      <c r="K351" s="345"/>
      <c r="L351" s="349"/>
      <c r="M351" s="345"/>
      <c r="N351" s="350"/>
      <c r="O351" s="345"/>
      <c r="P351" s="345"/>
      <c r="Q351" s="352">
        <f t="shared" si="13"/>
        <v>0</v>
      </c>
      <c r="R351" s="345"/>
      <c r="S351" s="352">
        <f t="shared" si="12"/>
        <v>0</v>
      </c>
    </row>
    <row r="352" spans="1:19">
      <c r="A352" s="345"/>
      <c r="B352" s="346" t="s">
        <v>1953</v>
      </c>
      <c r="C352" s="347"/>
      <c r="D352" s="353"/>
      <c r="E352" s="353"/>
      <c r="F352" s="354"/>
      <c r="G352" s="345"/>
      <c r="H352" s="345"/>
      <c r="I352" s="345"/>
      <c r="J352" s="367" t="s">
        <v>1965</v>
      </c>
      <c r="K352" s="345"/>
      <c r="L352" s="349"/>
      <c r="M352" s="345"/>
      <c r="N352" s="350"/>
      <c r="O352" s="345"/>
      <c r="P352" s="345"/>
      <c r="Q352" s="352">
        <f t="shared" si="13"/>
        <v>0</v>
      </c>
      <c r="R352" s="345"/>
      <c r="S352" s="352">
        <f t="shared" si="12"/>
        <v>0</v>
      </c>
    </row>
    <row r="353" spans="1:19">
      <c r="A353" s="345"/>
      <c r="B353" s="345"/>
      <c r="C353" s="347"/>
      <c r="D353" s="353"/>
      <c r="E353" s="353"/>
      <c r="F353" s="354"/>
      <c r="G353" s="345"/>
      <c r="H353" s="345"/>
      <c r="I353" s="345"/>
      <c r="J353" s="367" t="s">
        <v>1965</v>
      </c>
      <c r="K353" s="345"/>
      <c r="L353" s="349"/>
      <c r="M353" s="345"/>
      <c r="N353" s="350"/>
      <c r="O353" s="345"/>
      <c r="P353" s="345"/>
      <c r="Q353" s="352">
        <f t="shared" si="13"/>
        <v>0</v>
      </c>
      <c r="R353" s="345"/>
      <c r="S353" s="352">
        <f t="shared" si="12"/>
        <v>0</v>
      </c>
    </row>
    <row r="354" spans="1:19">
      <c r="A354" s="345"/>
      <c r="B354" s="345"/>
      <c r="C354" s="347"/>
      <c r="D354" s="353"/>
      <c r="E354" s="353"/>
      <c r="F354" s="354"/>
      <c r="G354" s="345"/>
      <c r="H354" s="345"/>
      <c r="I354" s="345"/>
      <c r="J354" s="368"/>
      <c r="K354" s="345"/>
      <c r="L354" s="349"/>
      <c r="M354" s="345"/>
      <c r="N354" s="350"/>
      <c r="O354" s="345"/>
      <c r="P354" s="345"/>
      <c r="Q354" s="345"/>
      <c r="R354" s="345"/>
      <c r="S354" s="345"/>
    </row>
  </sheetData>
  <autoFilter ref="A1:Q338" xr:uid="{00000000-0009-0000-0000-000008000000}"/>
  <hyperlinks>
    <hyperlink ref="E7:E9" r:id="rId1" display="fransisca.desyanti@faasri.com" xr:uid="{00000000-0004-0000-0800-000003000000}"/>
    <hyperlink ref="E10:E11" r:id="rId2" display="fransisca.desyanti@faasri.com" xr:uid="{00000000-0004-0000-0800-000004000000}"/>
    <hyperlink ref="E30:E43" r:id="rId3" display="fransisca.desyanti@faasri.com" xr:uid="{00000000-0004-0000-0800-000005000000}"/>
    <hyperlink ref="E52" r:id="rId4" xr:uid="{00000000-0004-0000-0800-000006000000}"/>
    <hyperlink ref="E54:E64" r:id="rId5" display="fransisca.desyanti@faasri.com" xr:uid="{00000000-0004-0000-0800-000007000000}"/>
    <hyperlink ref="E65:E66" r:id="rId6" display="fransisca.desyanti@faasri.com" xr:uid="{00000000-0004-0000-0800-000008000000}"/>
    <hyperlink ref="E66" r:id="rId7" xr:uid="{00000000-0004-0000-0800-000009000000}"/>
    <hyperlink ref="E93" r:id="rId8" xr:uid="{00000000-0004-0000-0800-00000A000000}"/>
    <hyperlink ref="E94:E97" r:id="rId9" display="fransisca.desyanti@faasri.com" xr:uid="{00000000-0004-0000-0800-00000B000000}"/>
    <hyperlink ref="E98:E101" r:id="rId10" display="fransisca.desyanti@faasri.com" xr:uid="{00000000-0004-0000-0800-00000C000000}"/>
    <hyperlink ref="E104:E106" r:id="rId11" display="fransisca.desyanti@faasri.com" xr:uid="{00000000-0004-0000-0800-00000D000000}"/>
    <hyperlink ref="E108:E114" r:id="rId12" display="fransisca.desyanti@faasri.com" xr:uid="{00000000-0004-0000-0800-00000E000000}"/>
    <hyperlink ref="E144:E157" r:id="rId13" display="fransisca.desyanti@faasri.com" xr:uid="{00000000-0004-0000-0800-00000F000000}"/>
    <hyperlink ref="E159:E164" r:id="rId14" display="fransisca.desyanti@faasri.com" xr:uid="{00000000-0004-0000-0800-000010000000}"/>
    <hyperlink ref="E168:E175" r:id="rId15" display="fransisca.desyanti@faasri.com" xr:uid="{00000000-0004-0000-0800-000011000000}"/>
    <hyperlink ref="E188:E189" r:id="rId16" display="fransisca.desyanti@faasri.com" xr:uid="{00000000-0004-0000-0800-000012000000}"/>
    <hyperlink ref="E193:E196" r:id="rId17" display="fransisca.desyanti@faasri.com" xr:uid="{00000000-0004-0000-0800-000013000000}"/>
    <hyperlink ref="E204" r:id="rId18" xr:uid="{00000000-0004-0000-0800-000014000000}"/>
    <hyperlink ref="E207" r:id="rId19" xr:uid="{00000000-0004-0000-0800-000015000000}"/>
    <hyperlink ref="E226" r:id="rId20" xr:uid="{00000000-0004-0000-0800-000016000000}"/>
    <hyperlink ref="E243" r:id="rId21" xr:uid="{00000000-0004-0000-0800-000017000000}"/>
    <hyperlink ref="E208" r:id="rId22" xr:uid="{00000000-0004-0000-0800-000018000000}"/>
    <hyperlink ref="E213:E214" r:id="rId23" display="fransisca.desyanti@faasri.com" xr:uid="{00000000-0004-0000-0800-000019000000}"/>
    <hyperlink ref="E219:E221" r:id="rId24" display="fransisca.desyanti@faasri.com" xr:uid="{00000000-0004-0000-0800-00001A000000}"/>
    <hyperlink ref="E223:E224" r:id="rId25" display="fransisca.desyanti@faasri.com" xr:uid="{00000000-0004-0000-0800-00001B000000}"/>
    <hyperlink ref="E176:E177" r:id="rId26" display="fransisca.desyanti@faasri.com" xr:uid="{00000000-0004-0000-0800-00001C000000}"/>
    <hyperlink ref="E179:E184" r:id="rId27" display="fransisca.desyanti@faasri.com" xr:uid="{00000000-0004-0000-0800-00001D000000}"/>
    <hyperlink ref="E115:E118" r:id="rId28" display="fransisca.desyanti@faasri.com" xr:uid="{00000000-0004-0000-0800-00001E000000}"/>
    <hyperlink ref="E120:E122" r:id="rId29" display="fransisca.desyanti@faasri.com" xr:uid="{00000000-0004-0000-0800-00001F000000}"/>
    <hyperlink ref="E124:E143" r:id="rId30" display="fransisca.desyanti@faasri.com" xr:uid="{00000000-0004-0000-0800-000020000000}"/>
    <hyperlink ref="E67:E68" r:id="rId31" display="fransisca.desyanti@faasri.com" xr:uid="{00000000-0004-0000-0800-000021000000}"/>
    <hyperlink ref="E70:E79" r:id="rId32" display="fransisca.desyanti@faasri.com" xr:uid="{00000000-0004-0000-0800-000022000000}"/>
    <hyperlink ref="E80:E84" r:id="rId33" display="fransisca.desyanti@faasri.com" xr:uid="{00000000-0004-0000-0800-000023000000}"/>
    <hyperlink ref="E88" r:id="rId34" xr:uid="{00000000-0004-0000-0800-000024000000}"/>
    <hyperlink ref="E89:E90" r:id="rId35" display="fransisca.desyanti@faasri.com" xr:uid="{00000000-0004-0000-0800-000025000000}"/>
    <hyperlink ref="E44:E48" r:id="rId36" display="fransisca.desyanti@faasri.com" xr:uid="{00000000-0004-0000-0800-000026000000}"/>
    <hyperlink ref="E49:E51" r:id="rId37" display="fransisca.desyanti@faasri.com" xr:uid="{00000000-0004-0000-0800-000027000000}"/>
    <hyperlink ref="E12:E14" r:id="rId38" display="fransisca.desyanti@faasri.com" xr:uid="{00000000-0004-0000-0800-000028000000}"/>
    <hyperlink ref="E15:E17" r:id="rId39" display="fransisca.desyanti@faasri.com" xr:uid="{00000000-0004-0000-0800-000029000000}"/>
    <hyperlink ref="E18:E27" r:id="rId40" display="fransisca.desyanti@faasri.com" xr:uid="{00000000-0004-0000-0800-00002A000000}"/>
    <hyperlink ref="E2" r:id="rId41" xr:uid="{00000000-0004-0000-0800-00002B000000}"/>
    <hyperlink ref="E3:E5" r:id="rId42" display="fransisca.desyanti@faasri.com" xr:uid="{00000000-0004-0000-0800-00002C000000}"/>
    <hyperlink ref="E268" r:id="rId43" xr:uid="{00000000-0004-0000-0800-00002D000000}"/>
    <hyperlink ref="E295" r:id="rId44" xr:uid="{00000000-0004-0000-0800-00002E000000}"/>
    <hyperlink ref="E298" r:id="rId45" xr:uid="{00000000-0004-0000-0800-00002F000000}"/>
    <hyperlink ref="E102" r:id="rId46" xr:uid="{00000000-0004-0000-0800-000031000000}"/>
    <hyperlink ref="E158" r:id="rId47" xr:uid="{00000000-0004-0000-0800-000032000000}"/>
    <hyperlink ref="E165:E167" r:id="rId48" display="asrida.djuwita@gdnusantara.com" xr:uid="{00000000-0004-0000-0800-000033000000}"/>
    <hyperlink ref="E192" r:id="rId49" xr:uid="{00000000-0004-0000-0800-000034000000}"/>
    <hyperlink ref="E229" r:id="rId50" xr:uid="{00000000-0004-0000-0800-000035000000}"/>
    <hyperlink ref="E247:E248" r:id="rId51" display="asrida.djuwita@gdnusantara.com" xr:uid="{00000000-0004-0000-0800-000036000000}"/>
    <hyperlink ref="E254:E255" r:id="rId52" display="asrida.djuwita@gdnusantara.com" xr:uid="{00000000-0004-0000-0800-000037000000}"/>
    <hyperlink ref="E258" r:id="rId53" xr:uid="{00000000-0004-0000-0800-000038000000}"/>
    <hyperlink ref="E264:E265" r:id="rId54" display="asrida.djuwita@gdnusantara.com" xr:uid="{00000000-0004-0000-0800-000039000000}"/>
    <hyperlink ref="E286" r:id="rId55" xr:uid="{00000000-0004-0000-0800-00003A000000}"/>
    <hyperlink ref="E288" r:id="rId56" xr:uid="{00000000-0004-0000-0800-00003B000000}"/>
    <hyperlink ref="E85" r:id="rId57" xr:uid="{00000000-0004-0000-0800-00003C000000}"/>
    <hyperlink ref="E86" r:id="rId58" xr:uid="{00000000-0004-0000-0800-00003D000000}"/>
    <hyperlink ref="E92" r:id="rId59" xr:uid="{00000000-0004-0000-0800-00003E000000}"/>
    <hyperlink ref="E119" r:id="rId60" xr:uid="{00000000-0004-0000-0800-00003F000000}"/>
    <hyperlink ref="E178" r:id="rId61" xr:uid="{00000000-0004-0000-0800-000040000000}"/>
    <hyperlink ref="E215:E217" r:id="rId62" display="asrida.djuwita@gdnusantara.com" xr:uid="{00000000-0004-0000-0800-000041000000}"/>
    <hyperlink ref="E222" r:id="rId63" xr:uid="{00000000-0004-0000-0800-000042000000}"/>
    <hyperlink ref="E225" r:id="rId64" xr:uid="{00000000-0004-0000-0800-000043000000}"/>
    <hyperlink ref="E240" r:id="rId65" xr:uid="{00000000-0004-0000-0800-000044000000}"/>
    <hyperlink ref="E252" r:id="rId66" xr:uid="{00000000-0004-0000-0800-000045000000}"/>
    <hyperlink ref="E273:E274" r:id="rId67" display="asrida.djuwita@gdnusantara.com" xr:uid="{00000000-0004-0000-0800-000046000000}"/>
    <hyperlink ref="E283" r:id="rId68" xr:uid="{00000000-0004-0000-0800-000047000000}"/>
    <hyperlink ref="E197:E202" r:id="rId69" display="susan@pancaputra.co.id" xr:uid="{00000000-0004-0000-0800-000048000000}"/>
    <hyperlink ref="E259:E263" r:id="rId70" display="susan@pancaputra.co.id" xr:uid="{00000000-0004-0000-0800-000049000000}"/>
    <hyperlink ref="E290:E292" r:id="rId71" display="susan@pancaputra.co.id" xr:uid="{00000000-0004-0000-0800-00004A000000}"/>
    <hyperlink ref="E234:E238" r:id="rId72" display="susan@pancaputra.co.id" xr:uid="{00000000-0004-0000-0800-00004B000000}"/>
    <hyperlink ref="E285" r:id="rId73" xr:uid="{00000000-0004-0000-0800-00004C000000}"/>
    <hyperlink ref="E302" r:id="rId74" xr:uid="{00000000-0004-0000-0800-00004D000000}"/>
    <hyperlink ref="E28:E29" r:id="rId75" display="made_indra@datascrip.co.id" xr:uid="{00000000-0004-0000-0800-00004E000000}"/>
    <hyperlink ref="E233" r:id="rId76" xr:uid="{00000000-0004-0000-0800-00004F000000}"/>
    <hyperlink ref="E244" r:id="rId77" xr:uid="{00000000-0004-0000-0800-000050000000}"/>
    <hyperlink ref="E250" r:id="rId78" xr:uid="{00000000-0004-0000-0800-000051000000}"/>
    <hyperlink ref="E239" r:id="rId79" xr:uid="{00000000-0004-0000-0800-000052000000}"/>
    <hyperlink ref="E246" r:id="rId80" xr:uid="{00000000-0004-0000-0800-000053000000}"/>
    <hyperlink ref="E278" r:id="rId81" xr:uid="{00000000-0004-0000-0800-000054000000}"/>
    <hyperlink ref="E280" r:id="rId82" xr:uid="{00000000-0004-0000-0800-000055000000}"/>
    <hyperlink ref="E289" r:id="rId83" xr:uid="{00000000-0004-0000-0800-000056000000}"/>
    <hyperlink ref="E294" r:id="rId84" xr:uid="{00000000-0004-0000-0800-000057000000}"/>
    <hyperlink ref="E91" r:id="rId85" xr:uid="{00000000-0004-0000-0800-000058000000}"/>
    <hyperlink ref="E245" r:id="rId86" xr:uid="{00000000-0004-0000-0800-000059000000}"/>
    <hyperlink ref="E270" r:id="rId87" xr:uid="{00000000-0004-0000-0800-00005A000000}"/>
    <hyperlink ref="E103" r:id="rId88" xr:uid="{00000000-0004-0000-0800-00005B000000}"/>
    <hyperlink ref="E232" r:id="rId89" xr:uid="{00000000-0004-0000-0800-00005C000000}"/>
    <hyperlink ref="E218" r:id="rId90" xr:uid="{00000000-0004-0000-0800-00005D000000}"/>
    <hyperlink ref="E251" r:id="rId91" xr:uid="{00000000-0004-0000-0800-00005E000000}"/>
    <hyperlink ref="E271:E272" r:id="rId92" display="frilla.triyanditama@gdn-commerce.com" xr:uid="{00000000-0004-0000-0800-00005F000000}"/>
    <hyperlink ref="E281:E282" r:id="rId93" display="frilla.triyanditama@gdn-commerce.com" xr:uid="{00000000-0004-0000-0800-000060000000}"/>
    <hyperlink ref="E284" r:id="rId94" xr:uid="{00000000-0004-0000-0800-000061000000}"/>
    <hyperlink ref="E123" r:id="rId95" xr:uid="{00000000-0004-0000-0800-000063000000}"/>
    <hyperlink ref="E211" r:id="rId96" xr:uid="{00000000-0004-0000-0800-000064000000}"/>
    <hyperlink ref="E6" r:id="rId97" xr:uid="{00000000-0004-0000-0800-000065000000}"/>
    <hyperlink ref="E301" r:id="rId98" xr:uid="{00000000-0004-0000-0800-000066000000}"/>
    <hyperlink ref="E205" r:id="rId99" xr:uid="{00000000-0004-0000-0800-000067000000}"/>
    <hyperlink ref="E53" r:id="rId100" xr:uid="{00000000-0004-0000-0800-000068000000}"/>
    <hyperlink ref="E190" r:id="rId101" xr:uid="{00000000-0004-0000-0800-000069000000}"/>
    <hyperlink ref="E191" r:id="rId102" xr:uid="{00000000-0004-0000-0800-00006A000000}"/>
    <hyperlink ref="E230" r:id="rId103" xr:uid="{00000000-0004-0000-0800-00006B000000}"/>
    <hyperlink ref="E307" r:id="rId104" xr:uid="{00000000-0004-0000-0800-00006C000000}"/>
    <hyperlink ref="E69" r:id="rId105" xr:uid="{00000000-0004-0000-0800-00006D000000}"/>
    <hyperlink ref="E203" r:id="rId106" xr:uid="{00000000-0004-0000-0800-00006E000000}"/>
    <hyperlink ref="E206" r:id="rId107" xr:uid="{00000000-0004-0000-0800-00006F000000}"/>
    <hyperlink ref="E107" r:id="rId108" xr:uid="{00000000-0004-0000-0800-000070000000}"/>
    <hyperlink ref="E241" r:id="rId109" xr:uid="{00000000-0004-0000-0800-000071000000}"/>
    <hyperlink ref="E303" r:id="rId110" xr:uid="{00000000-0004-0000-0800-000072000000}"/>
    <hyperlink ref="E305" r:id="rId111" xr:uid="{00000000-0004-0000-0800-000073000000}"/>
    <hyperlink ref="E306" r:id="rId112" xr:uid="{00000000-0004-0000-0800-000074000000}"/>
    <hyperlink ref="E87" r:id="rId113" xr:uid="{00000000-0004-0000-0800-000075000000}"/>
    <hyperlink ref="E212" r:id="rId114" xr:uid="{00000000-0004-0000-0800-000076000000}"/>
    <hyperlink ref="E209" r:id="rId115" xr:uid="{00000000-0004-0000-0800-000077000000}"/>
    <hyperlink ref="E210" r:id="rId116" xr:uid="{00000000-0004-0000-0800-000078000000}"/>
    <hyperlink ref="E227" r:id="rId117" xr:uid="{00000000-0004-0000-0800-000079000000}"/>
    <hyperlink ref="E228" r:id="rId118" xr:uid="{00000000-0004-0000-0800-00007A000000}"/>
    <hyperlink ref="E231" r:id="rId119" xr:uid="{00000000-0004-0000-0800-00007B000000}"/>
    <hyperlink ref="E249" r:id="rId120" xr:uid="{00000000-0004-0000-0800-00007C000000}"/>
    <hyperlink ref="E253" r:id="rId121" xr:uid="{00000000-0004-0000-0800-00007D000000}"/>
    <hyperlink ref="E242" r:id="rId122" xr:uid="{00000000-0004-0000-0800-00007E000000}"/>
    <hyperlink ref="E269" r:id="rId123" xr:uid="{00000000-0004-0000-0800-00007F000000}"/>
    <hyperlink ref="E275" r:id="rId124" xr:uid="{00000000-0004-0000-0800-000080000000}"/>
    <hyperlink ref="E276" r:id="rId125" xr:uid="{00000000-0004-0000-0800-000081000000}"/>
    <hyperlink ref="E277" r:id="rId126" xr:uid="{00000000-0004-0000-0800-000082000000}"/>
    <hyperlink ref="E279" r:id="rId127" xr:uid="{00000000-0004-0000-0800-000083000000}"/>
    <hyperlink ref="E287" r:id="rId128" xr:uid="{00000000-0004-0000-0800-000084000000}"/>
    <hyperlink ref="E297" r:id="rId129" xr:uid="{00000000-0004-0000-0800-000085000000}"/>
    <hyperlink ref="E293" r:id="rId130" xr:uid="{00000000-0004-0000-0800-000086000000}"/>
    <hyperlink ref="E300" r:id="rId131" xr:uid="{00000000-0004-0000-0800-000087000000}"/>
    <hyperlink ref="E299" r:id="rId132" xr:uid="{00000000-0004-0000-0800-000088000000}"/>
    <hyperlink ref="E304" r:id="rId133" xr:uid="{00000000-0004-0000-0800-000089000000}"/>
    <hyperlink ref="E308" r:id="rId134" xr:uid="{00000000-0004-0000-0800-00008A000000}"/>
    <hyperlink ref="E186:E187" r:id="rId135" display="fransisca.desyanti@faasri.com" xr:uid="{00000000-0004-0000-0800-00008B000000}"/>
    <hyperlink ref="E185" r:id="rId136" xr:uid="{00000000-0004-0000-0800-00008C000000}"/>
    <hyperlink ref="E309" r:id="rId137" xr:uid="{00000000-0004-0000-0800-00008D000000}"/>
    <hyperlink ref="E310" r:id="rId138" xr:uid="{00000000-0004-0000-0800-00008E000000}"/>
    <hyperlink ref="E311" r:id="rId139" xr:uid="{00000000-0004-0000-0800-00008F000000}"/>
    <hyperlink ref="E291" r:id="rId140" xr:uid="{00000000-0004-0000-0800-000090000000}"/>
    <hyperlink ref="E318" r:id="rId141" xr:uid="{00000000-0004-0000-0800-000091000000}"/>
    <hyperlink ref="E320" r:id="rId142" xr:uid="{00000000-0004-0000-0800-000092000000}"/>
    <hyperlink ref="E316" r:id="rId143" xr:uid="{00000000-0004-0000-0800-000093000000}"/>
    <hyperlink ref="E321" r:id="rId144" xr:uid="{00000000-0004-0000-0800-000094000000}"/>
    <hyperlink ref="E322" r:id="rId145" xr:uid="{00000000-0004-0000-0800-000095000000}"/>
    <hyperlink ref="E323:E325" r:id="rId146" display="Marthen.elias@para-star.com" xr:uid="{00000000-0004-0000-0800-000096000000}"/>
    <hyperlink ref="E326" r:id="rId147" xr:uid="{00000000-0004-0000-0800-000097000000}"/>
    <hyperlink ref="E327" r:id="rId148" xr:uid="{00000000-0004-0000-0800-000098000000}"/>
    <hyperlink ref="E328" r:id="rId149" xr:uid="{00000000-0004-0000-0800-000099000000}"/>
    <hyperlink ref="E329" r:id="rId150" xr:uid="{00000000-0004-0000-0800-00009A000000}"/>
    <hyperlink ref="E330" r:id="rId151" xr:uid="{00000000-0004-0000-0800-00009B000000}"/>
    <hyperlink ref="E331" r:id="rId152" xr:uid="{00000000-0004-0000-0800-00009C000000}"/>
    <hyperlink ref="E332" r:id="rId153" xr:uid="{00000000-0004-0000-0800-00009D000000}"/>
    <hyperlink ref="E333" r:id="rId154" xr:uid="{00000000-0004-0000-0800-00009E000000}"/>
    <hyperlink ref="E334" r:id="rId155" xr:uid="{00000000-0004-0000-0800-00009F000000}"/>
    <hyperlink ref="E335" r:id="rId156" xr:uid="{00000000-0004-0000-0800-0000A0000000}"/>
    <hyperlink ref="E336" r:id="rId157" xr:uid="{00000000-0004-0000-0800-0000A1000000}"/>
    <hyperlink ref="E337" r:id="rId158" xr:uid="{00000000-0004-0000-0800-0000A2000000}"/>
    <hyperlink ref="E338" r:id="rId159" xr:uid="{00000000-0004-0000-0800-0000A3000000}"/>
    <hyperlink ref="E339" r:id="rId160" xr:uid="{3A10F372-911C-4AED-A318-95F8C0F8848D}"/>
    <hyperlink ref="E340" r:id="rId161" xr:uid="{918A68DB-A55E-477B-83A9-D4122AE22E9F}"/>
    <hyperlink ref="E341" r:id="rId162" xr:uid="{7548327A-E168-4331-B72E-55A093CBD315}"/>
    <hyperlink ref="E342" r:id="rId163" xr:uid="{4D398FA6-5018-4414-B61C-6E108425C6BC}"/>
    <hyperlink ref="E343" r:id="rId164" xr:uid="{544DC99A-18C4-45A8-B7BC-A8551DEE4DB4}"/>
    <hyperlink ref="E344" r:id="rId165" xr:uid="{B0D48669-F153-4AB2-8032-1260FFFA141F}"/>
    <hyperlink ref="E345" r:id="rId166" xr:uid="{A4E7B27C-AC31-4B33-B371-952A6DC0A949}"/>
    <hyperlink ref="E312" r:id="rId167" xr:uid="{676D332B-0481-496C-8891-79E0BBCF2C7B}"/>
    <hyperlink ref="E313:E315" r:id="rId168" display="susan@pancaputra.co.id" xr:uid="{EE007C04-1DFB-4769-82C8-E4605F2F1BA9}"/>
    <hyperlink ref="E317" r:id="rId169" xr:uid="{DDAF5D4A-3930-4DEC-9478-4213C861FA43}"/>
    <hyperlink ref="E319" r:id="rId170" xr:uid="{9B0832D4-9B8E-45D9-BEE5-9ECEBD1A70D3}"/>
  </hyperlinks>
  <pageMargins left="0.75" right="0.75" top="1" bottom="1" header="0.5" footer="0.5"/>
  <pageSetup scale="37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Sheet3</vt:lpstr>
      <vt:lpstr>Jan 23</vt:lpstr>
      <vt:lpstr>Feb 23</vt:lpstr>
      <vt:lpstr>Mar 23</vt:lpstr>
      <vt:lpstr>Apr 23</vt:lpstr>
      <vt:lpstr>May 23</vt:lpstr>
      <vt:lpstr>Jun 23</vt:lpstr>
      <vt:lpstr>Jul 23</vt:lpstr>
      <vt:lpstr>Aug 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Malifax</dc:creator>
  <cp:lastModifiedBy>Rina Aprilia</cp:lastModifiedBy>
  <cp:lastPrinted>2022-05-30T03:39:00Z</cp:lastPrinted>
  <dcterms:created xsi:type="dcterms:W3CDTF">2019-02-21T08:19:00Z</dcterms:created>
  <dcterms:modified xsi:type="dcterms:W3CDTF">2023-09-27T08:37:57Z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1033-12.2.0.13110</vt:lpwstr>
  </property>
  <property fmtid="{D5CDD505-2E9C-101B-9397-08002B2CF9AE}" pid="3" name="ICV">
    <vt:lpwstr>4CA70B2257E24EACB2DAFB25727AB93A_12</vt:lpwstr>
  </property>
</Properties>
</file>